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osst\Desktop\"/>
    </mc:Choice>
  </mc:AlternateContent>
  <xr:revisionPtr revIDLastSave="0" documentId="13_ncr:20001_{4CC4D9EF-5AA4-468D-B80C-746079139DEC}" xr6:coauthVersionLast="47" xr6:coauthVersionMax="47" xr10:uidLastSave="{00000000-0000-0000-0000-000000000000}"/>
  <bookViews>
    <workbookView xWindow="-120" yWindow="-120" windowWidth="29040" windowHeight="16440" xr2:uid="{00000000-000D-0000-FFFF-FFFF00000000}"/>
  </bookViews>
  <sheets>
    <sheet name="READ ME" sheetId="1" r:id="rId1"/>
    <sheet name="VARIABLES" sheetId="2" r:id="rId2"/>
    <sheet name="ESTIMATE" sheetId="3" r:id="rId3"/>
    <sheet name="FILAMENT" sheetId="4" r:id="rId4"/>
    <sheet name="NOZZLES" sheetId="5" r:id="rId5"/>
    <sheet name="PLATES" sheetId="6" r:id="rId6"/>
    <sheet name="PRINTERS" sheetId="7" r:id="rId7"/>
  </sheets>
  <definedNames>
    <definedName name="clientName">VARIABLES!$C$29</definedName>
    <definedName name="elecCost">VARIABLES!$C$44</definedName>
    <definedName name="failCont">VARIABLES!$C$22</definedName>
    <definedName name="jobName">VARIABLES!$C$28</definedName>
    <definedName name="laborCost">VARIABLES!$C$21</definedName>
    <definedName name="laborHrs">VARIABLES!$C$128</definedName>
    <definedName name="laborMins">VARIABLES!$C$20</definedName>
    <definedName name="maintCont">VARIABLES!$C$23</definedName>
    <definedName name="noCharge">VARIABLES!$C$31</definedName>
    <definedName name="nozzle1">VARIABLES!$C$36:$E$36</definedName>
    <definedName name="nozzle2">VARIABLES!$C$37:$E$37</definedName>
    <definedName name="nozzle3">VARIABLES!$C$38:$E$38</definedName>
    <definedName name="nozzle4">VARIABLES!$C$39:$E$39</definedName>
    <definedName name="nozzle5">VARIABLES!$C$40:$E$40</definedName>
    <definedName name="nozzle6">VARIABLES!$C$41:$E$41</definedName>
    <definedName name="nozzle7">VARIABLES!$C$42:$E$42</definedName>
    <definedName name="nozzle8">VARIABLES!$C$43:$E$43</definedName>
    <definedName name="nozzleCost1">VARIABLES!$C$86</definedName>
    <definedName name="nozzleCost2">VARIABLES!$C$91</definedName>
    <definedName name="nozzleCost3">VARIABLES!$C$96</definedName>
    <definedName name="nozzleCost4">VARIABLES!$C$101</definedName>
    <definedName name="nozzleCost5">VARIABLES!$C$106</definedName>
    <definedName name="nozzleCost6">VARIABLES!$C$111</definedName>
    <definedName name="nozzleCost7">VARIABLES!$C$116</definedName>
    <definedName name="nozzleCost8">VARIABLES!$C$121</definedName>
    <definedName name="nozzleDepr1">VARIABLES!$C$89</definedName>
    <definedName name="nozzleDepr2">VARIABLES!$C$94</definedName>
    <definedName name="nozzleDepr3">VARIABLES!$C$99</definedName>
    <definedName name="nozzleDepr4">VARIABLES!$C$104</definedName>
    <definedName name="nozzleDepr5">VARIABLES!$C$109</definedName>
    <definedName name="nozzleDepr6">VARIABLES!$C$114</definedName>
    <definedName name="nozzleDepr7">VARIABLES!$C$119</definedName>
    <definedName name="nozzleDepr8">VARIABLES!$C$124</definedName>
    <definedName name="nozzleLife1">VARIABLES!$C$87</definedName>
    <definedName name="nozzleLife2">VARIABLES!$C$92</definedName>
    <definedName name="nozzleLife3">VARIABLES!$C$97</definedName>
    <definedName name="nozzleLife4">VARIABLES!$C$102</definedName>
    <definedName name="nozzleLife5">VARIABLES!$C$107</definedName>
    <definedName name="nozzleLife6">VARIABLES!$C$112</definedName>
    <definedName name="nozzleLife7">VARIABLES!$C$117</definedName>
    <definedName name="nozzleLife8">VARIABLES!$C$122</definedName>
    <definedName name="nozzlePrintPct1">VARIABLES!$C$88</definedName>
    <definedName name="nozzlePrintPct2">VARIABLES!$C$93</definedName>
    <definedName name="nozzlePrintPct3">VARIABLES!$C$98</definedName>
    <definedName name="nozzlePrintPct4">VARIABLES!$C$103</definedName>
    <definedName name="nozzlePrintPct5">VARIABLES!$C$108</definedName>
    <definedName name="nozzlePrintPct6">VARIABLES!$C$113</definedName>
    <definedName name="nozzlePrintPct7">VARIABLES!$C$118</definedName>
    <definedName name="nozzlePrintPct8">VARIABLES!$C$123</definedName>
    <definedName name="numPrints">VARIABLES!$C$19</definedName>
    <definedName name="plate">VARIABLES!$C$35:$E$35</definedName>
    <definedName name="plateCost">VARIABLES!$C$82</definedName>
    <definedName name="plateDepr">VARIABLES!$C$84</definedName>
    <definedName name="plateLife">VARIABLES!$C$83</definedName>
    <definedName name="_xlnm.Print_Area" localSheetId="2">ESTIMATE!$B$2:$J$33</definedName>
    <definedName name="printDate">VARIABLES!$C$30</definedName>
    <definedName name="printer">VARIABLES!$C$34:$E$34</definedName>
    <definedName name="printerCost">VARIABLES!$C$48</definedName>
    <definedName name="printerDepr">VARIABLES!$C$80</definedName>
    <definedName name="printerLife">VARIABLES!$C$49</definedName>
    <definedName name="printerPower">VARIABLES!$C$50</definedName>
    <definedName name="printSize1">VARIABLES!$C$10</definedName>
    <definedName name="printSize2">VARIABLES!$C$11</definedName>
    <definedName name="printSize3">VARIABLES!$C$12</definedName>
    <definedName name="printSize4">VARIABLES!$C$13</definedName>
    <definedName name="printSize5">VARIABLES!$C$14</definedName>
    <definedName name="printSize6">VARIABLES!$C$15</definedName>
    <definedName name="printSize7">VARIABLES!$C$16</definedName>
    <definedName name="printSize8">VARIABLES!$C$17</definedName>
    <definedName name="printTimeHrs">VARIABLES!$C$77</definedName>
    <definedName name="printTimeMins">VARIABLES!$C$18</definedName>
    <definedName name="profit">VARIABLES!$C$133</definedName>
    <definedName name="profitMargin">VARIABLES!$C$27</definedName>
    <definedName name="profitPct">VARIABLES!$C$134</definedName>
    <definedName name="roll1">VARIABLES!$C$2:$E$2</definedName>
    <definedName name="roll2">VARIABLES!$C$3:$E$3</definedName>
    <definedName name="roll3">VARIABLES!$C$4:$E$4</definedName>
    <definedName name="roll4">VARIABLES!$C$5:$E$5</definedName>
    <definedName name="roll5">VARIABLES!$C$6:$E$6</definedName>
    <definedName name="roll6">VARIABLES!$C$7:$E$7</definedName>
    <definedName name="roll7">VARIABLES!$C$8:$E$8</definedName>
    <definedName name="roll8">VARIABLES!$C$9:$E$9</definedName>
    <definedName name="rollCost1">VARIABLES!$C$52</definedName>
    <definedName name="rollCost2">VARIABLES!$C$55</definedName>
    <definedName name="rollCost3">VARIABLES!$C$58</definedName>
    <definedName name="rollCost4">VARIABLES!$C$61</definedName>
    <definedName name="rollCost5">VARIABLES!$C$64</definedName>
    <definedName name="rollCost6">VARIABLES!$C$67</definedName>
    <definedName name="rollCost7">VARIABLES!$C$70</definedName>
    <definedName name="rollCost8">VARIABLES!$C$73</definedName>
    <definedName name="rollPct1">VARIABLES!$C$53</definedName>
    <definedName name="rollPct2">VARIABLES!$C$56</definedName>
    <definedName name="rollPct3">VARIABLES!$C$59</definedName>
    <definedName name="rollPct4">VARIABLES!$C$62</definedName>
    <definedName name="rollPct5">VARIABLES!$C$65</definedName>
    <definedName name="rollPct6">VARIABLES!$C$68</definedName>
    <definedName name="rollPct7">VARIABLES!$C$71</definedName>
    <definedName name="rollPct8">VARIABLES!$C$74</definedName>
    <definedName name="rollSize1">VARIABLES!$C$51</definedName>
    <definedName name="rollSize2">VARIABLES!$C$54</definedName>
    <definedName name="rollSize3">VARIABLES!$C$57</definedName>
    <definedName name="rollSize4">VARIABLES!$C$60</definedName>
    <definedName name="rollSize5">VARIABLES!$C$63</definedName>
    <definedName name="rollSize6">VARIABLES!$C$66</definedName>
    <definedName name="rollSize7">VARIABLES!$C$69</definedName>
    <definedName name="rollSize8">VARIABLES!$C$72</definedName>
    <definedName name="salesTax">VARIABLES!$C$132</definedName>
    <definedName name="salesTaxPct">VARIABLES!$C$25</definedName>
    <definedName name="shippingCost">VARIABLES!$C$26</definedName>
    <definedName name="totCont">VARIABLES!$C$130</definedName>
    <definedName name="totCost">VARIABLES!$C$135</definedName>
    <definedName name="totDepr">VARIABLES!$C$125</definedName>
    <definedName name="totElecCost">VARIABLES!$126:$126</definedName>
    <definedName name="totFilamentCost">VARIABLES!$C$76</definedName>
    <definedName name="totFilamentUsed">VARIABLES!$C$75</definedName>
    <definedName name="totLaborCost">VARIABLES!$C$129</definedName>
    <definedName name="totOverheadCost">VARIABLES!$C$127</definedName>
    <definedName name="totPrintTimeHrs">VARIABLES!$C$79</definedName>
    <definedName name="totPrintTimeMins">VARIABLES!$C$78</definedName>
    <definedName name="transactionFee">VARIABLES!$C$131</definedName>
    <definedName name="transactionFeePct">VARIABLES!$C$24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7" l="1"/>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30" i="7"/>
  <c r="L231" i="7"/>
  <c r="L232" i="7"/>
  <c r="L233" i="7"/>
  <c r="L234" i="7"/>
  <c r="L235" i="7"/>
  <c r="L236" i="7"/>
  <c r="L237" i="7"/>
  <c r="L238" i="7"/>
  <c r="L239" i="7"/>
  <c r="L240" i="7"/>
  <c r="L241" i="7"/>
  <c r="L242" i="7"/>
  <c r="L243" i="7"/>
  <c r="L244" i="7"/>
  <c r="L245" i="7"/>
  <c r="L246" i="7"/>
  <c r="L247" i="7"/>
  <c r="L248" i="7"/>
  <c r="L249" i="7"/>
  <c r="L250" i="7"/>
  <c r="L251" i="7"/>
  <c r="L252" i="7"/>
  <c r="L253" i="7"/>
  <c r="L254" i="7"/>
  <c r="L255" i="7"/>
  <c r="L256" i="7"/>
  <c r="L257" i="7"/>
  <c r="L258" i="7"/>
  <c r="L259" i="7"/>
  <c r="L260" i="7"/>
  <c r="L261" i="7"/>
  <c r="L262" i="7"/>
  <c r="L263" i="7"/>
  <c r="L264" i="7"/>
  <c r="L265" i="7"/>
  <c r="L266" i="7"/>
  <c r="L267" i="7"/>
  <c r="L268" i="7"/>
  <c r="L269" i="7"/>
  <c r="L270" i="7"/>
  <c r="L271" i="7"/>
  <c r="L272" i="7"/>
  <c r="L273" i="7"/>
  <c r="L274" i="7"/>
  <c r="L275" i="7"/>
  <c r="L276" i="7"/>
  <c r="L277" i="7"/>
  <c r="L278" i="7"/>
  <c r="L279" i="7"/>
  <c r="L280" i="7"/>
  <c r="L281" i="7"/>
  <c r="L282" i="7"/>
  <c r="L283" i="7"/>
  <c r="L284" i="7"/>
  <c r="L285" i="7"/>
  <c r="L286" i="7"/>
  <c r="L287" i="7"/>
  <c r="L288" i="7"/>
  <c r="L289" i="7"/>
  <c r="L290" i="7"/>
  <c r="L291" i="7"/>
  <c r="L292" i="7"/>
  <c r="L293" i="7"/>
  <c r="L294" i="7"/>
  <c r="L295" i="7"/>
  <c r="L296" i="7"/>
  <c r="L297" i="7"/>
  <c r="L298" i="7"/>
  <c r="L299" i="7"/>
  <c r="L300" i="7"/>
  <c r="L301"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A5" i="7"/>
  <c r="N5" i="7" s="1"/>
  <c r="A6" i="7"/>
  <c r="N6" i="7" s="1"/>
  <c r="A7" i="7"/>
  <c r="N7" i="7" s="1"/>
  <c r="A8" i="7"/>
  <c r="N8" i="7" s="1"/>
  <c r="A9" i="7"/>
  <c r="N9" i="7" s="1"/>
  <c r="A10" i="7"/>
  <c r="N10" i="7" s="1"/>
  <c r="A11" i="7"/>
  <c r="N11" i="7" s="1"/>
  <c r="A12" i="7"/>
  <c r="N12" i="7" s="1"/>
  <c r="A13" i="7"/>
  <c r="N13" i="7" s="1"/>
  <c r="A14" i="7"/>
  <c r="N14" i="7" s="1"/>
  <c r="A15" i="7"/>
  <c r="N15" i="7" s="1"/>
  <c r="A16" i="7"/>
  <c r="N16" i="7" s="1"/>
  <c r="A17" i="7"/>
  <c r="N17" i="7" s="1"/>
  <c r="A18" i="7"/>
  <c r="N18" i="7" s="1"/>
  <c r="A19" i="7"/>
  <c r="N19" i="7" s="1"/>
  <c r="A20" i="7"/>
  <c r="N20" i="7" s="1"/>
  <c r="A21" i="7"/>
  <c r="N21" i="7" s="1"/>
  <c r="A22" i="7"/>
  <c r="N22" i="7" s="1"/>
  <c r="A23" i="7"/>
  <c r="N23" i="7" s="1"/>
  <c r="A24" i="7"/>
  <c r="N24" i="7" s="1"/>
  <c r="A25" i="7"/>
  <c r="N25" i="7" s="1"/>
  <c r="A26" i="7"/>
  <c r="N26" i="7" s="1"/>
  <c r="A27" i="7"/>
  <c r="N27" i="7" s="1"/>
  <c r="A28" i="7"/>
  <c r="N28" i="7" s="1"/>
  <c r="A29" i="7"/>
  <c r="N29" i="7" s="1"/>
  <c r="A30" i="7"/>
  <c r="N30" i="7" s="1"/>
  <c r="A31" i="7"/>
  <c r="N31" i="7" s="1"/>
  <c r="A32" i="7"/>
  <c r="N32" i="7" s="1"/>
  <c r="A33" i="7"/>
  <c r="N33" i="7" s="1"/>
  <c r="A34" i="7"/>
  <c r="N34" i="7" s="1"/>
  <c r="A35" i="7"/>
  <c r="N35" i="7" s="1"/>
  <c r="A36" i="7"/>
  <c r="N36" i="7" s="1"/>
  <c r="A37" i="7"/>
  <c r="N37" i="7" s="1"/>
  <c r="A38" i="7"/>
  <c r="N38" i="7" s="1"/>
  <c r="A39" i="7"/>
  <c r="N39" i="7" s="1"/>
  <c r="A40" i="7"/>
  <c r="N40" i="7" s="1"/>
  <c r="A41" i="7"/>
  <c r="N41" i="7" s="1"/>
  <c r="A42" i="7"/>
  <c r="N42" i="7" s="1"/>
  <c r="A43" i="7"/>
  <c r="N43" i="7" s="1"/>
  <c r="A44" i="7"/>
  <c r="N44" i="7" s="1"/>
  <c r="A45" i="7"/>
  <c r="N45" i="7" s="1"/>
  <c r="A46" i="7"/>
  <c r="N46" i="7" s="1"/>
  <c r="A47" i="7"/>
  <c r="N47" i="7" s="1"/>
  <c r="A48" i="7"/>
  <c r="N48" i="7" s="1"/>
  <c r="A49" i="7"/>
  <c r="N49" i="7" s="1"/>
  <c r="A50" i="7"/>
  <c r="N50" i="7" s="1"/>
  <c r="A51" i="7"/>
  <c r="N51" i="7" s="1"/>
  <c r="A52" i="7"/>
  <c r="N52" i="7" s="1"/>
  <c r="A53" i="7"/>
  <c r="N53" i="7" s="1"/>
  <c r="A54" i="7"/>
  <c r="N54" i="7" s="1"/>
  <c r="A55" i="7"/>
  <c r="N55" i="7" s="1"/>
  <c r="A56" i="7"/>
  <c r="N56" i="7" s="1"/>
  <c r="A57" i="7"/>
  <c r="N57" i="7" s="1"/>
  <c r="A58" i="7"/>
  <c r="N58" i="7" s="1"/>
  <c r="A59" i="7"/>
  <c r="N59" i="7" s="1"/>
  <c r="A60" i="7"/>
  <c r="N60" i="7" s="1"/>
  <c r="A61" i="7"/>
  <c r="N61" i="7" s="1"/>
  <c r="A62" i="7"/>
  <c r="N62" i="7" s="1"/>
  <c r="A63" i="7"/>
  <c r="N63" i="7" s="1"/>
  <c r="A64" i="7"/>
  <c r="N64" i="7" s="1"/>
  <c r="A65" i="7"/>
  <c r="N65" i="7" s="1"/>
  <c r="A66" i="7"/>
  <c r="N66" i="7" s="1"/>
  <c r="A67" i="7"/>
  <c r="N67" i="7" s="1"/>
  <c r="A68" i="7"/>
  <c r="N68" i="7" s="1"/>
  <c r="A69" i="7"/>
  <c r="N69" i="7" s="1"/>
  <c r="A70" i="7"/>
  <c r="N70" i="7" s="1"/>
  <c r="A71" i="7"/>
  <c r="N71" i="7" s="1"/>
  <c r="A72" i="7"/>
  <c r="N72" i="7" s="1"/>
  <c r="A73" i="7"/>
  <c r="N73" i="7" s="1"/>
  <c r="A74" i="7"/>
  <c r="N74" i="7" s="1"/>
  <c r="A75" i="7"/>
  <c r="N75" i="7" s="1"/>
  <c r="A76" i="7"/>
  <c r="N76" i="7" s="1"/>
  <c r="A77" i="7"/>
  <c r="N77" i="7" s="1"/>
  <c r="A78" i="7"/>
  <c r="N78" i="7" s="1"/>
  <c r="A79" i="7"/>
  <c r="N79" i="7" s="1"/>
  <c r="A80" i="7"/>
  <c r="N80" i="7" s="1"/>
  <c r="A81" i="7"/>
  <c r="N81" i="7" s="1"/>
  <c r="A82" i="7"/>
  <c r="N82" i="7" s="1"/>
  <c r="A83" i="7"/>
  <c r="N83" i="7" s="1"/>
  <c r="A84" i="7"/>
  <c r="N84" i="7" s="1"/>
  <c r="A85" i="7"/>
  <c r="N85" i="7" s="1"/>
  <c r="A86" i="7"/>
  <c r="N86" i="7" s="1"/>
  <c r="A87" i="7"/>
  <c r="N87" i="7" s="1"/>
  <c r="A88" i="7"/>
  <c r="N88" i="7" s="1"/>
  <c r="A89" i="7"/>
  <c r="N89" i="7" s="1"/>
  <c r="A90" i="7"/>
  <c r="N90" i="7" s="1"/>
  <c r="A91" i="7"/>
  <c r="N91" i="7" s="1"/>
  <c r="A92" i="7"/>
  <c r="N92" i="7" s="1"/>
  <c r="A93" i="7"/>
  <c r="N93" i="7" s="1"/>
  <c r="A94" i="7"/>
  <c r="N94" i="7" s="1"/>
  <c r="A95" i="7"/>
  <c r="N95" i="7" s="1"/>
  <c r="A96" i="7"/>
  <c r="N96" i="7" s="1"/>
  <c r="A97" i="7"/>
  <c r="N97" i="7" s="1"/>
  <c r="A98" i="7"/>
  <c r="N98" i="7" s="1"/>
  <c r="A99" i="7"/>
  <c r="N99" i="7" s="1"/>
  <c r="A100" i="7"/>
  <c r="N100" i="7" s="1"/>
  <c r="A101" i="7"/>
  <c r="N101" i="7" s="1"/>
  <c r="A102" i="7"/>
  <c r="N102" i="7" s="1"/>
  <c r="A103" i="7"/>
  <c r="N103" i="7" s="1"/>
  <c r="A104" i="7"/>
  <c r="N104" i="7" s="1"/>
  <c r="A105" i="7"/>
  <c r="N105" i="7" s="1"/>
  <c r="A106" i="7"/>
  <c r="N106" i="7" s="1"/>
  <c r="A107" i="7"/>
  <c r="N107" i="7" s="1"/>
  <c r="A108" i="7"/>
  <c r="N108" i="7" s="1"/>
  <c r="A109" i="7"/>
  <c r="N109" i="7" s="1"/>
  <c r="A110" i="7"/>
  <c r="N110" i="7" s="1"/>
  <c r="A111" i="7"/>
  <c r="N111" i="7" s="1"/>
  <c r="A112" i="7"/>
  <c r="N112" i="7" s="1"/>
  <c r="A113" i="7"/>
  <c r="N113" i="7" s="1"/>
  <c r="A114" i="7"/>
  <c r="N114" i="7" s="1"/>
  <c r="A115" i="7"/>
  <c r="N115" i="7" s="1"/>
  <c r="A116" i="7"/>
  <c r="N116" i="7" s="1"/>
  <c r="A117" i="7"/>
  <c r="N117" i="7" s="1"/>
  <c r="A118" i="7"/>
  <c r="N118" i="7" s="1"/>
  <c r="A119" i="7"/>
  <c r="N119" i="7" s="1"/>
  <c r="A120" i="7"/>
  <c r="N120" i="7" s="1"/>
  <c r="A121" i="7"/>
  <c r="N121" i="7" s="1"/>
  <c r="A122" i="7"/>
  <c r="N122" i="7" s="1"/>
  <c r="A123" i="7"/>
  <c r="N123" i="7" s="1"/>
  <c r="A124" i="7"/>
  <c r="N124" i="7" s="1"/>
  <c r="A125" i="7"/>
  <c r="N125" i="7" s="1"/>
  <c r="A126" i="7"/>
  <c r="N126" i="7" s="1"/>
  <c r="A127" i="7"/>
  <c r="N127" i="7" s="1"/>
  <c r="A128" i="7"/>
  <c r="N128" i="7" s="1"/>
  <c r="A129" i="7"/>
  <c r="N129" i="7" s="1"/>
  <c r="A130" i="7"/>
  <c r="N130" i="7" s="1"/>
  <c r="A131" i="7"/>
  <c r="N131" i="7" s="1"/>
  <c r="A132" i="7"/>
  <c r="N132" i="7" s="1"/>
  <c r="A133" i="7"/>
  <c r="N133" i="7" s="1"/>
  <c r="A134" i="7"/>
  <c r="N134" i="7" s="1"/>
  <c r="A135" i="7"/>
  <c r="N135" i="7" s="1"/>
  <c r="A136" i="7"/>
  <c r="N136" i="7" s="1"/>
  <c r="A137" i="7"/>
  <c r="N137" i="7" s="1"/>
  <c r="A138" i="7"/>
  <c r="N138" i="7" s="1"/>
  <c r="A139" i="7"/>
  <c r="N139" i="7" s="1"/>
  <c r="A140" i="7"/>
  <c r="N140" i="7" s="1"/>
  <c r="A141" i="7"/>
  <c r="N141" i="7" s="1"/>
  <c r="A142" i="7"/>
  <c r="N142" i="7" s="1"/>
  <c r="A143" i="7"/>
  <c r="N143" i="7" s="1"/>
  <c r="A144" i="7"/>
  <c r="N144" i="7" s="1"/>
  <c r="A145" i="7"/>
  <c r="N145" i="7" s="1"/>
  <c r="A146" i="7"/>
  <c r="N146" i="7" s="1"/>
  <c r="A147" i="7"/>
  <c r="N147" i="7" s="1"/>
  <c r="A148" i="7"/>
  <c r="N148" i="7" s="1"/>
  <c r="A149" i="7"/>
  <c r="N149" i="7" s="1"/>
  <c r="A150" i="7"/>
  <c r="N150" i="7" s="1"/>
  <c r="A151" i="7"/>
  <c r="N151" i="7" s="1"/>
  <c r="A152" i="7"/>
  <c r="N152" i="7" s="1"/>
  <c r="A153" i="7"/>
  <c r="N153" i="7" s="1"/>
  <c r="A154" i="7"/>
  <c r="N154" i="7" s="1"/>
  <c r="A155" i="7"/>
  <c r="N155" i="7" s="1"/>
  <c r="A156" i="7"/>
  <c r="N156" i="7" s="1"/>
  <c r="A157" i="7"/>
  <c r="N157" i="7" s="1"/>
  <c r="A158" i="7"/>
  <c r="N158" i="7" s="1"/>
  <c r="A159" i="7"/>
  <c r="N159" i="7" s="1"/>
  <c r="A160" i="7"/>
  <c r="N160" i="7" s="1"/>
  <c r="A161" i="7"/>
  <c r="N161" i="7" s="1"/>
  <c r="A162" i="7"/>
  <c r="N162" i="7" s="1"/>
  <c r="A163" i="7"/>
  <c r="N163" i="7" s="1"/>
  <c r="A164" i="7"/>
  <c r="N164" i="7" s="1"/>
  <c r="A165" i="7"/>
  <c r="N165" i="7" s="1"/>
  <c r="A166" i="7"/>
  <c r="N166" i="7" s="1"/>
  <c r="A167" i="7"/>
  <c r="N167" i="7" s="1"/>
  <c r="A168" i="7"/>
  <c r="N168" i="7" s="1"/>
  <c r="A169" i="7"/>
  <c r="N169" i="7" s="1"/>
  <c r="A170" i="7"/>
  <c r="N170" i="7" s="1"/>
  <c r="A171" i="7"/>
  <c r="N171" i="7" s="1"/>
  <c r="A172" i="7"/>
  <c r="N172" i="7" s="1"/>
  <c r="A173" i="7"/>
  <c r="N173" i="7" s="1"/>
  <c r="A174" i="7"/>
  <c r="N174" i="7" s="1"/>
  <c r="A175" i="7"/>
  <c r="N175" i="7" s="1"/>
  <c r="A176" i="7"/>
  <c r="N176" i="7" s="1"/>
  <c r="A177" i="7"/>
  <c r="N177" i="7" s="1"/>
  <c r="A178" i="7"/>
  <c r="N178" i="7" s="1"/>
  <c r="A179" i="7"/>
  <c r="N179" i="7" s="1"/>
  <c r="A180" i="7"/>
  <c r="N180" i="7" s="1"/>
  <c r="A181" i="7"/>
  <c r="N181" i="7" s="1"/>
  <c r="A182" i="7"/>
  <c r="N182" i="7" s="1"/>
  <c r="A183" i="7"/>
  <c r="N183" i="7" s="1"/>
  <c r="A184" i="7"/>
  <c r="N184" i="7" s="1"/>
  <c r="A185" i="7"/>
  <c r="N185" i="7" s="1"/>
  <c r="A186" i="7"/>
  <c r="N186" i="7" s="1"/>
  <c r="A187" i="7"/>
  <c r="N187" i="7" s="1"/>
  <c r="A188" i="7"/>
  <c r="N188" i="7" s="1"/>
  <c r="A189" i="7"/>
  <c r="N189" i="7" s="1"/>
  <c r="A190" i="7"/>
  <c r="N190" i="7" s="1"/>
  <c r="A191" i="7"/>
  <c r="N191" i="7" s="1"/>
  <c r="A192" i="7"/>
  <c r="N192" i="7" s="1"/>
  <c r="A193" i="7"/>
  <c r="N193" i="7" s="1"/>
  <c r="A194" i="7"/>
  <c r="N194" i="7" s="1"/>
  <c r="A195" i="7"/>
  <c r="N195" i="7" s="1"/>
  <c r="A196" i="7"/>
  <c r="N196" i="7" s="1"/>
  <c r="A197" i="7"/>
  <c r="N197" i="7" s="1"/>
  <c r="A198" i="7"/>
  <c r="N198" i="7" s="1"/>
  <c r="A199" i="7"/>
  <c r="N199" i="7" s="1"/>
  <c r="A200" i="7"/>
  <c r="N200" i="7" s="1"/>
  <c r="A201" i="7"/>
  <c r="N201" i="7" s="1"/>
  <c r="A202" i="7"/>
  <c r="N202" i="7" s="1"/>
  <c r="A203" i="7"/>
  <c r="N203" i="7" s="1"/>
  <c r="A204" i="7"/>
  <c r="N204" i="7" s="1"/>
  <c r="A205" i="7"/>
  <c r="N205" i="7" s="1"/>
  <c r="A206" i="7"/>
  <c r="N206" i="7" s="1"/>
  <c r="A207" i="7"/>
  <c r="N207" i="7" s="1"/>
  <c r="A208" i="7"/>
  <c r="N208" i="7" s="1"/>
  <c r="A209" i="7"/>
  <c r="N209" i="7" s="1"/>
  <c r="A210" i="7"/>
  <c r="N210" i="7" s="1"/>
  <c r="A211" i="7"/>
  <c r="N211" i="7" s="1"/>
  <c r="A212" i="7"/>
  <c r="N212" i="7" s="1"/>
  <c r="A213" i="7"/>
  <c r="N213" i="7" s="1"/>
  <c r="A214" i="7"/>
  <c r="N214" i="7" s="1"/>
  <c r="A215" i="7"/>
  <c r="N215" i="7" s="1"/>
  <c r="A216" i="7"/>
  <c r="N216" i="7" s="1"/>
  <c r="A217" i="7"/>
  <c r="N217" i="7" s="1"/>
  <c r="A218" i="7"/>
  <c r="N218" i="7" s="1"/>
  <c r="A219" i="7"/>
  <c r="N219" i="7" s="1"/>
  <c r="A220" i="7"/>
  <c r="N220" i="7" s="1"/>
  <c r="A221" i="7"/>
  <c r="N221" i="7" s="1"/>
  <c r="A222" i="7"/>
  <c r="N222" i="7" s="1"/>
  <c r="A223" i="7"/>
  <c r="N223" i="7" s="1"/>
  <c r="A224" i="7"/>
  <c r="N224" i="7" s="1"/>
  <c r="A225" i="7"/>
  <c r="N225" i="7" s="1"/>
  <c r="A226" i="7"/>
  <c r="N226" i="7" s="1"/>
  <c r="A227" i="7"/>
  <c r="N227" i="7" s="1"/>
  <c r="A228" i="7"/>
  <c r="N228" i="7" s="1"/>
  <c r="A229" i="7"/>
  <c r="N229" i="7" s="1"/>
  <c r="A230" i="7"/>
  <c r="N230" i="7" s="1"/>
  <c r="A231" i="7"/>
  <c r="N231" i="7" s="1"/>
  <c r="A232" i="7"/>
  <c r="N232" i="7" s="1"/>
  <c r="A233" i="7"/>
  <c r="N233" i="7" s="1"/>
  <c r="A234" i="7"/>
  <c r="N234" i="7" s="1"/>
  <c r="A235" i="7"/>
  <c r="N235" i="7" s="1"/>
  <c r="A236" i="7"/>
  <c r="N236" i="7" s="1"/>
  <c r="A237" i="7"/>
  <c r="N237" i="7" s="1"/>
  <c r="A238" i="7"/>
  <c r="N238" i="7" s="1"/>
  <c r="A239" i="7"/>
  <c r="N239" i="7" s="1"/>
  <c r="A240" i="7"/>
  <c r="N240" i="7" s="1"/>
  <c r="A241" i="7"/>
  <c r="N241" i="7" s="1"/>
  <c r="A242" i="7"/>
  <c r="N242" i="7" s="1"/>
  <c r="A243" i="7"/>
  <c r="N243" i="7" s="1"/>
  <c r="A244" i="7"/>
  <c r="N244" i="7" s="1"/>
  <c r="A245" i="7"/>
  <c r="N245" i="7" s="1"/>
  <c r="A246" i="7"/>
  <c r="N246" i="7" s="1"/>
  <c r="A247" i="7"/>
  <c r="N247" i="7" s="1"/>
  <c r="A248" i="7"/>
  <c r="N248" i="7" s="1"/>
  <c r="A249" i="7"/>
  <c r="N249" i="7" s="1"/>
  <c r="A250" i="7"/>
  <c r="N250" i="7" s="1"/>
  <c r="A251" i="7"/>
  <c r="N251" i="7" s="1"/>
  <c r="A252" i="7"/>
  <c r="N252" i="7" s="1"/>
  <c r="A253" i="7"/>
  <c r="N253" i="7" s="1"/>
  <c r="A254" i="7"/>
  <c r="N254" i="7" s="1"/>
  <c r="A255" i="7"/>
  <c r="N255" i="7" s="1"/>
  <c r="A256" i="7"/>
  <c r="N256" i="7" s="1"/>
  <c r="A257" i="7"/>
  <c r="N257" i="7" s="1"/>
  <c r="A258" i="7"/>
  <c r="N258" i="7" s="1"/>
  <c r="A259" i="7"/>
  <c r="N259" i="7" s="1"/>
  <c r="A260" i="7"/>
  <c r="N260" i="7" s="1"/>
  <c r="A261" i="7"/>
  <c r="N261" i="7" s="1"/>
  <c r="A262" i="7"/>
  <c r="N262" i="7" s="1"/>
  <c r="A263" i="7"/>
  <c r="N263" i="7" s="1"/>
  <c r="A264" i="7"/>
  <c r="N264" i="7" s="1"/>
  <c r="A265" i="7"/>
  <c r="N265" i="7" s="1"/>
  <c r="A266" i="7"/>
  <c r="N266" i="7" s="1"/>
  <c r="A267" i="7"/>
  <c r="N267" i="7" s="1"/>
  <c r="A268" i="7"/>
  <c r="N268" i="7" s="1"/>
  <c r="A269" i="7"/>
  <c r="N269" i="7" s="1"/>
  <c r="A270" i="7"/>
  <c r="N270" i="7" s="1"/>
  <c r="A271" i="7"/>
  <c r="N271" i="7" s="1"/>
  <c r="A272" i="7"/>
  <c r="N272" i="7" s="1"/>
  <c r="A273" i="7"/>
  <c r="N273" i="7" s="1"/>
  <c r="A274" i="7"/>
  <c r="N274" i="7" s="1"/>
  <c r="A275" i="7"/>
  <c r="N275" i="7" s="1"/>
  <c r="A276" i="7"/>
  <c r="N276" i="7" s="1"/>
  <c r="A277" i="7"/>
  <c r="N277" i="7" s="1"/>
  <c r="A278" i="7"/>
  <c r="N278" i="7" s="1"/>
  <c r="A279" i="7"/>
  <c r="N279" i="7" s="1"/>
  <c r="A280" i="7"/>
  <c r="N280" i="7" s="1"/>
  <c r="A281" i="7"/>
  <c r="N281" i="7" s="1"/>
  <c r="A282" i="7"/>
  <c r="N282" i="7" s="1"/>
  <c r="A283" i="7"/>
  <c r="N283" i="7" s="1"/>
  <c r="A284" i="7"/>
  <c r="N284" i="7" s="1"/>
  <c r="A285" i="7"/>
  <c r="N285" i="7" s="1"/>
  <c r="A286" i="7"/>
  <c r="N286" i="7" s="1"/>
  <c r="A287" i="7"/>
  <c r="N287" i="7" s="1"/>
  <c r="A288" i="7"/>
  <c r="N288" i="7" s="1"/>
  <c r="A289" i="7"/>
  <c r="N289" i="7" s="1"/>
  <c r="A290" i="7"/>
  <c r="N290" i="7" s="1"/>
  <c r="A291" i="7"/>
  <c r="N291" i="7" s="1"/>
  <c r="A292" i="7"/>
  <c r="N292" i="7" s="1"/>
  <c r="A293" i="7"/>
  <c r="N293" i="7" s="1"/>
  <c r="A294" i="7"/>
  <c r="N294" i="7" s="1"/>
  <c r="A295" i="7"/>
  <c r="N295" i="7" s="1"/>
  <c r="A296" i="7"/>
  <c r="N296" i="7" s="1"/>
  <c r="A297" i="7"/>
  <c r="N297" i="7" s="1"/>
  <c r="A298" i="7"/>
  <c r="N298" i="7" s="1"/>
  <c r="A299" i="7"/>
  <c r="N299" i="7" s="1"/>
  <c r="A300" i="7"/>
  <c r="N300" i="7" s="1"/>
  <c r="A301" i="7"/>
  <c r="N301" i="7" s="1"/>
  <c r="A2" i="7"/>
  <c r="N2" i="7" s="1"/>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162" i="6"/>
  <c r="A163" i="6"/>
  <c r="A164" i="6"/>
  <c r="A165" i="6"/>
  <c r="A166" i="6"/>
  <c r="A167" i="6"/>
  <c r="A168" i="6"/>
  <c r="A169" i="6"/>
  <c r="A170" i="6"/>
  <c r="A171" i="6"/>
  <c r="A172" i="6"/>
  <c r="A173" i="6"/>
  <c r="A174" i="6"/>
  <c r="A175" i="6"/>
  <c r="A176" i="6"/>
  <c r="A177" i="6"/>
  <c r="A178" i="6"/>
  <c r="A179" i="6"/>
  <c r="A180" i="6"/>
  <c r="A181" i="6"/>
  <c r="A182" i="6"/>
  <c r="A183" i="6"/>
  <c r="A184" i="6"/>
  <c r="A185" i="6"/>
  <c r="A186" i="6"/>
  <c r="A187" i="6"/>
  <c r="A188" i="6"/>
  <c r="A189" i="6"/>
  <c r="A190" i="6"/>
  <c r="A191" i="6"/>
  <c r="A192" i="6"/>
  <c r="A193" i="6"/>
  <c r="A194" i="6"/>
  <c r="A195" i="6"/>
  <c r="A196" i="6"/>
  <c r="A197" i="6"/>
  <c r="A198" i="6"/>
  <c r="A199" i="6"/>
  <c r="A200" i="6"/>
  <c r="A201" i="6"/>
  <c r="A202" i="6"/>
  <c r="A203" i="6"/>
  <c r="A204" i="6"/>
  <c r="A205" i="6"/>
  <c r="A206" i="6"/>
  <c r="A207" i="6"/>
  <c r="A208" i="6"/>
  <c r="A209" i="6"/>
  <c r="A210" i="6"/>
  <c r="A211" i="6"/>
  <c r="A212" i="6"/>
  <c r="A213" i="6"/>
  <c r="A214" i="6"/>
  <c r="A215" i="6"/>
  <c r="A216" i="6"/>
  <c r="A217" i="6"/>
  <c r="A218" i="6"/>
  <c r="A219" i="6"/>
  <c r="A220" i="6"/>
  <c r="A221" i="6"/>
  <c r="A222" i="6"/>
  <c r="A223" i="6"/>
  <c r="A224" i="6"/>
  <c r="A225" i="6"/>
  <c r="A226" i="6"/>
  <c r="A227" i="6"/>
  <c r="A228" i="6"/>
  <c r="A229" i="6"/>
  <c r="A230" i="6"/>
  <c r="A231" i="6"/>
  <c r="A232" i="6"/>
  <c r="A233" i="6"/>
  <c r="A234" i="6"/>
  <c r="A235" i="6"/>
  <c r="A236" i="6"/>
  <c r="A237" i="6"/>
  <c r="A238" i="6"/>
  <c r="A239" i="6"/>
  <c r="A240" i="6"/>
  <c r="A241" i="6"/>
  <c r="A242" i="6"/>
  <c r="A243" i="6"/>
  <c r="A244" i="6"/>
  <c r="A245" i="6"/>
  <c r="A246" i="6"/>
  <c r="A247" i="6"/>
  <c r="A248" i="6"/>
  <c r="A249" i="6"/>
  <c r="A250" i="6"/>
  <c r="A251" i="6"/>
  <c r="A252" i="6"/>
  <c r="A253" i="6"/>
  <c r="A254" i="6"/>
  <c r="A255" i="6"/>
  <c r="A256" i="6"/>
  <c r="A257" i="6"/>
  <c r="A258" i="6"/>
  <c r="A259" i="6"/>
  <c r="A260" i="6"/>
  <c r="A261" i="6"/>
  <c r="A262" i="6"/>
  <c r="A263" i="6"/>
  <c r="A264" i="6"/>
  <c r="A265" i="6"/>
  <c r="A266" i="6"/>
  <c r="A267" i="6"/>
  <c r="A268" i="6"/>
  <c r="A269" i="6"/>
  <c r="A270" i="6"/>
  <c r="A271" i="6"/>
  <c r="A272" i="6"/>
  <c r="A273" i="6"/>
  <c r="A274" i="6"/>
  <c r="A275" i="6"/>
  <c r="A276" i="6"/>
  <c r="A277" i="6"/>
  <c r="A278" i="6"/>
  <c r="A279" i="6"/>
  <c r="A280" i="6"/>
  <c r="A281" i="6"/>
  <c r="A282" i="6"/>
  <c r="A283" i="6"/>
  <c r="A284" i="6"/>
  <c r="A285" i="6"/>
  <c r="A286" i="6"/>
  <c r="A287" i="6"/>
  <c r="A288" i="6"/>
  <c r="A289" i="6"/>
  <c r="A290" i="6"/>
  <c r="A291" i="6"/>
  <c r="A292" i="6"/>
  <c r="A293" i="6"/>
  <c r="A294" i="6"/>
  <c r="A295" i="6"/>
  <c r="A296" i="6"/>
  <c r="A297" i="6"/>
  <c r="A298" i="6"/>
  <c r="A299" i="6"/>
  <c r="A300" i="6"/>
  <c r="A301" i="6"/>
  <c r="A6" i="5"/>
  <c r="N6" i="5" s="1"/>
  <c r="A7" i="5"/>
  <c r="N7" i="5" s="1"/>
  <c r="A8" i="5"/>
  <c r="N8" i="5" s="1"/>
  <c r="A9" i="5"/>
  <c r="N9" i="5" s="1"/>
  <c r="A10" i="5"/>
  <c r="N10" i="5" s="1"/>
  <c r="A11" i="5"/>
  <c r="N11" i="5" s="1"/>
  <c r="A12" i="5"/>
  <c r="N12" i="5" s="1"/>
  <c r="A13" i="5"/>
  <c r="N13" i="5" s="1"/>
  <c r="A14" i="5"/>
  <c r="N14" i="5" s="1"/>
  <c r="A15" i="5"/>
  <c r="N15" i="5" s="1"/>
  <c r="A16" i="5"/>
  <c r="N16" i="5" s="1"/>
  <c r="A17" i="5"/>
  <c r="N17" i="5" s="1"/>
  <c r="A18" i="5"/>
  <c r="N18" i="5" s="1"/>
  <c r="A19" i="5"/>
  <c r="N19" i="5" s="1"/>
  <c r="A20" i="5"/>
  <c r="N20" i="5" s="1"/>
  <c r="A21" i="5"/>
  <c r="N21" i="5" s="1"/>
  <c r="A22" i="5"/>
  <c r="N22" i="5" s="1"/>
  <c r="A23" i="5"/>
  <c r="N23" i="5" s="1"/>
  <c r="A24" i="5"/>
  <c r="N24" i="5" s="1"/>
  <c r="A25" i="5"/>
  <c r="N25" i="5" s="1"/>
  <c r="A26" i="5"/>
  <c r="N26" i="5" s="1"/>
  <c r="A27" i="5"/>
  <c r="N27" i="5" s="1"/>
  <c r="A28" i="5"/>
  <c r="N28" i="5" s="1"/>
  <c r="A29" i="5"/>
  <c r="N29" i="5" s="1"/>
  <c r="A30" i="5"/>
  <c r="N30" i="5" s="1"/>
  <c r="A31" i="5"/>
  <c r="N31" i="5" s="1"/>
  <c r="A32" i="5"/>
  <c r="N32" i="5" s="1"/>
  <c r="A33" i="5"/>
  <c r="N33" i="5" s="1"/>
  <c r="A34" i="5"/>
  <c r="N34" i="5" s="1"/>
  <c r="A35" i="5"/>
  <c r="N35" i="5" s="1"/>
  <c r="A36" i="5"/>
  <c r="N36" i="5" s="1"/>
  <c r="A37" i="5"/>
  <c r="N37" i="5" s="1"/>
  <c r="A38" i="5"/>
  <c r="N38" i="5" s="1"/>
  <c r="A39" i="5"/>
  <c r="N39" i="5" s="1"/>
  <c r="A40" i="5"/>
  <c r="N40" i="5" s="1"/>
  <c r="A41" i="5"/>
  <c r="N41" i="5" s="1"/>
  <c r="A42" i="5"/>
  <c r="N42" i="5" s="1"/>
  <c r="A43" i="5"/>
  <c r="N43" i="5" s="1"/>
  <c r="A44" i="5"/>
  <c r="N44" i="5" s="1"/>
  <c r="A45" i="5"/>
  <c r="N45" i="5" s="1"/>
  <c r="A46" i="5"/>
  <c r="N46" i="5" s="1"/>
  <c r="A47" i="5"/>
  <c r="N47" i="5" s="1"/>
  <c r="A48" i="5"/>
  <c r="N48" i="5" s="1"/>
  <c r="A49" i="5"/>
  <c r="N49" i="5" s="1"/>
  <c r="A50" i="5"/>
  <c r="N50" i="5" s="1"/>
  <c r="A51" i="5"/>
  <c r="N51" i="5" s="1"/>
  <c r="A52" i="5"/>
  <c r="N52" i="5" s="1"/>
  <c r="A53" i="5"/>
  <c r="N53" i="5" s="1"/>
  <c r="A54" i="5"/>
  <c r="N54" i="5" s="1"/>
  <c r="A55" i="5"/>
  <c r="N55" i="5" s="1"/>
  <c r="A56" i="5"/>
  <c r="N56" i="5" s="1"/>
  <c r="A57" i="5"/>
  <c r="N57" i="5" s="1"/>
  <c r="A58" i="5"/>
  <c r="N58" i="5" s="1"/>
  <c r="A59" i="5"/>
  <c r="N59" i="5" s="1"/>
  <c r="A60" i="5"/>
  <c r="N60" i="5" s="1"/>
  <c r="A61" i="5"/>
  <c r="N61" i="5" s="1"/>
  <c r="A62" i="5"/>
  <c r="N62" i="5" s="1"/>
  <c r="A63" i="5"/>
  <c r="N63" i="5" s="1"/>
  <c r="A64" i="5"/>
  <c r="N64" i="5" s="1"/>
  <c r="A65" i="5"/>
  <c r="N65" i="5" s="1"/>
  <c r="A66" i="5"/>
  <c r="N66" i="5" s="1"/>
  <c r="A67" i="5"/>
  <c r="N67" i="5" s="1"/>
  <c r="A68" i="5"/>
  <c r="N68" i="5" s="1"/>
  <c r="A69" i="5"/>
  <c r="N69" i="5" s="1"/>
  <c r="A70" i="5"/>
  <c r="N70" i="5" s="1"/>
  <c r="A71" i="5"/>
  <c r="N71" i="5" s="1"/>
  <c r="A72" i="5"/>
  <c r="N72" i="5" s="1"/>
  <c r="A73" i="5"/>
  <c r="N73" i="5" s="1"/>
  <c r="A74" i="5"/>
  <c r="N74" i="5" s="1"/>
  <c r="A75" i="5"/>
  <c r="N75" i="5" s="1"/>
  <c r="A76" i="5"/>
  <c r="N76" i="5" s="1"/>
  <c r="A77" i="5"/>
  <c r="N77" i="5" s="1"/>
  <c r="A78" i="5"/>
  <c r="N78" i="5" s="1"/>
  <c r="A79" i="5"/>
  <c r="N79" i="5" s="1"/>
  <c r="A80" i="5"/>
  <c r="N80" i="5" s="1"/>
  <c r="A81" i="5"/>
  <c r="N81" i="5" s="1"/>
  <c r="A82" i="5"/>
  <c r="N82" i="5" s="1"/>
  <c r="A83" i="5"/>
  <c r="N83" i="5" s="1"/>
  <c r="A84" i="5"/>
  <c r="N84" i="5" s="1"/>
  <c r="A85" i="5"/>
  <c r="N85" i="5" s="1"/>
  <c r="A86" i="5"/>
  <c r="N86" i="5" s="1"/>
  <c r="A87" i="5"/>
  <c r="N87" i="5" s="1"/>
  <c r="A88" i="5"/>
  <c r="N88" i="5" s="1"/>
  <c r="A89" i="5"/>
  <c r="N89" i="5" s="1"/>
  <c r="A90" i="5"/>
  <c r="N90" i="5" s="1"/>
  <c r="A91" i="5"/>
  <c r="N91" i="5" s="1"/>
  <c r="A92" i="5"/>
  <c r="N92" i="5" s="1"/>
  <c r="A93" i="5"/>
  <c r="N93" i="5" s="1"/>
  <c r="A94" i="5"/>
  <c r="N94" i="5" s="1"/>
  <c r="A95" i="5"/>
  <c r="N95" i="5" s="1"/>
  <c r="A96" i="5"/>
  <c r="N96" i="5" s="1"/>
  <c r="A97" i="5"/>
  <c r="N97" i="5" s="1"/>
  <c r="A98" i="5"/>
  <c r="N98" i="5" s="1"/>
  <c r="A99" i="5"/>
  <c r="N99" i="5" s="1"/>
  <c r="A100" i="5"/>
  <c r="N100" i="5" s="1"/>
  <c r="A101" i="5"/>
  <c r="N101" i="5" s="1"/>
  <c r="A102" i="5"/>
  <c r="N102" i="5" s="1"/>
  <c r="A103" i="5"/>
  <c r="N103" i="5" s="1"/>
  <c r="A104" i="5"/>
  <c r="N104" i="5" s="1"/>
  <c r="A105" i="5"/>
  <c r="N105" i="5" s="1"/>
  <c r="A106" i="5"/>
  <c r="N106" i="5" s="1"/>
  <c r="A107" i="5"/>
  <c r="N107" i="5" s="1"/>
  <c r="A108" i="5"/>
  <c r="N108" i="5" s="1"/>
  <c r="A109" i="5"/>
  <c r="N109" i="5" s="1"/>
  <c r="A110" i="5"/>
  <c r="N110" i="5" s="1"/>
  <c r="A111" i="5"/>
  <c r="N111" i="5" s="1"/>
  <c r="A112" i="5"/>
  <c r="N112" i="5" s="1"/>
  <c r="A113" i="5"/>
  <c r="N113" i="5" s="1"/>
  <c r="A114" i="5"/>
  <c r="N114" i="5" s="1"/>
  <c r="A115" i="5"/>
  <c r="N115" i="5" s="1"/>
  <c r="A116" i="5"/>
  <c r="N116" i="5" s="1"/>
  <c r="A117" i="5"/>
  <c r="N117" i="5" s="1"/>
  <c r="A118" i="5"/>
  <c r="N118" i="5" s="1"/>
  <c r="A119" i="5"/>
  <c r="N119" i="5" s="1"/>
  <c r="A120" i="5"/>
  <c r="N120" i="5" s="1"/>
  <c r="A121" i="5"/>
  <c r="N121" i="5" s="1"/>
  <c r="A122" i="5"/>
  <c r="N122" i="5" s="1"/>
  <c r="A123" i="5"/>
  <c r="N123" i="5" s="1"/>
  <c r="A124" i="5"/>
  <c r="N124" i="5" s="1"/>
  <c r="A125" i="5"/>
  <c r="N125" i="5" s="1"/>
  <c r="A126" i="5"/>
  <c r="N126" i="5" s="1"/>
  <c r="A127" i="5"/>
  <c r="N127" i="5" s="1"/>
  <c r="A128" i="5"/>
  <c r="N128" i="5" s="1"/>
  <c r="A129" i="5"/>
  <c r="N129" i="5" s="1"/>
  <c r="A130" i="5"/>
  <c r="N130" i="5" s="1"/>
  <c r="A131" i="5"/>
  <c r="N131" i="5" s="1"/>
  <c r="A132" i="5"/>
  <c r="N132" i="5" s="1"/>
  <c r="A133" i="5"/>
  <c r="N133" i="5" s="1"/>
  <c r="A134" i="5"/>
  <c r="N134" i="5" s="1"/>
  <c r="A135" i="5"/>
  <c r="N135" i="5" s="1"/>
  <c r="A136" i="5"/>
  <c r="N136" i="5" s="1"/>
  <c r="A137" i="5"/>
  <c r="N137" i="5" s="1"/>
  <c r="A138" i="5"/>
  <c r="N138" i="5" s="1"/>
  <c r="A139" i="5"/>
  <c r="N139" i="5" s="1"/>
  <c r="A140" i="5"/>
  <c r="N140" i="5" s="1"/>
  <c r="A141" i="5"/>
  <c r="N141" i="5" s="1"/>
  <c r="A142" i="5"/>
  <c r="N142" i="5" s="1"/>
  <c r="A143" i="5"/>
  <c r="N143" i="5" s="1"/>
  <c r="A144" i="5"/>
  <c r="N144" i="5" s="1"/>
  <c r="A145" i="5"/>
  <c r="N145" i="5" s="1"/>
  <c r="A146" i="5"/>
  <c r="N146" i="5" s="1"/>
  <c r="A147" i="5"/>
  <c r="N147" i="5" s="1"/>
  <c r="A148" i="5"/>
  <c r="N148" i="5" s="1"/>
  <c r="A149" i="5"/>
  <c r="N149" i="5" s="1"/>
  <c r="A150" i="5"/>
  <c r="N150" i="5" s="1"/>
  <c r="A151" i="5"/>
  <c r="N151" i="5" s="1"/>
  <c r="A152" i="5"/>
  <c r="N152" i="5" s="1"/>
  <c r="A153" i="5"/>
  <c r="N153" i="5" s="1"/>
  <c r="A154" i="5"/>
  <c r="N154" i="5" s="1"/>
  <c r="A155" i="5"/>
  <c r="N155" i="5" s="1"/>
  <c r="A156" i="5"/>
  <c r="N156" i="5" s="1"/>
  <c r="A157" i="5"/>
  <c r="N157" i="5" s="1"/>
  <c r="A158" i="5"/>
  <c r="N158" i="5" s="1"/>
  <c r="A159" i="5"/>
  <c r="N159" i="5" s="1"/>
  <c r="A160" i="5"/>
  <c r="N160" i="5" s="1"/>
  <c r="A161" i="5"/>
  <c r="N161" i="5" s="1"/>
  <c r="A162" i="5"/>
  <c r="N162" i="5" s="1"/>
  <c r="A163" i="5"/>
  <c r="N163" i="5" s="1"/>
  <c r="A164" i="5"/>
  <c r="N164" i="5" s="1"/>
  <c r="A165" i="5"/>
  <c r="N165" i="5" s="1"/>
  <c r="A166" i="5"/>
  <c r="N166" i="5" s="1"/>
  <c r="A167" i="5"/>
  <c r="N167" i="5" s="1"/>
  <c r="A168" i="5"/>
  <c r="N168" i="5" s="1"/>
  <c r="A169" i="5"/>
  <c r="N169" i="5" s="1"/>
  <c r="A170" i="5"/>
  <c r="N170" i="5" s="1"/>
  <c r="A171" i="5"/>
  <c r="N171" i="5" s="1"/>
  <c r="A172" i="5"/>
  <c r="N172" i="5" s="1"/>
  <c r="A173" i="5"/>
  <c r="N173" i="5" s="1"/>
  <c r="A174" i="5"/>
  <c r="N174" i="5" s="1"/>
  <c r="A175" i="5"/>
  <c r="N175" i="5" s="1"/>
  <c r="A176" i="5"/>
  <c r="N176" i="5" s="1"/>
  <c r="A177" i="5"/>
  <c r="N177" i="5" s="1"/>
  <c r="A178" i="5"/>
  <c r="N178" i="5" s="1"/>
  <c r="A179" i="5"/>
  <c r="N179" i="5" s="1"/>
  <c r="A180" i="5"/>
  <c r="N180" i="5" s="1"/>
  <c r="A181" i="5"/>
  <c r="N181" i="5" s="1"/>
  <c r="A182" i="5"/>
  <c r="N182" i="5" s="1"/>
  <c r="A183" i="5"/>
  <c r="N183" i="5" s="1"/>
  <c r="A184" i="5"/>
  <c r="N184" i="5" s="1"/>
  <c r="A185" i="5"/>
  <c r="N185" i="5" s="1"/>
  <c r="A186" i="5"/>
  <c r="N186" i="5" s="1"/>
  <c r="A187" i="5"/>
  <c r="N187" i="5" s="1"/>
  <c r="A188" i="5"/>
  <c r="N188" i="5" s="1"/>
  <c r="A189" i="5"/>
  <c r="N189" i="5" s="1"/>
  <c r="A190" i="5"/>
  <c r="N190" i="5" s="1"/>
  <c r="A191" i="5"/>
  <c r="N191" i="5" s="1"/>
  <c r="A192" i="5"/>
  <c r="N192" i="5" s="1"/>
  <c r="A193" i="5"/>
  <c r="N193" i="5" s="1"/>
  <c r="A194" i="5"/>
  <c r="N194" i="5" s="1"/>
  <c r="A195" i="5"/>
  <c r="N195" i="5" s="1"/>
  <c r="A196" i="5"/>
  <c r="N196" i="5" s="1"/>
  <c r="A197" i="5"/>
  <c r="N197" i="5" s="1"/>
  <c r="A198" i="5"/>
  <c r="N198" i="5" s="1"/>
  <c r="A199" i="5"/>
  <c r="N199" i="5" s="1"/>
  <c r="A200" i="5"/>
  <c r="N200" i="5" s="1"/>
  <c r="A201" i="5"/>
  <c r="N201" i="5" s="1"/>
  <c r="A202" i="5"/>
  <c r="N202" i="5" s="1"/>
  <c r="A203" i="5"/>
  <c r="N203" i="5" s="1"/>
  <c r="A204" i="5"/>
  <c r="N204" i="5" s="1"/>
  <c r="A205" i="5"/>
  <c r="N205" i="5" s="1"/>
  <c r="A206" i="5"/>
  <c r="N206" i="5" s="1"/>
  <c r="A207" i="5"/>
  <c r="N207" i="5" s="1"/>
  <c r="A208" i="5"/>
  <c r="N208" i="5" s="1"/>
  <c r="A209" i="5"/>
  <c r="N209" i="5" s="1"/>
  <c r="A210" i="5"/>
  <c r="N210" i="5" s="1"/>
  <c r="A211" i="5"/>
  <c r="N211" i="5" s="1"/>
  <c r="A212" i="5"/>
  <c r="N212" i="5" s="1"/>
  <c r="A213" i="5"/>
  <c r="N213" i="5" s="1"/>
  <c r="A214" i="5"/>
  <c r="N214" i="5" s="1"/>
  <c r="A215" i="5"/>
  <c r="N215" i="5" s="1"/>
  <c r="A216" i="5"/>
  <c r="N216" i="5" s="1"/>
  <c r="A217" i="5"/>
  <c r="N217" i="5" s="1"/>
  <c r="A218" i="5"/>
  <c r="N218" i="5" s="1"/>
  <c r="A219" i="5"/>
  <c r="N219" i="5" s="1"/>
  <c r="A220" i="5"/>
  <c r="N220" i="5" s="1"/>
  <c r="A221" i="5"/>
  <c r="N221" i="5" s="1"/>
  <c r="A222" i="5"/>
  <c r="N222" i="5" s="1"/>
  <c r="A223" i="5"/>
  <c r="N223" i="5" s="1"/>
  <c r="A224" i="5"/>
  <c r="N224" i="5" s="1"/>
  <c r="A225" i="5"/>
  <c r="N225" i="5" s="1"/>
  <c r="A226" i="5"/>
  <c r="N226" i="5" s="1"/>
  <c r="A227" i="5"/>
  <c r="N227" i="5" s="1"/>
  <c r="A228" i="5"/>
  <c r="N228" i="5" s="1"/>
  <c r="A229" i="5"/>
  <c r="N229" i="5" s="1"/>
  <c r="A230" i="5"/>
  <c r="N230" i="5" s="1"/>
  <c r="A231" i="5"/>
  <c r="N231" i="5" s="1"/>
  <c r="A232" i="5"/>
  <c r="N232" i="5" s="1"/>
  <c r="A233" i="5"/>
  <c r="N233" i="5" s="1"/>
  <c r="A234" i="5"/>
  <c r="N234" i="5" s="1"/>
  <c r="A235" i="5"/>
  <c r="N235" i="5" s="1"/>
  <c r="A236" i="5"/>
  <c r="N236" i="5" s="1"/>
  <c r="A237" i="5"/>
  <c r="N237" i="5" s="1"/>
  <c r="A238" i="5"/>
  <c r="N238" i="5" s="1"/>
  <c r="A239" i="5"/>
  <c r="N239" i="5" s="1"/>
  <c r="A240" i="5"/>
  <c r="N240" i="5" s="1"/>
  <c r="A241" i="5"/>
  <c r="N241" i="5" s="1"/>
  <c r="A242" i="5"/>
  <c r="N242" i="5" s="1"/>
  <c r="A243" i="5"/>
  <c r="N243" i="5" s="1"/>
  <c r="A244" i="5"/>
  <c r="N244" i="5" s="1"/>
  <c r="A245" i="5"/>
  <c r="N245" i="5" s="1"/>
  <c r="A246" i="5"/>
  <c r="N246" i="5" s="1"/>
  <c r="A247" i="5"/>
  <c r="N247" i="5" s="1"/>
  <c r="A248" i="5"/>
  <c r="N248" i="5" s="1"/>
  <c r="A249" i="5"/>
  <c r="N249" i="5" s="1"/>
  <c r="A250" i="5"/>
  <c r="N250" i="5" s="1"/>
  <c r="A251" i="5"/>
  <c r="N251" i="5" s="1"/>
  <c r="A252" i="5"/>
  <c r="N252" i="5" s="1"/>
  <c r="A253" i="5"/>
  <c r="N253" i="5" s="1"/>
  <c r="A254" i="5"/>
  <c r="N254" i="5" s="1"/>
  <c r="A255" i="5"/>
  <c r="N255" i="5" s="1"/>
  <c r="A256" i="5"/>
  <c r="N256" i="5" s="1"/>
  <c r="A257" i="5"/>
  <c r="N257" i="5" s="1"/>
  <c r="A258" i="5"/>
  <c r="N258" i="5" s="1"/>
  <c r="A259" i="5"/>
  <c r="N259" i="5" s="1"/>
  <c r="A260" i="5"/>
  <c r="N260" i="5" s="1"/>
  <c r="A261" i="5"/>
  <c r="N261" i="5" s="1"/>
  <c r="A262" i="5"/>
  <c r="N262" i="5" s="1"/>
  <c r="A263" i="5"/>
  <c r="N263" i="5" s="1"/>
  <c r="A264" i="5"/>
  <c r="N264" i="5" s="1"/>
  <c r="A265" i="5"/>
  <c r="N265" i="5" s="1"/>
  <c r="A266" i="5"/>
  <c r="N266" i="5" s="1"/>
  <c r="A267" i="5"/>
  <c r="N267" i="5" s="1"/>
  <c r="A268" i="5"/>
  <c r="N268" i="5" s="1"/>
  <c r="A269" i="5"/>
  <c r="N269" i="5" s="1"/>
  <c r="A270" i="5"/>
  <c r="N270" i="5" s="1"/>
  <c r="A271" i="5"/>
  <c r="N271" i="5" s="1"/>
  <c r="A272" i="5"/>
  <c r="N272" i="5" s="1"/>
  <c r="A273" i="5"/>
  <c r="N273" i="5" s="1"/>
  <c r="A274" i="5"/>
  <c r="N274" i="5" s="1"/>
  <c r="A275" i="5"/>
  <c r="N275" i="5" s="1"/>
  <c r="A276" i="5"/>
  <c r="N276" i="5" s="1"/>
  <c r="A277" i="5"/>
  <c r="N277" i="5" s="1"/>
  <c r="A278" i="5"/>
  <c r="N278" i="5" s="1"/>
  <c r="A279" i="5"/>
  <c r="N279" i="5" s="1"/>
  <c r="A280" i="5"/>
  <c r="N280" i="5" s="1"/>
  <c r="A281" i="5"/>
  <c r="N281" i="5" s="1"/>
  <c r="A282" i="5"/>
  <c r="N282" i="5" s="1"/>
  <c r="A283" i="5"/>
  <c r="N283" i="5" s="1"/>
  <c r="A284" i="5"/>
  <c r="N284" i="5" s="1"/>
  <c r="A285" i="5"/>
  <c r="N285" i="5" s="1"/>
  <c r="A286" i="5"/>
  <c r="N286" i="5" s="1"/>
  <c r="A287" i="5"/>
  <c r="N287" i="5" s="1"/>
  <c r="A288" i="5"/>
  <c r="N288" i="5" s="1"/>
  <c r="A289" i="5"/>
  <c r="N289" i="5" s="1"/>
  <c r="A290" i="5"/>
  <c r="N290" i="5" s="1"/>
  <c r="A291" i="5"/>
  <c r="N291" i="5" s="1"/>
  <c r="A292" i="5"/>
  <c r="N292" i="5" s="1"/>
  <c r="A293" i="5"/>
  <c r="N293" i="5" s="1"/>
  <c r="A294" i="5"/>
  <c r="N294" i="5" s="1"/>
  <c r="A295" i="5"/>
  <c r="N295" i="5" s="1"/>
  <c r="A296" i="5"/>
  <c r="N296" i="5" s="1"/>
  <c r="A297" i="5"/>
  <c r="N297" i="5" s="1"/>
  <c r="A298" i="5"/>
  <c r="N298" i="5" s="1"/>
  <c r="A299" i="5"/>
  <c r="N299" i="5" s="1"/>
  <c r="A300" i="5"/>
  <c r="N300" i="5" s="1"/>
  <c r="A301" i="5"/>
  <c r="N301" i="5" s="1"/>
  <c r="A2" i="6"/>
  <c r="M2" i="6" s="1"/>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A16" i="4"/>
  <c r="P16" i="4" s="1"/>
  <c r="A17" i="4"/>
  <c r="P17" i="4" s="1"/>
  <c r="A18" i="4"/>
  <c r="P18" i="4" s="1"/>
  <c r="A19" i="4"/>
  <c r="P19" i="4" s="1"/>
  <c r="A20" i="4"/>
  <c r="P20" i="4" s="1"/>
  <c r="A21" i="4"/>
  <c r="P21" i="4" s="1"/>
  <c r="A22" i="4"/>
  <c r="P22" i="4" s="1"/>
  <c r="A23" i="4"/>
  <c r="P23" i="4" s="1"/>
  <c r="A24" i="4"/>
  <c r="P24" i="4" s="1"/>
  <c r="A25" i="4"/>
  <c r="P25" i="4" s="1"/>
  <c r="A26" i="4"/>
  <c r="P26" i="4" s="1"/>
  <c r="A27" i="4"/>
  <c r="P27" i="4" s="1"/>
  <c r="A28" i="4"/>
  <c r="P28" i="4" s="1"/>
  <c r="A29" i="4"/>
  <c r="P29" i="4" s="1"/>
  <c r="A30" i="4"/>
  <c r="P30" i="4" s="1"/>
  <c r="A31" i="4"/>
  <c r="P31" i="4" s="1"/>
  <c r="A32" i="4"/>
  <c r="P32" i="4" s="1"/>
  <c r="A33" i="4"/>
  <c r="P33" i="4" s="1"/>
  <c r="A34" i="4"/>
  <c r="P34" i="4" s="1"/>
  <c r="A35" i="4"/>
  <c r="P35" i="4" s="1"/>
  <c r="A36" i="4"/>
  <c r="P36" i="4" s="1"/>
  <c r="A37" i="4"/>
  <c r="P37" i="4" s="1"/>
  <c r="A38" i="4"/>
  <c r="P38" i="4" s="1"/>
  <c r="A39" i="4"/>
  <c r="P39" i="4" s="1"/>
  <c r="A40" i="4"/>
  <c r="P40" i="4" s="1"/>
  <c r="A41" i="4"/>
  <c r="P41" i="4" s="1"/>
  <c r="A42" i="4"/>
  <c r="P42" i="4" s="1"/>
  <c r="A43" i="4"/>
  <c r="P43" i="4" s="1"/>
  <c r="A44" i="4"/>
  <c r="P44" i="4" s="1"/>
  <c r="A45" i="4"/>
  <c r="P45" i="4" s="1"/>
  <c r="A46" i="4"/>
  <c r="P46" i="4" s="1"/>
  <c r="A47" i="4"/>
  <c r="P47" i="4" s="1"/>
  <c r="A48" i="4"/>
  <c r="P48" i="4" s="1"/>
  <c r="A49" i="4"/>
  <c r="P49" i="4" s="1"/>
  <c r="A50" i="4"/>
  <c r="P50" i="4" s="1"/>
  <c r="A51" i="4"/>
  <c r="P51" i="4" s="1"/>
  <c r="A52" i="4"/>
  <c r="P52" i="4" s="1"/>
  <c r="A53" i="4"/>
  <c r="P53" i="4" s="1"/>
  <c r="A54" i="4"/>
  <c r="P54" i="4" s="1"/>
  <c r="A55" i="4"/>
  <c r="P55" i="4" s="1"/>
  <c r="A56" i="4"/>
  <c r="P56" i="4" s="1"/>
  <c r="A57" i="4"/>
  <c r="P57" i="4" s="1"/>
  <c r="A58" i="4"/>
  <c r="P58" i="4" s="1"/>
  <c r="A59" i="4"/>
  <c r="P59" i="4" s="1"/>
  <c r="A60" i="4"/>
  <c r="P60" i="4" s="1"/>
  <c r="A61" i="4"/>
  <c r="P61" i="4" s="1"/>
  <c r="A62" i="4"/>
  <c r="P62" i="4" s="1"/>
  <c r="A63" i="4"/>
  <c r="P63" i="4" s="1"/>
  <c r="A64" i="4"/>
  <c r="P64" i="4" s="1"/>
  <c r="A65" i="4"/>
  <c r="P65" i="4" s="1"/>
  <c r="A66" i="4"/>
  <c r="P66" i="4" s="1"/>
  <c r="A67" i="4"/>
  <c r="P67" i="4" s="1"/>
  <c r="A68" i="4"/>
  <c r="P68" i="4" s="1"/>
  <c r="A69" i="4"/>
  <c r="P69" i="4" s="1"/>
  <c r="A70" i="4"/>
  <c r="P70" i="4" s="1"/>
  <c r="A71" i="4"/>
  <c r="P71" i="4" s="1"/>
  <c r="A72" i="4"/>
  <c r="P72" i="4" s="1"/>
  <c r="A73" i="4"/>
  <c r="P73" i="4" s="1"/>
  <c r="A74" i="4"/>
  <c r="P74" i="4" s="1"/>
  <c r="A75" i="4"/>
  <c r="P75" i="4" s="1"/>
  <c r="A76" i="4"/>
  <c r="P76" i="4" s="1"/>
  <c r="A77" i="4"/>
  <c r="P77" i="4" s="1"/>
  <c r="A78" i="4"/>
  <c r="P78" i="4" s="1"/>
  <c r="A79" i="4"/>
  <c r="P79" i="4" s="1"/>
  <c r="A80" i="4"/>
  <c r="P80" i="4" s="1"/>
  <c r="A81" i="4"/>
  <c r="P81" i="4" s="1"/>
  <c r="A82" i="4"/>
  <c r="P82" i="4" s="1"/>
  <c r="A83" i="4"/>
  <c r="P83" i="4" s="1"/>
  <c r="A84" i="4"/>
  <c r="P84" i="4" s="1"/>
  <c r="A85" i="4"/>
  <c r="P85" i="4" s="1"/>
  <c r="A86" i="4"/>
  <c r="P86" i="4" s="1"/>
  <c r="A87" i="4"/>
  <c r="P87" i="4" s="1"/>
  <c r="A88" i="4"/>
  <c r="P88" i="4" s="1"/>
  <c r="A89" i="4"/>
  <c r="P89" i="4" s="1"/>
  <c r="A90" i="4"/>
  <c r="P90" i="4" s="1"/>
  <c r="A91" i="4"/>
  <c r="P91" i="4" s="1"/>
  <c r="A92" i="4"/>
  <c r="P92" i="4" s="1"/>
  <c r="A93" i="4"/>
  <c r="P93" i="4" s="1"/>
  <c r="A94" i="4"/>
  <c r="P94" i="4" s="1"/>
  <c r="A95" i="4"/>
  <c r="P95" i="4" s="1"/>
  <c r="A96" i="4"/>
  <c r="P96" i="4" s="1"/>
  <c r="A97" i="4"/>
  <c r="P97" i="4" s="1"/>
  <c r="A98" i="4"/>
  <c r="P98" i="4" s="1"/>
  <c r="A99" i="4"/>
  <c r="P99" i="4" s="1"/>
  <c r="A100" i="4"/>
  <c r="P100" i="4" s="1"/>
  <c r="A101" i="4"/>
  <c r="P101" i="4" s="1"/>
  <c r="A102" i="4"/>
  <c r="P102" i="4" s="1"/>
  <c r="A103" i="4"/>
  <c r="P103" i="4" s="1"/>
  <c r="A104" i="4"/>
  <c r="P104" i="4" s="1"/>
  <c r="A105" i="4"/>
  <c r="P105" i="4" s="1"/>
  <c r="A106" i="4"/>
  <c r="P106" i="4" s="1"/>
  <c r="A107" i="4"/>
  <c r="P107" i="4" s="1"/>
  <c r="A108" i="4"/>
  <c r="P108" i="4" s="1"/>
  <c r="A109" i="4"/>
  <c r="P109" i="4" s="1"/>
  <c r="A110" i="4"/>
  <c r="P110" i="4" s="1"/>
  <c r="A111" i="4"/>
  <c r="P111" i="4" s="1"/>
  <c r="A112" i="4"/>
  <c r="P112" i="4" s="1"/>
  <c r="A113" i="4"/>
  <c r="P113" i="4" s="1"/>
  <c r="A114" i="4"/>
  <c r="P114" i="4" s="1"/>
  <c r="A115" i="4"/>
  <c r="P115" i="4" s="1"/>
  <c r="A116" i="4"/>
  <c r="P116" i="4" s="1"/>
  <c r="A117" i="4"/>
  <c r="P117" i="4" s="1"/>
  <c r="A118" i="4"/>
  <c r="P118" i="4" s="1"/>
  <c r="A119" i="4"/>
  <c r="P119" i="4" s="1"/>
  <c r="A120" i="4"/>
  <c r="P120" i="4" s="1"/>
  <c r="A121" i="4"/>
  <c r="P121" i="4" s="1"/>
  <c r="A122" i="4"/>
  <c r="P122" i="4" s="1"/>
  <c r="A123" i="4"/>
  <c r="P123" i="4" s="1"/>
  <c r="A124" i="4"/>
  <c r="P124" i="4" s="1"/>
  <c r="A125" i="4"/>
  <c r="P125" i="4" s="1"/>
  <c r="A126" i="4"/>
  <c r="P126" i="4" s="1"/>
  <c r="A127" i="4"/>
  <c r="P127" i="4" s="1"/>
  <c r="A128" i="4"/>
  <c r="P128" i="4" s="1"/>
  <c r="A129" i="4"/>
  <c r="P129" i="4" s="1"/>
  <c r="A130" i="4"/>
  <c r="P130" i="4" s="1"/>
  <c r="A131" i="4"/>
  <c r="P131" i="4" s="1"/>
  <c r="A132" i="4"/>
  <c r="P132" i="4" s="1"/>
  <c r="A133" i="4"/>
  <c r="P133" i="4" s="1"/>
  <c r="A134" i="4"/>
  <c r="P134" i="4" s="1"/>
  <c r="A135" i="4"/>
  <c r="P135" i="4" s="1"/>
  <c r="A136" i="4"/>
  <c r="P136" i="4" s="1"/>
  <c r="A137" i="4"/>
  <c r="P137" i="4" s="1"/>
  <c r="A138" i="4"/>
  <c r="P138" i="4" s="1"/>
  <c r="A139" i="4"/>
  <c r="P139" i="4" s="1"/>
  <c r="A140" i="4"/>
  <c r="P140" i="4" s="1"/>
  <c r="A141" i="4"/>
  <c r="P141" i="4" s="1"/>
  <c r="A142" i="4"/>
  <c r="P142" i="4" s="1"/>
  <c r="A143" i="4"/>
  <c r="P143" i="4" s="1"/>
  <c r="A144" i="4"/>
  <c r="P144" i="4" s="1"/>
  <c r="A145" i="4"/>
  <c r="P145" i="4" s="1"/>
  <c r="A146" i="4"/>
  <c r="P146" i="4" s="1"/>
  <c r="A147" i="4"/>
  <c r="P147" i="4" s="1"/>
  <c r="A148" i="4"/>
  <c r="P148" i="4" s="1"/>
  <c r="A149" i="4"/>
  <c r="P149" i="4" s="1"/>
  <c r="A150" i="4"/>
  <c r="P150" i="4" s="1"/>
  <c r="A151" i="4"/>
  <c r="P151" i="4" s="1"/>
  <c r="A152" i="4"/>
  <c r="P152" i="4" s="1"/>
  <c r="A153" i="4"/>
  <c r="P153" i="4" s="1"/>
  <c r="A154" i="4"/>
  <c r="P154" i="4" s="1"/>
  <c r="A155" i="4"/>
  <c r="P155" i="4" s="1"/>
  <c r="A156" i="4"/>
  <c r="P156" i="4" s="1"/>
  <c r="A157" i="4"/>
  <c r="P157" i="4" s="1"/>
  <c r="A158" i="4"/>
  <c r="P158" i="4" s="1"/>
  <c r="A159" i="4"/>
  <c r="P159" i="4" s="1"/>
  <c r="A160" i="4"/>
  <c r="P160" i="4" s="1"/>
  <c r="A161" i="4"/>
  <c r="P161" i="4" s="1"/>
  <c r="A162" i="4"/>
  <c r="P162" i="4" s="1"/>
  <c r="A163" i="4"/>
  <c r="P163" i="4" s="1"/>
  <c r="A164" i="4"/>
  <c r="P164" i="4" s="1"/>
  <c r="A165" i="4"/>
  <c r="P165" i="4" s="1"/>
  <c r="A166" i="4"/>
  <c r="P166" i="4" s="1"/>
  <c r="A167" i="4"/>
  <c r="P167" i="4" s="1"/>
  <c r="A168" i="4"/>
  <c r="P168" i="4" s="1"/>
  <c r="A169" i="4"/>
  <c r="P169" i="4" s="1"/>
  <c r="A170" i="4"/>
  <c r="P170" i="4" s="1"/>
  <c r="A171" i="4"/>
  <c r="P171" i="4" s="1"/>
  <c r="A172" i="4"/>
  <c r="P172" i="4" s="1"/>
  <c r="A173" i="4"/>
  <c r="P173" i="4" s="1"/>
  <c r="A174" i="4"/>
  <c r="P174" i="4" s="1"/>
  <c r="A175" i="4"/>
  <c r="P175" i="4" s="1"/>
  <c r="A176" i="4"/>
  <c r="P176" i="4" s="1"/>
  <c r="A177" i="4"/>
  <c r="P177" i="4" s="1"/>
  <c r="A178" i="4"/>
  <c r="P178" i="4" s="1"/>
  <c r="A179" i="4"/>
  <c r="P179" i="4" s="1"/>
  <c r="A180" i="4"/>
  <c r="P180" i="4" s="1"/>
  <c r="A181" i="4"/>
  <c r="P181" i="4" s="1"/>
  <c r="A182" i="4"/>
  <c r="P182" i="4" s="1"/>
  <c r="A183" i="4"/>
  <c r="P183" i="4" s="1"/>
  <c r="A184" i="4"/>
  <c r="P184" i="4" s="1"/>
  <c r="A185" i="4"/>
  <c r="P185" i="4" s="1"/>
  <c r="A186" i="4"/>
  <c r="P186" i="4" s="1"/>
  <c r="A187" i="4"/>
  <c r="P187" i="4" s="1"/>
  <c r="A188" i="4"/>
  <c r="P188" i="4" s="1"/>
  <c r="A189" i="4"/>
  <c r="P189" i="4" s="1"/>
  <c r="A190" i="4"/>
  <c r="P190" i="4" s="1"/>
  <c r="A191" i="4"/>
  <c r="P191" i="4" s="1"/>
  <c r="A192" i="4"/>
  <c r="P192" i="4" s="1"/>
  <c r="A193" i="4"/>
  <c r="P193" i="4" s="1"/>
  <c r="A194" i="4"/>
  <c r="P194" i="4" s="1"/>
  <c r="A195" i="4"/>
  <c r="P195" i="4" s="1"/>
  <c r="A196" i="4"/>
  <c r="P196" i="4" s="1"/>
  <c r="A197" i="4"/>
  <c r="P197" i="4" s="1"/>
  <c r="A198" i="4"/>
  <c r="P198" i="4" s="1"/>
  <c r="A199" i="4"/>
  <c r="P199" i="4" s="1"/>
  <c r="A200" i="4"/>
  <c r="P200" i="4" s="1"/>
  <c r="A201" i="4"/>
  <c r="P201" i="4" s="1"/>
  <c r="A2" i="4"/>
  <c r="D5" i="3"/>
  <c r="D4" i="3"/>
  <c r="D3" i="3"/>
  <c r="I25" i="3"/>
  <c r="I3" i="7"/>
  <c r="L3" i="7" s="1"/>
  <c r="I2" i="7"/>
  <c r="L2" i="7" s="1"/>
  <c r="K4" i="6"/>
  <c r="I4" i="6"/>
  <c r="I3" i="6"/>
  <c r="K3" i="6" s="1"/>
  <c r="I2" i="6"/>
  <c r="K2" i="6" s="1"/>
  <c r="J4" i="5"/>
  <c r="L4" i="5" s="1"/>
  <c r="J3" i="5"/>
  <c r="L3" i="5" s="1"/>
  <c r="J2" i="5"/>
  <c r="L2" i="5" s="1"/>
  <c r="A2" i="5"/>
  <c r="N2" i="5" s="1"/>
  <c r="L11" i="4"/>
  <c r="N11" i="4" s="1"/>
  <c r="L10" i="4"/>
  <c r="N10" i="4" s="1"/>
  <c r="N9" i="4"/>
  <c r="L9" i="4"/>
  <c r="L8" i="4"/>
  <c r="N8" i="4" s="1"/>
  <c r="L7" i="4"/>
  <c r="N7" i="4" s="1"/>
  <c r="L6" i="4"/>
  <c r="N6" i="4" s="1"/>
  <c r="N5" i="4"/>
  <c r="L5" i="4"/>
  <c r="L4" i="4"/>
  <c r="N4" i="4" s="1"/>
  <c r="L3" i="4"/>
  <c r="N3" i="4" s="1"/>
  <c r="L2" i="4"/>
  <c r="N2" i="4" s="1"/>
  <c r="I32" i="3"/>
  <c r="I31" i="3"/>
  <c r="I30" i="3"/>
  <c r="I29" i="3"/>
  <c r="I28" i="3"/>
  <c r="I27" i="3"/>
  <c r="I26" i="3"/>
  <c r="D17" i="3"/>
  <c r="F17" i="3" s="1"/>
  <c r="D7" i="3"/>
  <c r="C130" i="2"/>
  <c r="C129" i="2"/>
  <c r="D12" i="3" s="1"/>
  <c r="F12" i="3" s="1"/>
  <c r="C128" i="2"/>
  <c r="C78" i="2"/>
  <c r="C79" i="2" s="1"/>
  <c r="D8" i="3" s="1"/>
  <c r="F8" i="3" s="1"/>
  <c r="C77" i="2"/>
  <c r="C75" i="2"/>
  <c r="I33" i="3" s="1"/>
  <c r="A3" i="7"/>
  <c r="A4" i="7" s="1"/>
  <c r="A3" i="6"/>
  <c r="A4" i="6"/>
  <c r="A5" i="6" s="1"/>
  <c r="A3" i="4"/>
  <c r="A4" i="4"/>
  <c r="A5" i="4"/>
  <c r="A6" i="4"/>
  <c r="A7" i="4"/>
  <c r="A8" i="4"/>
  <c r="A3" i="5"/>
  <c r="A13" i="4"/>
  <c r="A14" i="4"/>
  <c r="A15" i="4"/>
  <c r="A9" i="4"/>
  <c r="A10" i="4"/>
  <c r="A11" i="4"/>
  <c r="A12" i="4"/>
  <c r="A4" i="5"/>
  <c r="A5" i="5" s="1"/>
  <c r="N4" i="7" l="1"/>
  <c r="N3" i="7"/>
  <c r="M301" i="6"/>
  <c r="M300" i="6"/>
  <c r="M299" i="6"/>
  <c r="M298" i="6"/>
  <c r="M297" i="6"/>
  <c r="M296" i="6"/>
  <c r="M295" i="6"/>
  <c r="M294" i="6"/>
  <c r="M293" i="6"/>
  <c r="M292" i="6"/>
  <c r="M291" i="6"/>
  <c r="M290" i="6"/>
  <c r="M289" i="6"/>
  <c r="M288" i="6"/>
  <c r="M287" i="6"/>
  <c r="M286" i="6"/>
  <c r="M285" i="6"/>
  <c r="M284" i="6"/>
  <c r="M283" i="6"/>
  <c r="M282" i="6"/>
  <c r="M281" i="6"/>
  <c r="M280" i="6"/>
  <c r="M279" i="6"/>
  <c r="M278" i="6"/>
  <c r="M277" i="6"/>
  <c r="M276" i="6"/>
  <c r="M275" i="6"/>
  <c r="M274" i="6"/>
  <c r="M273" i="6"/>
  <c r="M272" i="6"/>
  <c r="M271" i="6"/>
  <c r="M270" i="6"/>
  <c r="M269" i="6"/>
  <c r="M268" i="6"/>
  <c r="M267" i="6"/>
  <c r="M266" i="6"/>
  <c r="M265" i="6"/>
  <c r="M264" i="6"/>
  <c r="M263" i="6"/>
  <c r="M262" i="6"/>
  <c r="M261" i="6"/>
  <c r="M260" i="6"/>
  <c r="M259" i="6"/>
  <c r="M258" i="6"/>
  <c r="M257" i="6"/>
  <c r="M256" i="6"/>
  <c r="M255" i="6"/>
  <c r="M254" i="6"/>
  <c r="M253" i="6"/>
  <c r="M252" i="6"/>
  <c r="M251" i="6"/>
  <c r="M250" i="6"/>
  <c r="M249" i="6"/>
  <c r="M248" i="6"/>
  <c r="M247" i="6"/>
  <c r="M246" i="6"/>
  <c r="M245" i="6"/>
  <c r="M244" i="6"/>
  <c r="M243" i="6"/>
  <c r="M242" i="6"/>
  <c r="M241" i="6"/>
  <c r="M240" i="6"/>
  <c r="M239" i="6"/>
  <c r="M238" i="6"/>
  <c r="M237" i="6"/>
  <c r="M236" i="6"/>
  <c r="M235" i="6"/>
  <c r="M234" i="6"/>
  <c r="M233" i="6"/>
  <c r="M232" i="6"/>
  <c r="M231" i="6"/>
  <c r="M230" i="6"/>
  <c r="M229" i="6"/>
  <c r="M228" i="6"/>
  <c r="M227" i="6"/>
  <c r="M226" i="6"/>
  <c r="M225" i="6"/>
  <c r="M224" i="6"/>
  <c r="M223" i="6"/>
  <c r="M222" i="6"/>
  <c r="M221" i="6"/>
  <c r="M220" i="6"/>
  <c r="M219" i="6"/>
  <c r="M218" i="6"/>
  <c r="M217" i="6"/>
  <c r="M216" i="6"/>
  <c r="M215" i="6"/>
  <c r="M214" i="6"/>
  <c r="M213" i="6"/>
  <c r="M212" i="6"/>
  <c r="M211" i="6"/>
  <c r="M210" i="6"/>
  <c r="M209" i="6"/>
  <c r="M208" i="6"/>
  <c r="M207" i="6"/>
  <c r="M206" i="6"/>
  <c r="M205" i="6"/>
  <c r="M204" i="6"/>
  <c r="M203" i="6"/>
  <c r="M202" i="6"/>
  <c r="M201" i="6"/>
  <c r="M200" i="6"/>
  <c r="M199" i="6"/>
  <c r="M198" i="6"/>
  <c r="M197" i="6"/>
  <c r="M196" i="6"/>
  <c r="M195" i="6"/>
  <c r="M194" i="6"/>
  <c r="M193" i="6"/>
  <c r="M192" i="6"/>
  <c r="M191" i="6"/>
  <c r="M190" i="6"/>
  <c r="M189" i="6"/>
  <c r="M188" i="6"/>
  <c r="M187" i="6"/>
  <c r="M186" i="6"/>
  <c r="M185" i="6"/>
  <c r="M184" i="6"/>
  <c r="M183" i="6"/>
  <c r="M182" i="6"/>
  <c r="M181" i="6"/>
  <c r="M180" i="6"/>
  <c r="M179" i="6"/>
  <c r="M178" i="6"/>
  <c r="M177" i="6"/>
  <c r="M176" i="6"/>
  <c r="M175" i="6"/>
  <c r="M174" i="6"/>
  <c r="M173" i="6"/>
  <c r="M172" i="6"/>
  <c r="M171" i="6"/>
  <c r="M170" i="6"/>
  <c r="M169" i="6"/>
  <c r="M168" i="6"/>
  <c r="M167" i="6"/>
  <c r="M166" i="6"/>
  <c r="M165" i="6"/>
  <c r="M164" i="6"/>
  <c r="M163" i="6"/>
  <c r="M162" i="6"/>
  <c r="M161" i="6"/>
  <c r="M160" i="6"/>
  <c r="M159" i="6"/>
  <c r="M158" i="6"/>
  <c r="M157" i="6"/>
  <c r="M156" i="6"/>
  <c r="M155" i="6"/>
  <c r="M154" i="6"/>
  <c r="M153" i="6"/>
  <c r="M152" i="6"/>
  <c r="M151" i="6"/>
  <c r="M150" i="6"/>
  <c r="M149" i="6"/>
  <c r="M148" i="6"/>
  <c r="M147" i="6"/>
  <c r="M146" i="6"/>
  <c r="M145" i="6"/>
  <c r="M144" i="6"/>
  <c r="M143" i="6"/>
  <c r="M142" i="6"/>
  <c r="M141" i="6"/>
  <c r="M140" i="6"/>
  <c r="M139" i="6"/>
  <c r="M138" i="6"/>
  <c r="M137" i="6"/>
  <c r="M136" i="6"/>
  <c r="M135" i="6"/>
  <c r="M134" i="6"/>
  <c r="M133" i="6"/>
  <c r="M132" i="6"/>
  <c r="M131" i="6"/>
  <c r="M130" i="6"/>
  <c r="M129" i="6"/>
  <c r="M128" i="6"/>
  <c r="M127" i="6"/>
  <c r="M126" i="6"/>
  <c r="M125" i="6"/>
  <c r="M124" i="6"/>
  <c r="M123" i="6"/>
  <c r="M122" i="6"/>
  <c r="M121" i="6"/>
  <c r="M120" i="6"/>
  <c r="M119" i="6"/>
  <c r="M118" i="6"/>
  <c r="M117" i="6"/>
  <c r="M116" i="6"/>
  <c r="M115" i="6"/>
  <c r="M114" i="6"/>
  <c r="M113" i="6"/>
  <c r="M112" i="6"/>
  <c r="M111" i="6"/>
  <c r="M110" i="6"/>
  <c r="M109" i="6"/>
  <c r="M108" i="6"/>
  <c r="M107" i="6"/>
  <c r="M106" i="6"/>
  <c r="M105" i="6"/>
  <c r="M104" i="6"/>
  <c r="M103" i="6"/>
  <c r="M102" i="6"/>
  <c r="M101" i="6"/>
  <c r="M100" i="6"/>
  <c r="M99" i="6"/>
  <c r="M98" i="6"/>
  <c r="M97" i="6"/>
  <c r="M96" i="6"/>
  <c r="M95" i="6"/>
  <c r="M94" i="6"/>
  <c r="M93" i="6"/>
  <c r="M92" i="6"/>
  <c r="M91" i="6"/>
  <c r="M90" i="6"/>
  <c r="M89" i="6"/>
  <c r="M88" i="6"/>
  <c r="M87" i="6"/>
  <c r="M86" i="6"/>
  <c r="M85" i="6"/>
  <c r="M84" i="6"/>
  <c r="M83" i="6"/>
  <c r="M82" i="6"/>
  <c r="M81" i="6"/>
  <c r="M80" i="6"/>
  <c r="M79" i="6"/>
  <c r="M78" i="6"/>
  <c r="M77" i="6"/>
  <c r="M76" i="6"/>
  <c r="M75" i="6"/>
  <c r="M74" i="6"/>
  <c r="M73" i="6"/>
  <c r="M72" i="6"/>
  <c r="M71" i="6"/>
  <c r="M70" i="6"/>
  <c r="M69" i="6"/>
  <c r="M68" i="6"/>
  <c r="M67" i="6"/>
  <c r="M66" i="6"/>
  <c r="M65" i="6"/>
  <c r="M64" i="6"/>
  <c r="M63" i="6"/>
  <c r="M62" i="6"/>
  <c r="M61" i="6"/>
  <c r="M60" i="6"/>
  <c r="M59" i="6"/>
  <c r="M58" i="6"/>
  <c r="M57" i="6"/>
  <c r="M56" i="6"/>
  <c r="M55" i="6"/>
  <c r="M54" i="6"/>
  <c r="M53" i="6"/>
  <c r="M52" i="6"/>
  <c r="M51" i="6"/>
  <c r="M50" i="6"/>
  <c r="M49" i="6"/>
  <c r="M48" i="6"/>
  <c r="M47" i="6"/>
  <c r="M46" i="6"/>
  <c r="M45" i="6"/>
  <c r="M44" i="6"/>
  <c r="M43" i="6"/>
  <c r="M42" i="6"/>
  <c r="M41" i="6"/>
  <c r="M40" i="6"/>
  <c r="M39" i="6"/>
  <c r="M38" i="6"/>
  <c r="M37" i="6"/>
  <c r="M36" i="6"/>
  <c r="M35" i="6"/>
  <c r="M34" i="6"/>
  <c r="M33" i="6"/>
  <c r="M32" i="6"/>
  <c r="M31" i="6"/>
  <c r="M30" i="6"/>
  <c r="M29" i="6"/>
  <c r="M28" i="6"/>
  <c r="M27" i="6"/>
  <c r="M26" i="6"/>
  <c r="M25" i="6"/>
  <c r="M24" i="6"/>
  <c r="M23" i="6"/>
  <c r="M22" i="6"/>
  <c r="M21" i="6"/>
  <c r="M20" i="6"/>
  <c r="M19" i="6"/>
  <c r="M18" i="6"/>
  <c r="M17" i="6"/>
  <c r="M16" i="6"/>
  <c r="M15" i="6"/>
  <c r="M14" i="6"/>
  <c r="M13" i="6"/>
  <c r="M12" i="6"/>
  <c r="M11" i="6"/>
  <c r="M10" i="6"/>
  <c r="M9" i="6"/>
  <c r="M8" i="6"/>
  <c r="M7" i="6"/>
  <c r="M6" i="6"/>
  <c r="M5" i="6"/>
  <c r="N5" i="5"/>
  <c r="M4" i="6"/>
  <c r="M3" i="6"/>
  <c r="N4" i="5"/>
  <c r="N3" i="5"/>
  <c r="P15" i="4"/>
  <c r="P14" i="4"/>
  <c r="P13" i="4"/>
  <c r="P11" i="4"/>
  <c r="P10" i="4"/>
  <c r="P9" i="4"/>
  <c r="P8" i="4"/>
  <c r="P7" i="4"/>
  <c r="P6" i="4"/>
  <c r="P5" i="4"/>
  <c r="P4" i="4"/>
  <c r="P3" i="4"/>
  <c r="P12" i="4"/>
  <c r="C25" i="3"/>
  <c r="H32" i="3"/>
  <c r="B32" i="3"/>
  <c r="C32" i="3"/>
  <c r="F32" i="3"/>
  <c r="G32" i="3"/>
  <c r="C31" i="3"/>
  <c r="H31" i="3"/>
  <c r="G31" i="3"/>
  <c r="B31" i="3"/>
  <c r="F31" i="3"/>
  <c r="C30" i="3"/>
  <c r="H30" i="3"/>
  <c r="B30" i="3"/>
  <c r="G30" i="3"/>
  <c r="F30" i="3"/>
  <c r="F29" i="3"/>
  <c r="H29" i="3"/>
  <c r="C29" i="3"/>
  <c r="B29" i="3"/>
  <c r="C63" i="2" a="1"/>
  <c r="C63" i="2" s="1"/>
  <c r="C65" i="2" s="1"/>
  <c r="G29" i="3"/>
  <c r="H28" i="3"/>
  <c r="G28" i="3"/>
  <c r="F28" i="3"/>
  <c r="C28" i="3"/>
  <c r="B28" i="3"/>
  <c r="G27" i="3"/>
  <c r="F27" i="3"/>
  <c r="H27" i="3"/>
  <c r="C27" i="3"/>
  <c r="B27" i="3"/>
  <c r="G26" i="3"/>
  <c r="H26" i="3"/>
  <c r="B26" i="3"/>
  <c r="C26" i="3"/>
  <c r="F26" i="3"/>
  <c r="H25" i="3"/>
  <c r="G25" i="3"/>
  <c r="F25" i="3"/>
  <c r="B25" i="3"/>
  <c r="C66" i="2" a="1"/>
  <c r="C66" i="2" s="1"/>
  <c r="C68" i="2" s="1"/>
  <c r="C69" i="2" a="1"/>
  <c r="C69" i="2" s="1"/>
  <c r="C71" i="2" s="1"/>
  <c r="C72" i="2" a="1"/>
  <c r="C72" i="2" s="1"/>
  <c r="C74" i="2" s="1"/>
  <c r="P2" i="4"/>
  <c r="C57" i="2" a="1"/>
  <c r="C57" i="2" s="1"/>
  <c r="C59" i="2" s="1"/>
  <c r="C93" i="2"/>
  <c r="C60" i="2" a="1"/>
  <c r="C60" i="2" s="1"/>
  <c r="C62" i="2" s="1"/>
  <c r="C103" i="2"/>
  <c r="C113" i="2"/>
  <c r="C54" i="2" a="1"/>
  <c r="C54" i="2" s="1"/>
  <c r="C56" i="2" s="1"/>
  <c r="C123" i="2"/>
  <c r="C82" i="2" a="1"/>
  <c r="C82" i="2" s="1"/>
  <c r="C81" i="2" a="1"/>
  <c r="C81" i="2" s="1"/>
  <c r="C83" i="2" a="1"/>
  <c r="C83" i="2" s="1"/>
  <c r="C100" i="2" a="1"/>
  <c r="C100" i="2" s="1"/>
  <c r="C120" i="2" a="1"/>
  <c r="C120" i="2" s="1"/>
  <c r="C90" i="2" a="1"/>
  <c r="C90" i="2" s="1"/>
  <c r="C110" i="2" a="1"/>
  <c r="C110" i="2" s="1"/>
  <c r="C86" i="2" a="1"/>
  <c r="C86" i="2" s="1"/>
  <c r="C85" i="2" a="1"/>
  <c r="C85" i="2" s="1"/>
  <c r="C95" i="2" a="1"/>
  <c r="C95" i="2" s="1"/>
  <c r="C51" i="2" a="1"/>
  <c r="C51" i="2" s="1"/>
  <c r="C53" i="2" s="1"/>
  <c r="C52" i="2" a="1"/>
  <c r="C52" i="2" s="1"/>
  <c r="C50" i="2" a="1"/>
  <c r="C50" i="2" s="1"/>
  <c r="C126" i="2" s="1"/>
  <c r="C127" i="2" s="1"/>
  <c r="D11" i="3" s="1"/>
  <c r="F11" i="3" s="1"/>
  <c r="C49" i="2" a="1"/>
  <c r="C49" i="2" s="1"/>
  <c r="C48" i="2" a="1"/>
  <c r="C48" i="2" s="1"/>
  <c r="C47" i="2" a="1"/>
  <c r="C47" i="2" s="1"/>
  <c r="C122" i="2" a="1"/>
  <c r="C122" i="2" s="1"/>
  <c r="C61" i="2" a="1"/>
  <c r="C61" i="2" s="1"/>
  <c r="C70" i="2" a="1"/>
  <c r="C70" i="2" s="1"/>
  <c r="C58" i="2" a="1"/>
  <c r="C58" i="2" s="1"/>
  <c r="C67" i="2" a="1"/>
  <c r="C67" i="2" s="1"/>
  <c r="C73" i="2" a="1"/>
  <c r="C73" i="2" s="1"/>
  <c r="C55" i="2" a="1"/>
  <c r="C55" i="2" s="1"/>
  <c r="C64" i="2" a="1"/>
  <c r="C64" i="2" s="1"/>
  <c r="C115" i="2" a="1"/>
  <c r="C115" i="2" s="1"/>
  <c r="C105" i="2" a="1"/>
  <c r="C105" i="2" s="1"/>
  <c r="C96" i="2" a="1"/>
  <c r="C96" i="2" s="1"/>
  <c r="C99" i="2" s="1"/>
  <c r="C106" i="2" a="1"/>
  <c r="C106" i="2" s="1"/>
  <c r="C109" i="2" s="1"/>
  <c r="C116" i="2" a="1"/>
  <c r="C116" i="2" s="1"/>
  <c r="C119" i="2" s="1"/>
  <c r="C87" i="2" a="1"/>
  <c r="C87" i="2" s="1"/>
  <c r="C107" i="2" a="1"/>
  <c r="C107" i="2" s="1"/>
  <c r="C117" i="2" a="1"/>
  <c r="C117" i="2" s="1"/>
  <c r="C97" i="2" a="1"/>
  <c r="C97" i="2" s="1"/>
  <c r="C88" i="2"/>
  <c r="C98" i="2"/>
  <c r="C108" i="2"/>
  <c r="C118" i="2"/>
  <c r="C101" i="2" a="1"/>
  <c r="C101" i="2" s="1"/>
  <c r="C111" i="2" a="1"/>
  <c r="C111" i="2" s="1"/>
  <c r="C121" i="2" a="1"/>
  <c r="C121" i="2" s="1"/>
  <c r="C124" i="2" s="1"/>
  <c r="C91" i="2" a="1"/>
  <c r="C91" i="2" s="1"/>
  <c r="C92" i="2" a="1"/>
  <c r="C92" i="2" s="1"/>
  <c r="C102" i="2" a="1"/>
  <c r="C102" i="2" s="1"/>
  <c r="C112" i="2" a="1"/>
  <c r="C112" i="2" s="1"/>
  <c r="C80" i="2" l="1"/>
  <c r="C84" i="2"/>
  <c r="J26" i="3"/>
  <c r="J30" i="3"/>
  <c r="J25" i="3"/>
  <c r="J29" i="3"/>
  <c r="J32" i="3"/>
  <c r="J27" i="3"/>
  <c r="J28" i="3"/>
  <c r="J31" i="3"/>
  <c r="C104" i="2"/>
  <c r="C114" i="2"/>
  <c r="C94" i="2"/>
  <c r="C76" i="2"/>
  <c r="J33" i="3" s="1"/>
  <c r="C89" i="2"/>
  <c r="C125" i="2" l="1"/>
  <c r="D10" i="3" s="1"/>
  <c r="F10" i="3" s="1"/>
  <c r="D9" i="3"/>
  <c r="F9" i="3" s="1"/>
  <c r="C131" i="2" l="1"/>
  <c r="D15" i="3" s="1"/>
  <c r="F15" i="3" s="1"/>
  <c r="C132" i="2"/>
  <c r="D16" i="3" s="1"/>
  <c r="F16" i="3" s="1"/>
  <c r="C133" i="2"/>
  <c r="D14" i="3" s="1"/>
  <c r="F14" i="3" s="1"/>
  <c r="C135" i="2"/>
  <c r="D19" i="3" s="1"/>
  <c r="D13" i="3"/>
  <c r="F13" i="3" s="1"/>
  <c r="C134" i="2" l="1"/>
</calcChain>
</file>

<file path=xl/sharedStrings.xml><?xml version="1.0" encoding="utf-8"?>
<sst xmlns="http://schemas.openxmlformats.org/spreadsheetml/2006/main" count="444" uniqueCount="262">
  <si>
    <t>INTRODUCTION</t>
  </si>
  <si>
    <t>This workbook is intended to help 3D printing enthusiasts and small businesses estimate the cost of 3D print jobs and create quotes. The formulas and estimate template can accommodate up to eight different filament spools regardless of whether the set up is a single-extruder or multi-extruder printer.
The formulas in this workbook rely heavily on named ranges which should make it easier to understand how the different costs are being calculated. There are several protected sheets and ranges in order to prevent accidental overwrites. You can easily disable the sheet/range protection, but keep in mind that changes to these areas of the workbook may cause errors.
I hope this helps!</t>
  </si>
  <si>
    <t>DOWNLOADING</t>
  </si>
  <si>
    <t>1.)</t>
  </si>
  <si>
    <t>JOB VARIABLES (MANUAL)</t>
  </si>
  <si>
    <t>2.)</t>
  </si>
  <si>
    <t>3.)</t>
  </si>
  <si>
    <t>ROLL 1 SELECTION</t>
  </si>
  <si>
    <t>JOB NAME</t>
  </si>
  <si>
    <t>4.)</t>
  </si>
  <si>
    <t>GETTING STARTED</t>
  </si>
  <si>
    <t xml:space="preserve">1.) </t>
  </si>
  <si>
    <t>Add Filament Option</t>
  </si>
  <si>
    <t>DISCLAIMER</t>
  </si>
  <si>
    <t>FOR</t>
  </si>
  <si>
    <t>FEEDBACK AND CONTRIBUTIONS</t>
  </si>
  <si>
    <t>DATE</t>
  </si>
  <si>
    <t>VERSION</t>
  </si>
  <si>
    <t>v1.0.0</t>
  </si>
  <si>
    <t>`</t>
  </si>
  <si>
    <t>ROLL 2 SELECTION</t>
  </si>
  <si>
    <t>NUMBER OF PRINTS</t>
  </si>
  <si>
    <t>000 | None</t>
  </si>
  <si>
    <t>ROLL 3 SELECTION</t>
  </si>
  <si>
    <t>ROLL 4 SELECTION</t>
  </si>
  <si>
    <t>TOTAL PRINT TIME</t>
  </si>
  <si>
    <t>ROLL 5 SELECTION</t>
  </si>
  <si>
    <t>ROLL 6 SELECTION</t>
  </si>
  <si>
    <t>ROLL 7 SELECTION</t>
  </si>
  <si>
    <t>ROLL 8 SELECTION</t>
  </si>
  <si>
    <t>ROLL 1 AMOUNT PER PRINT</t>
  </si>
  <si>
    <t>Grams</t>
  </si>
  <si>
    <t>ROLL 2 AMOUNT PER PRINT</t>
  </si>
  <si>
    <t>ROLL 3 AMOUNT PER PRINT</t>
  </si>
  <si>
    <t>ROLL 4 AMOUNT PER PRINT</t>
  </si>
  <si>
    <t>FILAMENT COST</t>
  </si>
  <si>
    <t>ROLL 5 AMOUNT PER PRINT</t>
  </si>
  <si>
    <t>ROLL 6 AMOUNT PER PRINT</t>
  </si>
  <si>
    <t>ROLL 7 AMOUNT PER PRINT</t>
  </si>
  <si>
    <t>ROLL 8 AMOUNT PER PRINT</t>
  </si>
  <si>
    <t>TIME PER PRINT MINUTES</t>
  </si>
  <si>
    <t>Minutes</t>
  </si>
  <si>
    <t>Prints</t>
  </si>
  <si>
    <t>LABOR MINUTES</t>
  </si>
  <si>
    <t>LABOR COST</t>
  </si>
  <si>
    <t>per Minute</t>
  </si>
  <si>
    <t>FAILURE CONTINGENCY</t>
  </si>
  <si>
    <t>DEPRECIATION</t>
  </si>
  <si>
    <t>ID</t>
  </si>
  <si>
    <t>Accounts for waste from failed jobs</t>
  </si>
  <si>
    <t>MAINTENANCE CONTINGENCY</t>
  </si>
  <si>
    <t>Accounts for miscellaneous materials and maintenance</t>
  </si>
  <si>
    <t>TRANSACTION FEE</t>
  </si>
  <si>
    <t>Fees from e-commerce sites and payment processing</t>
  </si>
  <si>
    <t>SALES TAX</t>
  </si>
  <si>
    <t>SHIPPING COST</t>
  </si>
  <si>
    <t>Cost to ship to the customer (packing materials, carrier fee, etc.)</t>
  </si>
  <si>
    <t>PROFIT MARGIN</t>
  </si>
  <si>
    <t>Accounts for desired profit (0% is break-even)</t>
  </si>
  <si>
    <t>TYPE</t>
  </si>
  <si>
    <t>CLIENT NAME</t>
  </si>
  <si>
    <t>FINISH</t>
  </si>
  <si>
    <t>PRINT DATE</t>
  </si>
  <si>
    <t>OVERHEAD</t>
  </si>
  <si>
    <t>PRODUCT</t>
  </si>
  <si>
    <t>NO CHARGE</t>
  </si>
  <si>
    <t>COLOR</t>
  </si>
  <si>
    <t>MANUFACTURER</t>
  </si>
  <si>
    <t>VENDOR</t>
  </si>
  <si>
    <t>ROLL SIZE (g)</t>
  </si>
  <si>
    <t>ENVIRONMENT VARIABLES (MANUAL)</t>
  </si>
  <si>
    <t>DIAMETER (mm)</t>
  </si>
  <si>
    <t>NFC</t>
  </si>
  <si>
    <t>PRINTER MODEL</t>
  </si>
  <si>
    <t>COST</t>
  </si>
  <si>
    <t>TAX</t>
  </si>
  <si>
    <t>Add Printer Option</t>
  </si>
  <si>
    <t>SHIPPING</t>
  </si>
  <si>
    <t>TOTAL COST</t>
  </si>
  <si>
    <t>PLATE</t>
  </si>
  <si>
    <t>HYPERLINK</t>
  </si>
  <si>
    <t>Add Plate Option</t>
  </si>
  <si>
    <t>FILAMENT DROPDOWN</t>
  </si>
  <si>
    <t>LABOR</t>
  </si>
  <si>
    <t>NOZZLE 1</t>
  </si>
  <si>
    <t>Add Nozzle Option</t>
  </si>
  <si>
    <t>NOZZLE 2</t>
  </si>
  <si>
    <t>NOZZLE 3</t>
  </si>
  <si>
    <t>NOZZLE 4</t>
  </si>
  <si>
    <t>NOZZLE 5</t>
  </si>
  <si>
    <t>NOZZLE 6</t>
  </si>
  <si>
    <t>NOZZLE 7</t>
  </si>
  <si>
    <t>NOZZLE 8</t>
  </si>
  <si>
    <t>CONTINGENCY</t>
  </si>
  <si>
    <t>ELECTRICITY COST</t>
  </si>
  <si>
    <t>per Kilowatt-Hour (KwH)</t>
  </si>
  <si>
    <t>CALCULATED VARIABLES (AUTOMATIC)</t>
  </si>
  <si>
    <t>PRINTER PURCHASE YEAR</t>
  </si>
  <si>
    <t>None</t>
  </si>
  <si>
    <t>N/A</t>
  </si>
  <si>
    <t>MATERIAL</t>
  </si>
  <si>
    <t>PROFIT</t>
  </si>
  <si>
    <t xml:space="preserve"> No </t>
  </si>
  <si>
    <t>PURCHASE YEAR</t>
  </si>
  <si>
    <t>LIFESPAN (HRS)</t>
  </si>
  <si>
    <t>PRINTER PURCHASE COST</t>
  </si>
  <si>
    <t>FEES</t>
  </si>
  <si>
    <t>NOZZLE DROPDOWN</t>
  </si>
  <si>
    <t>Includes shipping and tax</t>
  </si>
  <si>
    <t>PRINTER LIFE SPAN</t>
  </si>
  <si>
    <t>Hours</t>
  </si>
  <si>
    <t>PRINTER KILOWATTS PER HOUR</t>
  </si>
  <si>
    <t>Kilowatts (for PLA)</t>
  </si>
  <si>
    <t>ROLL 1 AMOUNT PER ROLL</t>
  </si>
  <si>
    <t>PLA</t>
  </si>
  <si>
    <t>FILAMENT USED</t>
  </si>
  <si>
    <t>Glitter</t>
  </si>
  <si>
    <t xml:space="preserve">Prusament </t>
  </si>
  <si>
    <t>Galaxy Black</t>
  </si>
  <si>
    <t>Prusa</t>
  </si>
  <si>
    <t>Amazon</t>
  </si>
  <si>
    <t>Yes</t>
  </si>
  <si>
    <t>AMOUNT (g)</t>
  </si>
  <si>
    <t>Grams (1 kilogram (kg) = 1 gram (g))</t>
  </si>
  <si>
    <t>ROLL 1 COST PER ROLL</t>
  </si>
  <si>
    <t>Brass</t>
  </si>
  <si>
    <t>Brass CHT</t>
  </si>
  <si>
    <t>https://a.co/d/07OOR0Rj</t>
  </si>
  <si>
    <t>2026</t>
  </si>
  <si>
    <t>ROLL 1 %</t>
  </si>
  <si>
    <t>https://www.prusa3d.com/product/prusa-nozzle-brass-cht-0-4-mm/</t>
  </si>
  <si>
    <t>ROLL 2 AMOUNT PER ROLL</t>
  </si>
  <si>
    <t>PLA Plus</t>
  </si>
  <si>
    <t>ROLL 2 COST PER ROLL</t>
  </si>
  <si>
    <t>Tungsten Carbide</t>
  </si>
  <si>
    <t>White</t>
  </si>
  <si>
    <t>Durozzle</t>
  </si>
  <si>
    <t>Elegoo</t>
  </si>
  <si>
    <t>ROLL 2 %</t>
  </si>
  <si>
    <t>https://a.co/d/0d4szNt3</t>
  </si>
  <si>
    <t>ROLL 3 AMOUNT PER ROLL</t>
  </si>
  <si>
    <t>https://a.co/d/0hpkVya5</t>
  </si>
  <si>
    <t>ROLL 3 COST PER ROLL</t>
  </si>
  <si>
    <t>ROLL 3 %</t>
  </si>
  <si>
    <t>Micro Center PLA+</t>
  </si>
  <si>
    <t>Olive Green</t>
  </si>
  <si>
    <t>Inland</t>
  </si>
  <si>
    <t>ROLL 4 AMOUNT PER ROLL</t>
  </si>
  <si>
    <t>https://a.co/d/0fVKbn0V</t>
  </si>
  <si>
    <t>ROLL 4 COST PER ROLL</t>
  </si>
  <si>
    <t>ROLL 4 %</t>
  </si>
  <si>
    <t>ROLL 5 AMOUNT PER ROLL</t>
  </si>
  <si>
    <t>ePLA-Lite</t>
  </si>
  <si>
    <t>Yellow</t>
  </si>
  <si>
    <t>eSUN</t>
  </si>
  <si>
    <t>ROLL 5 COST PER ROLL</t>
  </si>
  <si>
    <t>https://a.co/d/085MYaHr</t>
  </si>
  <si>
    <t>ROLL 5 %</t>
  </si>
  <si>
    <t>ROLL 6 AMOUNT PER ROLL</t>
  </si>
  <si>
    <t>Glow</t>
  </si>
  <si>
    <t>ROLL 6 COST PER ROLL</t>
  </si>
  <si>
    <t>Glow Green</t>
  </si>
  <si>
    <t>ROLL 6 %</t>
  </si>
  <si>
    <t>https://a.co/d/0eCazdT0</t>
  </si>
  <si>
    <t>ROLL 7 AMOUNT PER ROLL</t>
  </si>
  <si>
    <t>ROLL 7 COST PER ROLL</t>
  </si>
  <si>
    <t>Metallic</t>
  </si>
  <si>
    <t>Silk PLA</t>
  </si>
  <si>
    <t>Silver</t>
  </si>
  <si>
    <t>ROLL 7 %</t>
  </si>
  <si>
    <t>Eryone</t>
  </si>
  <si>
    <t>ROLL 8 AMOUNT PER ROLL</t>
  </si>
  <si>
    <t>https://a.co/d/0bDRscle</t>
  </si>
  <si>
    <t>ROLL 8 COST PER ROLL</t>
  </si>
  <si>
    <t>ROLL 8 %</t>
  </si>
  <si>
    <t>TOTAL FILAMENT USED</t>
  </si>
  <si>
    <t>Marble</t>
  </si>
  <si>
    <t>TOTAL FILAMENT COST</t>
  </si>
  <si>
    <t>https://a.co/d/05G3VBqw</t>
  </si>
  <si>
    <t>TIME PER PRINT HOURS</t>
  </si>
  <si>
    <t>TOTAL PRINT TIME MINUTES</t>
  </si>
  <si>
    <t>TOTAL PRINT TIME HOURS</t>
  </si>
  <si>
    <t>PETG</t>
  </si>
  <si>
    <t>PRINTER DEPRECIATION</t>
  </si>
  <si>
    <t>Black</t>
  </si>
  <si>
    <t>PLATE PURCHASE YEAR</t>
  </si>
  <si>
    <t>https://a.co/d/094rU2zP</t>
  </si>
  <si>
    <t>PLATE PURCHASE PRICE</t>
  </si>
  <si>
    <t>PLATE LIFE SPAN</t>
  </si>
  <si>
    <t>PLA+</t>
  </si>
  <si>
    <t>Micro Center</t>
  </si>
  <si>
    <t>PLATE DEPRECIATION</t>
  </si>
  <si>
    <t>NOZZLE 1 PURCHASE YEAR</t>
  </si>
  <si>
    <t>https://www.microcenter.com/product/611545/inland-285mm-pla-3d-printer-filament-10-kg-(22-lbs)-spool-white</t>
  </si>
  <si>
    <t>NOZZLE 1 PURCHASE PRICE</t>
  </si>
  <si>
    <t>NOZZLE 1 LIFE SPAN</t>
  </si>
  <si>
    <t>NOZZLE 1 PRINT %</t>
  </si>
  <si>
    <t>NOZZLE 1 DEPRECIATION</t>
  </si>
  <si>
    <t>NOZZLE 2 PURCHASE YEAR</t>
  </si>
  <si>
    <t>NOZZLE 2 PURCHASE PRICE</t>
  </si>
  <si>
    <t>NOZZLE 2 LIFE SPAN</t>
  </si>
  <si>
    <t>NOZZLE 2 PRINT %</t>
  </si>
  <si>
    <t>NOZZLE 2 DEPRECIATION</t>
  </si>
  <si>
    <t>NOZZLE 3 PURCHASE YEAR</t>
  </si>
  <si>
    <t>NOZZLE 3 PURCHASE PRICE</t>
  </si>
  <si>
    <t>NOZZLE 3 LIFE SPAN</t>
  </si>
  <si>
    <t>NOZZLE 3 PRINT %</t>
  </si>
  <si>
    <t>NOZZLE 3 DEPRECIATION</t>
  </si>
  <si>
    <t>NOZZLE 4 PURCHASE YEAR</t>
  </si>
  <si>
    <t>NOZZLE 4 PURCHASE PRICE</t>
  </si>
  <si>
    <t>NOZZLE 4 LIFE SPAN</t>
  </si>
  <si>
    <t>NOZZLE 4 PRINT %</t>
  </si>
  <si>
    <t>NOZZLE 4 DEPRECIATION</t>
  </si>
  <si>
    <t>NOZZLE 5 PURCHASE YEAR</t>
  </si>
  <si>
    <t>NOZZLE 5 PURCHASE PRICE</t>
  </si>
  <si>
    <t>NOZZLE 5 LIFE SPAN</t>
  </si>
  <si>
    <t>NOZZLE 5 PRINT %</t>
  </si>
  <si>
    <t>NOZZLE 5 DEPRECIATION</t>
  </si>
  <si>
    <t>NOZZLE 6 PURCHASE YEAR</t>
  </si>
  <si>
    <t>NOZZLE 6 PURCHASE PRICE</t>
  </si>
  <si>
    <t>NOZZLE 6 LIFE SPAN</t>
  </si>
  <si>
    <t>NOZZLE 6 PRINT %</t>
  </si>
  <si>
    <t>NOZZLE 6 DEPRECIATION</t>
  </si>
  <si>
    <t>NOZZLE 7 PURCHASE YEAR</t>
  </si>
  <si>
    <t>NOZZLE 7 PURCHASE PRICE</t>
  </si>
  <si>
    <t>NOZZLE 7 LIFE SPAN</t>
  </si>
  <si>
    <t>NOZZLE 7 PRINT %</t>
  </si>
  <si>
    <t>NOZZLE 7 DEPRECIATION</t>
  </si>
  <si>
    <t>NOZZLE 8 PURCHASE YEAR</t>
  </si>
  <si>
    <t>NOZZLE 8 PURCHASE PRICE</t>
  </si>
  <si>
    <t>NOZZLE 8 LIFE SPAN</t>
  </si>
  <si>
    <t>NOZZLE 8 PRINT %</t>
  </si>
  <si>
    <t>NOZZLE 8 DEPRECIATION</t>
  </si>
  <si>
    <t>TOTAL ELECTRICITY COST</t>
  </si>
  <si>
    <t>TOTAL OVERHEAD COSTS</t>
  </si>
  <si>
    <t>LABOR HOURS</t>
  </si>
  <si>
    <t>TOTAL LABOR COST</t>
  </si>
  <si>
    <t>TOTAL CONTINGENCY</t>
  </si>
  <si>
    <t>PROFIT PERCENT</t>
  </si>
  <si>
    <t>Will be less than the profit margin if sales tax and shipping are applied</t>
  </si>
  <si>
    <t>PLATE DROPDOWN</t>
  </si>
  <si>
    <t>Smooth</t>
  </si>
  <si>
    <t>PLA KwH</t>
  </si>
  <si>
    <t>CORE One Smooth PEI Print Sheet</t>
  </si>
  <si>
    <t>UPGRADE</t>
  </si>
  <si>
    <t>PRINTER DROPDOWN</t>
  </si>
  <si>
    <t>https://www.prusa3d.com/product/core-one-smooth-pei-print-sheet/</t>
  </si>
  <si>
    <t>Textured</t>
  </si>
  <si>
    <t>Textured Powder-Coated Print Sheet</t>
  </si>
  <si>
    <t>https://www.prusa3d.com/product/textured-powder-coated-print-sheet/</t>
  </si>
  <si>
    <t>Prusa CORE One+ (Gen 2)</t>
  </si>
  <si>
    <t>https://www.prusa3d.com/en/product/prusa-core-one-advanced-filtration-bundle/</t>
  </si>
  <si>
    <t>Check this box if there should not be a charge for this job</t>
  </si>
  <si>
    <t>This workbook is provided for general planning and informational purposes only. Always review formula logic and cost variable accuracy before making decisions based on estimates generated from this document. See MIT License in the ZIP folder or on the GitHub repository page for more information.</t>
  </si>
  <si>
    <r>
      <rPr>
        <sz val="11"/>
        <rFont val="Arial"/>
        <family val="2"/>
      </rPr>
      <t xml:space="preserve">Download the latest workbook template from the </t>
    </r>
    <r>
      <rPr>
        <b/>
        <sz val="11"/>
        <rFont val="Arial"/>
        <family val="2"/>
      </rPr>
      <t xml:space="preserve">GitHub </t>
    </r>
    <r>
      <rPr>
        <sz val="11"/>
        <rFont val="Arial"/>
        <family val="2"/>
      </rPr>
      <t xml:space="preserve">repository page: </t>
    </r>
    <r>
      <rPr>
        <u/>
        <sz val="11"/>
        <color rgb="FF1155CC"/>
        <rFont val="Arial"/>
        <family val="2"/>
      </rPr>
      <t>https://github.com/Jozy103/3D-Print-Cost-Estimator</t>
    </r>
  </si>
  <si>
    <r>
      <t xml:space="preserve">Click the </t>
    </r>
    <r>
      <rPr>
        <b/>
        <sz val="11"/>
        <color theme="1"/>
        <rFont val="Arial"/>
        <family val="2"/>
      </rPr>
      <t xml:space="preserve">Code </t>
    </r>
    <r>
      <rPr>
        <sz val="11"/>
        <color theme="1"/>
        <rFont val="Arial"/>
        <family val="2"/>
      </rPr>
      <t>button in the top right of the repository page.</t>
    </r>
  </si>
  <si>
    <r>
      <t xml:space="preserve">Select </t>
    </r>
    <r>
      <rPr>
        <b/>
        <sz val="11"/>
        <color theme="1"/>
        <rFont val="Arial"/>
        <family val="2"/>
      </rPr>
      <t>Download ZIP</t>
    </r>
    <r>
      <rPr>
        <sz val="11"/>
        <color theme="1"/>
        <rFont val="Arial"/>
        <family val="2"/>
      </rPr>
      <t xml:space="preserve"> and extract the files on your computer.</t>
    </r>
  </si>
  <si>
    <r>
      <t xml:space="preserve">Open the file in </t>
    </r>
    <r>
      <rPr>
        <b/>
        <sz val="11"/>
        <color theme="1"/>
        <rFont val="Arial"/>
        <family val="2"/>
      </rPr>
      <t>Microsoft Exce</t>
    </r>
    <r>
      <rPr>
        <sz val="11"/>
        <color theme="1"/>
        <rFont val="Arial"/>
        <family val="2"/>
      </rPr>
      <t>l. Other spreadsheet software may be used, but can cause some features not break or work incorrectly.</t>
    </r>
  </si>
  <si>
    <r>
      <t xml:space="preserve">The </t>
    </r>
    <r>
      <rPr>
        <b/>
        <sz val="11"/>
        <color theme="1"/>
        <rFont val="Arial"/>
        <family val="2"/>
      </rPr>
      <t>FILAMENT</t>
    </r>
    <r>
      <rPr>
        <sz val="11"/>
        <color theme="1"/>
        <rFont val="Arial"/>
        <family val="2"/>
      </rPr>
      <t xml:space="preserve">, </t>
    </r>
    <r>
      <rPr>
        <b/>
        <sz val="11"/>
        <color theme="1"/>
        <rFont val="Arial"/>
        <family val="2"/>
      </rPr>
      <t>NOZZLES</t>
    </r>
    <r>
      <rPr>
        <sz val="11"/>
        <color theme="1"/>
        <rFont val="Arial"/>
        <family val="2"/>
      </rPr>
      <t xml:space="preserve">, </t>
    </r>
    <r>
      <rPr>
        <b/>
        <sz val="11"/>
        <color theme="1"/>
        <rFont val="Arial"/>
        <family val="2"/>
      </rPr>
      <t>PLATES</t>
    </r>
    <r>
      <rPr>
        <sz val="11"/>
        <color theme="1"/>
        <rFont val="Arial"/>
        <family val="2"/>
      </rPr>
      <t xml:space="preserve">, and </t>
    </r>
    <r>
      <rPr>
        <b/>
        <sz val="11"/>
        <color theme="1"/>
        <rFont val="Arial"/>
        <family val="2"/>
      </rPr>
      <t xml:space="preserve">PRINTERS </t>
    </r>
    <r>
      <rPr>
        <sz val="11"/>
        <color theme="1"/>
        <rFont val="Arial"/>
        <family val="2"/>
      </rPr>
      <t>sheets hold tables where you can store information on the various filament and hardware you use. These tables are referred to by several formulas to calculate different costs. They currently hold information relevant to the Prusa CORE One+ (Gen 2) and a handful of filaments as examples. Please feel free to add your own data and remove the default data entirely.</t>
    </r>
  </si>
  <si>
    <r>
      <t xml:space="preserve">The </t>
    </r>
    <r>
      <rPr>
        <b/>
        <sz val="11"/>
        <color theme="1"/>
        <rFont val="Arial"/>
        <family val="2"/>
      </rPr>
      <t xml:space="preserve">ESTIMATE </t>
    </r>
    <r>
      <rPr>
        <sz val="11"/>
        <color theme="1"/>
        <rFont val="Arial"/>
        <family val="2"/>
      </rPr>
      <t>sheet holds the final product which is the cost estimate. This sheet can be printed to be used as a quote.</t>
    </r>
  </si>
  <si>
    <r>
      <rPr>
        <sz val="11"/>
        <rFont val="Arial"/>
        <family val="2"/>
      </rPr>
      <t xml:space="preserve">I'd love to hear any suggestions or bug reports via the </t>
    </r>
    <r>
      <rPr>
        <sz val="11"/>
        <color rgb="FF1155CC"/>
        <rFont val="Arial"/>
        <family val="2"/>
      </rPr>
      <t xml:space="preserve">GitHub </t>
    </r>
    <r>
      <rPr>
        <sz val="11"/>
        <rFont val="Arial"/>
        <family val="2"/>
      </rPr>
      <t xml:space="preserve">repository page for this workbook. Please feel free to open an </t>
    </r>
    <r>
      <rPr>
        <b/>
        <sz val="11"/>
        <rFont val="Arial"/>
        <family val="2"/>
      </rPr>
      <t>Issue</t>
    </r>
    <r>
      <rPr>
        <sz val="11"/>
        <rFont val="Arial"/>
        <family val="2"/>
      </rPr>
      <t xml:space="preserve"> or submit a </t>
    </r>
    <r>
      <rPr>
        <b/>
        <sz val="11"/>
        <rFont val="Arial"/>
        <family val="2"/>
      </rPr>
      <t>Pull Request</t>
    </r>
    <r>
      <rPr>
        <sz val="11"/>
        <rFont val="Arial"/>
        <family val="2"/>
      </rPr>
      <t>.</t>
    </r>
  </si>
  <si>
    <r>
      <t xml:space="preserve">The </t>
    </r>
    <r>
      <rPr>
        <b/>
        <sz val="11"/>
        <color theme="1"/>
        <rFont val="Arial"/>
        <family val="2"/>
      </rPr>
      <t xml:space="preserve">VARIABLES </t>
    </r>
    <r>
      <rPr>
        <sz val="11"/>
        <color theme="1"/>
        <rFont val="Arial"/>
        <family val="2"/>
      </rPr>
      <t>sheet is where you can enter variables related to your print job, printer, and client. The information you enter will be used to create a final cost estimate that includes depreciation, overhead, labor, shipping, and other fees. At a minimum, be sure to populate the fields highlighted in yellow.</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</si>
</sst>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0"/>
  </numFmts>
  <fonts count="18">
    <font>
      <sz val="11"/>
      <color theme="1"/>
      <name val="Aptos Narrow"/>
      <scheme val="minor"/>
    </font>
    <font>
      <sz val="11"/>
      <name val="Aptos Narrow"/>
    </font>
    <font>
      <sz val="11"/>
      <color theme="1"/>
      <name val="Arial"/>
    </font>
    <font>
      <sz val="11"/>
      <color theme="1"/>
      <name val="Aptos Narrow"/>
    </font>
    <font>
      <sz val="11"/>
      <color theme="1"/>
      <name val="Aptos Narrow"/>
      <scheme val="minor"/>
    </font>
    <font>
      <b/>
      <sz val="11"/>
      <color theme="1"/>
      <name val="Arial"/>
    </font>
    <font>
      <u/>
      <sz val="11"/>
      <color rgb="FF0000FF"/>
      <name val="Arial"/>
    </font>
    <font>
      <sz val="11"/>
      <color theme="1"/>
      <name val="Arial"/>
    </font>
    <font>
      <i/>
      <sz val="11"/>
      <color theme="1"/>
      <name val="Arial"/>
    </font>
    <font>
      <b/>
      <sz val="11"/>
      <color theme="1"/>
      <name val="Arial"/>
      <family val="2"/>
    </font>
    <font>
      <sz val="11"/>
      <color theme="1"/>
      <name val="Arial"/>
      <family val="2"/>
    </font>
    <font>
      <u/>
      <sz val="11"/>
      <color rgb="FF0000FF"/>
      <name val="Arial"/>
      <family val="2"/>
    </font>
    <font>
      <sz val="11"/>
      <name val="Arial"/>
      <family val="2"/>
    </font>
    <font>
      <i/>
      <sz val="11"/>
      <color theme="1"/>
      <name val="Arial"/>
      <family val="2"/>
    </font>
    <font>
      <u/>
      <sz val="11"/>
      <color rgb="FF434343"/>
      <name val="Arial"/>
      <family val="2"/>
    </font>
    <font>
      <b/>
      <sz val="11"/>
      <name val="Arial"/>
      <family val="2"/>
    </font>
    <font>
      <u/>
      <sz val="11"/>
      <color rgb="FF1155CC"/>
      <name val="Arial"/>
      <family val="2"/>
    </font>
    <font>
      <sz val="11"/>
      <color rgb="FF1155CC"/>
      <name val="Arial"/>
      <family val="2"/>
    </font>
  </fonts>
  <fills count="5">
    <fill>
      <patternFill patternType="none"/>
    </fill>
    <fill>
      <patternFill patternType="gray125"/>
    </fill>
    <fill>
      <patternFill patternType="solid">
        <fgColor rgb="FFFFFFFF"/>
        <bgColor rgb="FFFFFFFF"/>
      </patternFill>
    </fill>
    <fill>
      <patternFill patternType="solid">
        <fgColor rgb="FFFFF2CC"/>
        <bgColor rgb="FFFFF2CC"/>
      </patternFill>
    </fill>
    <fill>
      <patternFill patternType="solid">
        <fgColor rgb="FFFFF2CC"/>
        <bgColor indexed="64"/>
      </patternFill>
    </fill>
  </fills>
  <borders count="4">
    <border>
      <left/>
      <right/>
      <top/>
      <bottom/>
      <diagonal/>
    </border>
    <border>
      <left/>
      <right/>
      <top/>
      <bottom style="medium">
        <color rgb="FF000000"/>
      </bottom>
      <diagonal/>
    </border>
    <border>
      <left/>
      <right/>
      <top style="medium">
        <color rgb="FF000000"/>
      </top>
      <bottom/>
      <diagonal/>
    </border>
    <border>
      <left/>
      <right/>
      <top/>
      <bottom/>
      <diagonal/>
    </border>
  </borders>
  <cellStyleXfs count="1">
    <xf numFmtId="0" fontId="0" fillId="0" borderId="0"/>
  </cellStyleXfs>
  <cellXfs count="118">
    <xf numFmtId="0" fontId="0" fillId="0" borderId="0" xfId="0"/>
    <xf numFmtId="0" fontId="2" fillId="0" borderId="0" xfId="0" applyFont="1"/>
    <xf numFmtId="0" fontId="3" fillId="0" borderId="0" xfId="0" applyFont="1"/>
    <xf numFmtId="0" fontId="4" fillId="2" borderId="0" xfId="0" applyFont="1" applyFill="1"/>
    <xf numFmtId="0" fontId="6" fillId="0" borderId="0" xfId="0" applyFont="1"/>
    <xf numFmtId="0" fontId="3" fillId="0" borderId="0" xfId="0" applyFont="1" applyAlignment="1">
      <alignment horizontal="left"/>
    </xf>
    <xf numFmtId="2" fontId="4" fillId="0" borderId="0" xfId="0" applyNumberFormat="1" applyFont="1"/>
    <xf numFmtId="49" fontId="7" fillId="2" borderId="0" xfId="0" applyNumberFormat="1" applyFont="1" applyFill="1" applyAlignment="1">
      <alignment horizontal="left"/>
    </xf>
    <xf numFmtId="49" fontId="8" fillId="2" borderId="0" xfId="0" applyNumberFormat="1" applyFont="1" applyFill="1" applyAlignment="1">
      <alignment horizontal="left"/>
    </xf>
    <xf numFmtId="0" fontId="8" fillId="0" borderId="0" xfId="0" applyFont="1"/>
    <xf numFmtId="0" fontId="1" fillId="0" borderId="1" xfId="0" applyFont="1" applyBorder="1"/>
    <xf numFmtId="0" fontId="5" fillId="0" borderId="1" xfId="0" applyFont="1" applyBorder="1"/>
    <xf numFmtId="0" fontId="9" fillId="2" borderId="0" xfId="0" applyFont="1" applyFill="1"/>
    <xf numFmtId="0" fontId="9" fillId="0" borderId="0" xfId="0" applyFont="1"/>
    <xf numFmtId="0" fontId="10" fillId="0" borderId="0" xfId="0" applyFont="1"/>
    <xf numFmtId="0" fontId="9" fillId="0" borderId="1" xfId="0" applyFont="1" applyBorder="1"/>
    <xf numFmtId="0" fontId="12" fillId="0" borderId="1" xfId="0" applyFont="1" applyBorder="1"/>
    <xf numFmtId="49" fontId="10" fillId="0" borderId="0" xfId="0" applyNumberFormat="1" applyFont="1" applyAlignment="1">
      <alignment horizontal="left"/>
    </xf>
    <xf numFmtId="164" fontId="10" fillId="0" borderId="0" xfId="0" applyNumberFormat="1" applyFont="1" applyAlignment="1">
      <alignment horizontal="left"/>
    </xf>
    <xf numFmtId="0" fontId="13" fillId="0" borderId="0" xfId="0" applyFont="1"/>
    <xf numFmtId="2" fontId="10" fillId="0" borderId="0" xfId="0" applyNumberFormat="1" applyFont="1" applyAlignment="1">
      <alignment horizontal="left"/>
    </xf>
    <xf numFmtId="4" fontId="10" fillId="0" borderId="0" xfId="0" applyNumberFormat="1" applyFont="1" applyAlignment="1">
      <alignment horizontal="left"/>
    </xf>
    <xf numFmtId="2" fontId="10" fillId="0" borderId="0" xfId="0" applyNumberFormat="1" applyFont="1"/>
    <xf numFmtId="44" fontId="10" fillId="0" borderId="0" xfId="0" applyNumberFormat="1" applyFont="1" applyAlignment="1">
      <alignment horizontal="left"/>
    </xf>
    <xf numFmtId="44" fontId="10" fillId="0" borderId="0" xfId="0" applyNumberFormat="1" applyFont="1"/>
    <xf numFmtId="10" fontId="10" fillId="0" borderId="0" xfId="0" applyNumberFormat="1" applyFont="1" applyAlignment="1">
      <alignment horizontal="left"/>
    </xf>
    <xf numFmtId="0" fontId="10" fillId="0" borderId="0" xfId="0" applyFont="1" applyAlignment="1">
      <alignment horizontal="left"/>
    </xf>
    <xf numFmtId="0" fontId="1" fillId="0" borderId="3" xfId="0" applyFont="1" applyBorder="1"/>
    <xf numFmtId="0" fontId="12" fillId="0" borderId="3" xfId="0" applyFont="1" applyBorder="1"/>
    <xf numFmtId="0" fontId="9" fillId="0" borderId="1" xfId="0" applyFont="1" applyBorder="1"/>
    <xf numFmtId="2" fontId="10" fillId="0" borderId="1" xfId="0" applyNumberFormat="1" applyFont="1" applyBorder="1" applyAlignment="1">
      <alignment horizontal="left"/>
    </xf>
    <xf numFmtId="0" fontId="10" fillId="0" borderId="1" xfId="0" applyFont="1" applyBorder="1"/>
    <xf numFmtId="2" fontId="10" fillId="0" borderId="0" xfId="0" applyNumberFormat="1" applyFont="1" applyAlignment="1">
      <alignment horizontal="left"/>
    </xf>
    <xf numFmtId="0" fontId="10" fillId="0" borderId="0" xfId="0" applyFont="1"/>
    <xf numFmtId="14" fontId="10" fillId="0" borderId="0" xfId="0" applyNumberFormat="1" applyFont="1" applyAlignment="1">
      <alignment horizontal="left"/>
    </xf>
    <xf numFmtId="0" fontId="9" fillId="0" borderId="2" xfId="0" applyFont="1" applyBorder="1"/>
    <xf numFmtId="2" fontId="10" fillId="0" borderId="2" xfId="0" applyNumberFormat="1" applyFont="1" applyBorder="1" applyAlignment="1">
      <alignment horizontal="left"/>
    </xf>
    <xf numFmtId="0" fontId="10" fillId="0" borderId="2" xfId="0" applyFont="1" applyBorder="1"/>
    <xf numFmtId="0" fontId="10" fillId="0" borderId="0" xfId="0" applyFont="1" applyAlignment="1">
      <alignment horizontal="center"/>
    </xf>
    <xf numFmtId="2" fontId="10" fillId="0" borderId="0" xfId="0" applyNumberFormat="1" applyFont="1" applyAlignment="1">
      <alignment horizontal="center"/>
    </xf>
    <xf numFmtId="44" fontId="10" fillId="2" borderId="0" xfId="0" applyNumberFormat="1" applyFont="1" applyFill="1" applyAlignment="1">
      <alignment horizontal="left"/>
    </xf>
    <xf numFmtId="44" fontId="10" fillId="2" borderId="2" xfId="0" applyNumberFormat="1" applyFont="1" applyFill="1" applyBorder="1" applyAlignment="1">
      <alignment horizontal="left"/>
    </xf>
    <xf numFmtId="44" fontId="10" fillId="0" borderId="2" xfId="0" applyNumberFormat="1" applyFont="1" applyBorder="1" applyAlignment="1">
      <alignment horizontal="left"/>
    </xf>
    <xf numFmtId="44" fontId="10" fillId="3" borderId="3" xfId="0" applyNumberFormat="1" applyFont="1" applyFill="1" applyBorder="1" applyAlignment="1">
      <alignment horizontal="left"/>
    </xf>
    <xf numFmtId="0" fontId="10" fillId="0" borderId="1" xfId="0" applyFont="1" applyBorder="1" applyAlignment="1">
      <alignment horizontal="left"/>
    </xf>
    <xf numFmtId="0" fontId="9" fillId="0" borderId="0" xfId="0" applyFont="1" applyAlignment="1">
      <alignment horizontal="center"/>
    </xf>
    <xf numFmtId="0" fontId="9" fillId="0" borderId="1" xfId="0" applyFont="1" applyBorder="1" applyAlignment="1">
      <alignment horizontal="center"/>
    </xf>
    <xf numFmtId="0" fontId="9" fillId="0" borderId="1" xfId="0" applyFont="1" applyBorder="1" applyAlignment="1">
      <alignment horizontal="center"/>
    </xf>
    <xf numFmtId="4" fontId="10" fillId="0" borderId="0" xfId="0" applyNumberFormat="1" applyFont="1" applyAlignment="1">
      <alignment horizontal="center"/>
    </xf>
    <xf numFmtId="44" fontId="10" fillId="0" borderId="0" xfId="0" applyNumberFormat="1" applyFont="1" applyAlignment="1">
      <alignment horizontal="center"/>
    </xf>
    <xf numFmtId="0" fontId="10" fillId="0" borderId="0" xfId="0" applyNumberFormat="1" applyFont="1" applyAlignment="1">
      <alignment horizontal="center"/>
    </xf>
    <xf numFmtId="0" fontId="10" fillId="0" borderId="0" xfId="0" applyNumberFormat="1" applyFont="1" applyAlignment="1">
      <alignment horizontal="center"/>
    </xf>
    <xf numFmtId="0" fontId="10" fillId="0" borderId="0" xfId="0" applyNumberFormat="1" applyFont="1"/>
    <xf numFmtId="0" fontId="10" fillId="0" borderId="1" xfId="0" applyNumberFormat="1" applyFont="1" applyBorder="1" applyAlignment="1">
      <alignment horizontal="center"/>
    </xf>
    <xf numFmtId="0" fontId="10" fillId="0" borderId="1" xfId="0" applyNumberFormat="1" applyFont="1" applyBorder="1" applyAlignment="1">
      <alignment horizontal="center"/>
    </xf>
    <xf numFmtId="0" fontId="12" fillId="0" borderId="1" xfId="0" applyNumberFormat="1" applyFont="1" applyBorder="1"/>
    <xf numFmtId="4" fontId="10" fillId="0" borderId="1" xfId="0" applyNumberFormat="1" applyFont="1" applyBorder="1" applyAlignment="1">
      <alignment horizontal="center"/>
    </xf>
    <xf numFmtId="44" fontId="10" fillId="0" borderId="1" xfId="0" applyNumberFormat="1" applyFont="1" applyBorder="1" applyAlignment="1">
      <alignment horizontal="center"/>
    </xf>
    <xf numFmtId="0" fontId="2" fillId="3" borderId="0" xfId="0" applyFont="1" applyFill="1" applyProtection="1">
      <protection locked="0"/>
    </xf>
    <xf numFmtId="0" fontId="0" fillId="0" borderId="0" xfId="0" applyProtection="1">
      <protection locked="0"/>
    </xf>
    <xf numFmtId="0" fontId="7" fillId="0" borderId="0" xfId="0" applyFont="1" applyAlignment="1" applyProtection="1">
      <alignment horizontal="left"/>
      <protection locked="0"/>
    </xf>
    <xf numFmtId="4" fontId="7" fillId="3" borderId="0" xfId="0" applyNumberFormat="1" applyFont="1" applyFill="1" applyAlignment="1" applyProtection="1">
      <alignment horizontal="left"/>
      <protection locked="0"/>
    </xf>
    <xf numFmtId="4" fontId="7" fillId="0" borderId="0" xfId="0" applyNumberFormat="1" applyFont="1" applyAlignment="1" applyProtection="1">
      <alignment horizontal="left"/>
      <protection locked="0"/>
    </xf>
    <xf numFmtId="2" fontId="7" fillId="3" borderId="0" xfId="0" applyNumberFormat="1" applyFont="1" applyFill="1" applyAlignment="1" applyProtection="1">
      <alignment horizontal="left"/>
      <protection locked="0"/>
    </xf>
    <xf numFmtId="0" fontId="7" fillId="3" borderId="0" xfId="0" applyFont="1" applyFill="1" applyAlignment="1" applyProtection="1">
      <alignment horizontal="left"/>
      <protection locked="0"/>
    </xf>
    <xf numFmtId="44" fontId="7" fillId="3" borderId="0" xfId="0" applyNumberFormat="1" applyFont="1" applyFill="1" applyAlignment="1" applyProtection="1">
      <alignment horizontal="left"/>
      <protection locked="0"/>
    </xf>
    <xf numFmtId="10" fontId="7" fillId="3" borderId="0" xfId="0" applyNumberFormat="1" applyFont="1" applyFill="1" applyAlignment="1" applyProtection="1">
      <alignment horizontal="left"/>
      <protection locked="0"/>
    </xf>
    <xf numFmtId="49" fontId="7" fillId="3" borderId="0" xfId="0" applyNumberFormat="1" applyFont="1" applyFill="1" applyAlignment="1" applyProtection="1">
      <alignment horizontal="left"/>
      <protection locked="0"/>
    </xf>
    <xf numFmtId="14" fontId="7" fillId="3" borderId="0" xfId="0" applyNumberFormat="1" applyFont="1" applyFill="1" applyAlignment="1" applyProtection="1">
      <alignment horizontal="left"/>
      <protection locked="0"/>
    </xf>
    <xf numFmtId="0" fontId="3" fillId="0" borderId="0" xfId="0" applyFont="1" applyAlignment="1" applyProtection="1">
      <alignment horizontal="center"/>
      <protection locked="0"/>
      <extLst>
        <ext xmlns:xfpb="http://schemas.microsoft.com/office/spreadsheetml/2022/featurepropertybag" uri="{C7286773-470A-42A8-94C5-96B5CB345126}">
          <xfpb:xfComplement i="0"/>
        </ext>
      </extLst>
    </xf>
    <xf numFmtId="49" fontId="7" fillId="4" borderId="0" xfId="0" applyNumberFormat="1" applyFont="1" applyFill="1" applyAlignment="1" applyProtection="1">
      <alignment horizontal="left"/>
      <protection locked="0"/>
    </xf>
    <xf numFmtId="0" fontId="0" fillId="4" borderId="0" xfId="0" applyFill="1" applyProtection="1">
      <protection locked="0"/>
    </xf>
    <xf numFmtId="49" fontId="7" fillId="0" borderId="0" xfId="0" applyNumberFormat="1" applyFont="1" applyAlignment="1" applyProtection="1">
      <alignment horizontal="left"/>
      <protection locked="0"/>
    </xf>
    <xf numFmtId="44" fontId="7" fillId="4" borderId="0" xfId="0" applyNumberFormat="1" applyFont="1" applyFill="1" applyAlignment="1" applyProtection="1">
      <alignment horizontal="left"/>
      <protection locked="0"/>
    </xf>
    <xf numFmtId="49" fontId="9" fillId="0" borderId="0" xfId="0" applyNumberFormat="1" applyFont="1" applyAlignment="1" applyProtection="1">
      <alignment horizontal="center" vertical="center"/>
    </xf>
    <xf numFmtId="4" fontId="9" fillId="0" borderId="0" xfId="0" applyNumberFormat="1" applyFont="1" applyAlignment="1" applyProtection="1">
      <alignment horizontal="center" vertical="center"/>
    </xf>
    <xf numFmtId="44" fontId="9" fillId="0" borderId="0" xfId="0" applyNumberFormat="1" applyFont="1" applyAlignment="1" applyProtection="1">
      <alignment horizontal="center" vertical="center"/>
    </xf>
    <xf numFmtId="0" fontId="9" fillId="0" borderId="0" xfId="0" applyFont="1" applyAlignment="1" applyProtection="1">
      <alignment horizontal="center" vertical="center"/>
    </xf>
    <xf numFmtId="0" fontId="9" fillId="0" borderId="0" xfId="0" applyFont="1" applyAlignment="1" applyProtection="1">
      <alignment horizontal="center"/>
    </xf>
    <xf numFmtId="0" fontId="10" fillId="0" borderId="0" xfId="0" applyFont="1" applyProtection="1"/>
    <xf numFmtId="49" fontId="10" fillId="0" borderId="0" xfId="0" applyNumberFormat="1" applyFont="1" applyAlignment="1" applyProtection="1">
      <alignment vertical="center"/>
    </xf>
    <xf numFmtId="0" fontId="10" fillId="0" borderId="0" xfId="0" applyFont="1" applyAlignment="1" applyProtection="1">
      <alignment vertical="center"/>
    </xf>
    <xf numFmtId="4" fontId="10" fillId="0" borderId="0" xfId="0" applyNumberFormat="1" applyFont="1" applyAlignment="1" applyProtection="1">
      <alignment vertical="center"/>
    </xf>
    <xf numFmtId="44" fontId="10" fillId="0" borderId="0" xfId="0" applyNumberFormat="1" applyFont="1" applyAlignment="1" applyProtection="1">
      <alignment vertical="center"/>
    </xf>
    <xf numFmtId="49" fontId="11" fillId="0" borderId="0" xfId="0" applyNumberFormat="1" applyFont="1" applyAlignment="1" applyProtection="1">
      <alignment vertical="center"/>
    </xf>
    <xf numFmtId="49" fontId="10" fillId="0" borderId="0" xfId="0" applyNumberFormat="1" applyFont="1" applyAlignment="1" applyProtection="1">
      <alignment horizontal="center"/>
    </xf>
    <xf numFmtId="49" fontId="10" fillId="0" borderId="0" xfId="0" applyNumberFormat="1" applyFont="1" applyAlignment="1" applyProtection="1">
      <alignment horizontal="left"/>
    </xf>
    <xf numFmtId="49" fontId="10" fillId="0" borderId="0" xfId="0" applyNumberFormat="1" applyFont="1" applyProtection="1"/>
    <xf numFmtId="4" fontId="10" fillId="0" borderId="0" xfId="0" applyNumberFormat="1" applyFont="1" applyAlignment="1" applyProtection="1">
      <alignment horizontal="center"/>
    </xf>
    <xf numFmtId="44" fontId="10" fillId="0" borderId="0" xfId="0" applyNumberFormat="1" applyFont="1" applyAlignment="1" applyProtection="1">
      <alignment horizontal="center"/>
    </xf>
    <xf numFmtId="44" fontId="10" fillId="0" borderId="0" xfId="0" applyNumberFormat="1" applyFont="1" applyProtection="1"/>
    <xf numFmtId="49" fontId="9" fillId="0" borderId="0" xfId="0" applyNumberFormat="1" applyFont="1" applyAlignment="1">
      <alignment horizontal="center" vertical="center"/>
    </xf>
    <xf numFmtId="4" fontId="9" fillId="0" borderId="0" xfId="0" applyNumberFormat="1" applyFont="1" applyAlignment="1">
      <alignment horizontal="center" vertical="center"/>
    </xf>
    <xf numFmtId="44" fontId="9" fillId="0" borderId="0" xfId="0" applyNumberFormat="1" applyFont="1" applyAlignment="1">
      <alignment horizontal="center" vertical="center"/>
    </xf>
    <xf numFmtId="0" fontId="9" fillId="0" borderId="0" xfId="0" applyFont="1" applyAlignment="1">
      <alignment horizontal="center" vertical="center"/>
    </xf>
    <xf numFmtId="49" fontId="10" fillId="0" borderId="0" xfId="0" applyNumberFormat="1" applyFont="1" applyAlignment="1">
      <alignment vertical="center"/>
    </xf>
    <xf numFmtId="0" fontId="10" fillId="0" borderId="0" xfId="0" applyFont="1" applyAlignment="1">
      <alignment vertical="center"/>
    </xf>
    <xf numFmtId="4" fontId="10" fillId="0" borderId="0" xfId="0" applyNumberFormat="1" applyFont="1" applyAlignment="1">
      <alignment vertical="center"/>
    </xf>
    <xf numFmtId="49" fontId="10" fillId="0" borderId="0" xfId="0" applyNumberFormat="1" applyFont="1" applyAlignment="1">
      <alignment horizontal="center" vertical="center"/>
    </xf>
    <xf numFmtId="4" fontId="10" fillId="0" borderId="0" xfId="0" applyNumberFormat="1" applyFont="1" applyAlignment="1">
      <alignment horizontal="center" vertical="center"/>
    </xf>
    <xf numFmtId="44" fontId="10" fillId="0" borderId="0" xfId="0" applyNumberFormat="1" applyFont="1" applyAlignment="1">
      <alignment vertical="center"/>
    </xf>
    <xf numFmtId="49" fontId="11" fillId="0" borderId="0" xfId="0" applyNumberFormat="1" applyFont="1" applyAlignment="1">
      <alignment vertical="center"/>
    </xf>
    <xf numFmtId="49" fontId="10" fillId="0" borderId="0" xfId="0" applyNumberFormat="1" applyFont="1" applyAlignment="1">
      <alignment horizontal="center"/>
    </xf>
    <xf numFmtId="49" fontId="10" fillId="0" borderId="0" xfId="0" applyNumberFormat="1" applyFont="1"/>
    <xf numFmtId="44" fontId="10" fillId="0" borderId="0" xfId="0" applyNumberFormat="1" applyFont="1" applyAlignment="1">
      <alignment horizontal="center" vertical="center"/>
    </xf>
    <xf numFmtId="49" fontId="14" fillId="0" borderId="0" xfId="0" applyNumberFormat="1" applyFont="1" applyAlignment="1">
      <alignment vertical="center"/>
    </xf>
    <xf numFmtId="0" fontId="9" fillId="0" borderId="0" xfId="0" applyNumberFormat="1" applyFont="1" applyAlignment="1" applyProtection="1">
      <alignment horizontal="center" vertical="center"/>
    </xf>
    <xf numFmtId="0" fontId="10" fillId="0" borderId="0" xfId="0" applyNumberFormat="1" applyFont="1" applyAlignment="1" applyProtection="1">
      <alignment vertical="center"/>
    </xf>
    <xf numFmtId="0" fontId="10" fillId="0" borderId="0" xfId="0" applyNumberFormat="1" applyFont="1" applyAlignment="1" applyProtection="1">
      <alignment horizontal="center"/>
    </xf>
    <xf numFmtId="0" fontId="10" fillId="0" borderId="0" xfId="0" applyNumberFormat="1" applyFont="1" applyProtection="1"/>
    <xf numFmtId="0" fontId="9" fillId="0" borderId="0" xfId="0" applyNumberFormat="1" applyFont="1" applyAlignment="1">
      <alignment horizontal="center" vertical="center"/>
    </xf>
    <xf numFmtId="0" fontId="10" fillId="0" borderId="0" xfId="0" applyNumberFormat="1" applyFont="1" applyAlignment="1">
      <alignment vertical="center"/>
    </xf>
    <xf numFmtId="0" fontId="10" fillId="0" borderId="0" xfId="0" applyNumberFormat="1" applyFont="1"/>
    <xf numFmtId="0" fontId="10" fillId="0" borderId="0" xfId="0" applyFont="1" applyAlignment="1">
      <alignment wrapText="1"/>
    </xf>
    <xf numFmtId="0" fontId="10" fillId="0" borderId="0" xfId="0" applyFont="1" applyAlignment="1">
      <alignment vertical="top"/>
    </xf>
    <xf numFmtId="0" fontId="11" fillId="0" borderId="0" xfId="0" applyFont="1"/>
    <xf numFmtId="0" fontId="10" fillId="0" borderId="0" xfId="0" applyFont="1" applyAlignment="1">
      <alignment wrapText="1"/>
    </xf>
    <xf numFmtId="0" fontId="10" fillId="0" borderId="3" xfId="0" applyFont="1" applyFill="1" applyBorder="1" applyAlignment="1">
      <alignment wrapText="1"/>
    </xf>
  </cellXfs>
  <cellStyles count="1">
    <cellStyle name="Normal" xfId="0" builtinId="0"/>
  </cellStyles>
  <dxfs count="85">
    <dxf>
      <font>
        <strike val="0"/>
        <outline val="0"/>
        <shadow val="0"/>
        <vertAlign val="baseline"/>
        <sz val="11"/>
        <name val="Arial"/>
        <family val="2"/>
        <scheme val="none"/>
      </font>
      <numFmt numFmtId="0" formatCode="General"/>
    </dxf>
    <dxf>
      <font>
        <strike val="0"/>
        <outline val="0"/>
        <shadow val="0"/>
        <vertAlign val="baseline"/>
        <sz val="11"/>
        <name val="Arial"/>
        <family val="2"/>
        <scheme val="none"/>
      </font>
    </dxf>
    <dxf>
      <font>
        <strike val="0"/>
        <outline val="0"/>
        <shadow val="0"/>
        <vertAlign val="baseline"/>
        <sz val="11"/>
        <name val="Arial"/>
        <family val="2"/>
        <scheme val="none"/>
      </font>
      <numFmt numFmtId="0" formatCode="General"/>
    </dxf>
    <dxf>
      <font>
        <strike val="0"/>
        <outline val="0"/>
        <shadow val="0"/>
        <vertAlign val="baseline"/>
        <sz val="11"/>
        <name val="Arial"/>
        <family val="2"/>
        <scheme val="none"/>
      </font>
    </dxf>
    <dxf>
      <font>
        <strike val="0"/>
        <outline val="0"/>
        <shadow val="0"/>
        <vertAlign val="baseline"/>
        <sz val="11"/>
        <name val="Arial"/>
        <family val="2"/>
        <scheme val="none"/>
      </font>
      <numFmt numFmtId="0" formatCode="General"/>
    </dxf>
    <dxf>
      <font>
        <strike val="0"/>
        <outline val="0"/>
        <shadow val="0"/>
        <vertAlign val="baseline"/>
        <sz val="11"/>
        <name val="Arial"/>
        <family val="2"/>
        <scheme val="none"/>
      </font>
    </dxf>
    <dxf>
      <font>
        <strike val="0"/>
        <outline val="0"/>
        <shadow val="0"/>
        <vertAlign val="baseline"/>
        <sz val="11"/>
        <name val="Arial"/>
        <family val="2"/>
        <scheme val="none"/>
      </font>
      <numFmt numFmtId="0" formatCode="General"/>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protection locked="1" hidden="0"/>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font>
        <strike val="0"/>
        <outline val="0"/>
        <shadow val="0"/>
        <vertAlign val="baseline"/>
        <sz val="11"/>
        <name val="Arial"/>
        <family val="2"/>
        <scheme val="none"/>
      </font>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4">
    <tableStyle name="FILAMENT-style" pivot="0" count="4" xr9:uid="{00000000-0011-0000-FFFF-FFFF00000000}">
      <tableStyleElement type="wholeTable" size="0" dxfId="81"/>
      <tableStyleElement type="headerRow" dxfId="84"/>
      <tableStyleElement type="firstRowStripe" dxfId="83"/>
      <tableStyleElement type="secondRowStripe" dxfId="82"/>
    </tableStyle>
    <tableStyle name="NOZZLES-style" pivot="0" count="4" xr9:uid="{00000000-0011-0000-FFFF-FFFF01000000}">
      <tableStyleElement type="wholeTable" size="0" dxfId="77"/>
      <tableStyleElement type="headerRow" dxfId="80"/>
      <tableStyleElement type="firstRowStripe" dxfId="79"/>
      <tableStyleElement type="secondRowStripe" dxfId="78"/>
    </tableStyle>
    <tableStyle name="PLATES-style" pivot="0" count="4" xr9:uid="{00000000-0011-0000-FFFF-FFFF02000000}">
      <tableStyleElement type="wholeTable" size="0" dxfId="73"/>
      <tableStyleElement type="headerRow" dxfId="76"/>
      <tableStyleElement type="firstRowStripe" dxfId="75"/>
      <tableStyleElement type="secondRowStripe" dxfId="74"/>
    </tableStyle>
    <tableStyle name="PRINTERS-style" pivot="0" count="4" xr9:uid="{00000000-0011-0000-FFFF-FFFF03000000}">
      <tableStyleElement type="wholeTable" size="0" dxfId="69"/>
      <tableStyleElement type="headerRow" dxfId="72"/>
      <tableStyleElement type="firstRowStripe" dxfId="71"/>
      <tableStyleElement type="secondRowStripe" dxfId="70"/>
    </tableStyle>
  </tableStyles>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LAMENT" displayName="FILAMENT" ref="A1:P201" headerRowDxfId="24" dataDxfId="23" totalsRowDxfId="22">
  <tableColumns count="16">
    <tableColumn id="1" xr3:uid="{00000000-0010-0000-0000-000001000000}" name="ID" dataDxfId="6">
      <calculatedColumnFormula>IF(FILAMENT[[#This Row],[PRODUCT]] &lt;&gt; "", IF(ROW() = 2, "000", TEXT(INDIRECT("A" &amp; ROW() - 1) + 1, "000")), "")</calculatedColumnFormula>
    </tableColumn>
    <tableColumn id="2" xr3:uid="{00000000-0010-0000-0000-000002000000}" name="TYPE" dataDxfId="7"/>
    <tableColumn id="3" xr3:uid="{00000000-0010-0000-0000-000003000000}" name="FINISH" dataDxfId="21"/>
    <tableColumn id="4" xr3:uid="{00000000-0010-0000-0000-000004000000}" name="PRODUCT" dataDxfId="20"/>
    <tableColumn id="5" xr3:uid="{00000000-0010-0000-0000-000005000000}" name="COLOR" dataDxfId="19"/>
    <tableColumn id="6" xr3:uid="{00000000-0010-0000-0000-000006000000}" name="MANUFACTURER" dataDxfId="18"/>
    <tableColumn id="7" xr3:uid="{00000000-0010-0000-0000-000007000000}" name="VENDOR" dataDxfId="17"/>
    <tableColumn id="8" xr3:uid="{00000000-0010-0000-0000-000008000000}" name="ROLL SIZE (g)" dataDxfId="16"/>
    <tableColumn id="9" xr3:uid="{00000000-0010-0000-0000-000009000000}" name="DIAMETER (mm)" dataDxfId="15"/>
    <tableColumn id="10" xr3:uid="{00000000-0010-0000-0000-00000A000000}" name="NFC" dataDxfId="14"/>
    <tableColumn id="11" xr3:uid="{00000000-0010-0000-0000-00000B000000}" name="COST" dataDxfId="13"/>
    <tableColumn id="12" xr3:uid="{00000000-0010-0000-0000-00000C000000}" name="TAX" dataDxfId="12"/>
    <tableColumn id="13" xr3:uid="{00000000-0010-0000-0000-00000D000000}" name="SHIPPING" dataDxfId="11"/>
    <tableColumn id="14" xr3:uid="{00000000-0010-0000-0000-00000E000000}" name="TOTAL COST" dataDxfId="10"/>
    <tableColumn id="15" xr3:uid="{00000000-0010-0000-0000-00000F000000}" name="HYPERLINK" dataDxfId="9"/>
    <tableColumn id="16" xr3:uid="{00000000-0010-0000-0000-000010000000}" name="FILAMENT DROPDOWN" dataDxfId="8"/>
  </tableColumns>
  <tableStyleInfo name="FILAMEN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ZZLES" displayName="NOZZLES" ref="A1:N301" headerRowDxfId="56" dataDxfId="54" totalsRowDxfId="55">
  <tableColumns count="14">
    <tableColumn id="1" xr3:uid="{00000000-0010-0000-0100-000001000000}" name="ID" dataDxfId="4"/>
    <tableColumn id="2" xr3:uid="{00000000-0010-0000-0100-000002000000}" name="MATERIAL" dataDxfId="5"/>
    <tableColumn id="3" xr3:uid="{00000000-0010-0000-0100-000003000000}" name="PRODUCT" dataDxfId="68"/>
    <tableColumn id="4" xr3:uid="{00000000-0010-0000-0100-000004000000}" name="MANUFACTURER" dataDxfId="67"/>
    <tableColumn id="5" xr3:uid="{00000000-0010-0000-0100-000005000000}" name="VENDOR" dataDxfId="66"/>
    <tableColumn id="6" xr3:uid="{00000000-0010-0000-0100-000006000000}" name="DIAMETER (mm)" dataDxfId="65"/>
    <tableColumn id="7" xr3:uid="{00000000-0010-0000-0100-000007000000}" name="PURCHASE YEAR" dataDxfId="64"/>
    <tableColumn id="8" xr3:uid="{00000000-0010-0000-0100-000008000000}" name="LIFESPAN (HRS)" dataDxfId="63"/>
    <tableColumn id="9" xr3:uid="{00000000-0010-0000-0100-000009000000}" name="COST" dataDxfId="62"/>
    <tableColumn id="10" xr3:uid="{00000000-0010-0000-0100-00000A000000}" name="TAX" dataDxfId="61"/>
    <tableColumn id="11" xr3:uid="{00000000-0010-0000-0100-00000B000000}" name="SHIPPING" dataDxfId="60"/>
    <tableColumn id="12" xr3:uid="{00000000-0010-0000-0100-00000C000000}" name="TOTAL COST" dataDxfId="59"/>
    <tableColumn id="13" xr3:uid="{00000000-0010-0000-0100-00000D000000}" name="HYPERLINK" dataDxfId="58"/>
    <tableColumn id="14" xr3:uid="{00000000-0010-0000-0100-00000E000000}" name="NOZZLE DROPDOWN" dataDxfId="57">
      <calculatedColumnFormula>IF(NOZZLES[[#This Row],[ID]] &lt;&gt; "", IF(A2 = "000", A2 &amp; " | None", A2 &amp; " | " &amp; C2 &amp; " | " &amp; D2 &amp; " | " &amp; F2 &amp; "mm"), "")</calculatedColumnFormula>
    </tableColumn>
  </tableColumns>
  <tableStyleInfo name="NOZZL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LATES" displayName="PLATES" ref="A1:M301" headerRowDxfId="42" dataDxfId="40" totalsRowDxfId="41">
  <tableColumns count="13">
    <tableColumn id="1" xr3:uid="{00000000-0010-0000-0200-000001000000}" name="ID" dataDxfId="2">
      <calculatedColumnFormula>IF(PLATES[[#This Row],[PRODUCT]] &lt;&gt; "", IF(ROW() = 2, "000", TEXT(INDIRECT("A" &amp; ROW() - 1) + 1, "000")), "")</calculatedColumnFormula>
    </tableColumn>
    <tableColumn id="2" xr3:uid="{00000000-0010-0000-0200-000002000000}" name="FINISH" dataDxfId="3"/>
    <tableColumn id="3" xr3:uid="{00000000-0010-0000-0200-000003000000}" name="PRODUCT" dataDxfId="53"/>
    <tableColumn id="4" xr3:uid="{00000000-0010-0000-0200-000004000000}" name="MANUFACTURER" dataDxfId="52"/>
    <tableColumn id="5" xr3:uid="{00000000-0010-0000-0200-000005000000}" name="VENDOR" dataDxfId="51"/>
    <tableColumn id="6" xr3:uid="{00000000-0010-0000-0200-000006000000}" name="PURCHASE YEAR" dataDxfId="50"/>
    <tableColumn id="7" xr3:uid="{00000000-0010-0000-0200-000007000000}" name="LIFESPAN (HRS)" dataDxfId="49"/>
    <tableColumn id="8" xr3:uid="{00000000-0010-0000-0200-000008000000}" name="COST" dataDxfId="48"/>
    <tableColumn id="9" xr3:uid="{00000000-0010-0000-0200-000009000000}" name="TAX" dataDxfId="47"/>
    <tableColumn id="10" xr3:uid="{00000000-0010-0000-0200-00000A000000}" name="SHIPPING" dataDxfId="46"/>
    <tableColumn id="11" xr3:uid="{00000000-0010-0000-0200-00000B000000}" name="TOTAL COST" dataDxfId="45"/>
    <tableColumn id="12" xr3:uid="{00000000-0010-0000-0200-00000C000000}" name="HYPERLINK" dataDxfId="44"/>
    <tableColumn id="13" xr3:uid="{00000000-0010-0000-0200-00000D000000}" name="PLATE DROPDOWN" dataDxfId="43">
      <calculatedColumnFormula>IF(PLATES[[#This Row],[ID]] &lt;&gt; "", IF(A2 = "000", A2 &amp; " | None", A2 &amp; " | " &amp; C2 &amp; " | " &amp; D2), "")</calculatedColumnFormula>
    </tableColumn>
  </tableColumns>
  <tableStyleInfo name="PLATES-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PRINTERS" displayName="PRINTERS" ref="A1:N301" headerRowDxfId="39" dataDxfId="38" totalsRowDxfId="37">
  <tableColumns count="14">
    <tableColumn id="1" xr3:uid="{00000000-0010-0000-0300-000001000000}" name="ID" dataDxfId="0">
      <calculatedColumnFormula>IF(PRINTERS[[#This Row],[PRODUCT]] &lt;&gt; "", IF(ROW() = 2, "000", TEXT(INDIRECT("A" &amp; ROW() - 1) + 1, "000")), "")</calculatedColumnFormula>
    </tableColumn>
    <tableColumn id="2" xr3:uid="{00000000-0010-0000-0300-000002000000}" name="PRODUCT" dataDxfId="1"/>
    <tableColumn id="3" xr3:uid="{00000000-0010-0000-0300-000003000000}" name="MANUFACTURER" dataDxfId="36"/>
    <tableColumn id="4" xr3:uid="{00000000-0010-0000-0300-000004000000}" name="VENDOR" dataDxfId="35"/>
    <tableColumn id="5" xr3:uid="{00000000-0010-0000-0300-000005000000}" name="PURCHASE YEAR" dataDxfId="34"/>
    <tableColumn id="6" xr3:uid="{00000000-0010-0000-0300-000006000000}" name="LIFESPAN (HRS)" dataDxfId="33"/>
    <tableColumn id="7" xr3:uid="{00000000-0010-0000-0300-000007000000}" name="PLA KwH" dataDxfId="32"/>
    <tableColumn id="8" xr3:uid="{00000000-0010-0000-0300-000008000000}" name="COST" dataDxfId="31"/>
    <tableColumn id="9" xr3:uid="{00000000-0010-0000-0300-000009000000}" name="TAX" dataDxfId="30"/>
    <tableColumn id="10" xr3:uid="{00000000-0010-0000-0300-00000A000000}" name="SHIPPING" dataDxfId="29"/>
    <tableColumn id="11" xr3:uid="{00000000-0010-0000-0300-00000B000000}" name="UPGRADE" dataDxfId="28"/>
    <tableColumn id="12" xr3:uid="{00000000-0010-0000-0300-00000C000000}" name="TOTAL COST" dataDxfId="27"/>
    <tableColumn id="13" xr3:uid="{00000000-0010-0000-0300-00000D000000}" name="HYPERLINK" dataDxfId="26"/>
    <tableColumn id="14" xr3:uid="{00000000-0010-0000-0300-00000E000000}" name="PRINTER DROPDOWN" dataDxfId="25">
      <calculatedColumnFormula>IF(PRINTERS[[#This Row],[ID]] &lt;&gt; "", IF(A2 = "000", A2 &amp; " | None", A2 &amp; " | " &amp; B2 &amp; " | " &amp; C2), "")</calculatedColumnFormula>
    </tableColumn>
  </tableColumns>
  <tableStyleInfo name="PRINT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Jozy103/3D-Print-Cost-Estimator"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hyperlink" Target="https://a.co/d/094rU2zP" TargetMode="External"/><Relationship Id="rId3" Type="http://schemas.openxmlformats.org/officeDocument/2006/relationships/hyperlink" Target="https://a.co/d/0fVKbn0V" TargetMode="External"/><Relationship Id="rId7" Type="http://schemas.openxmlformats.org/officeDocument/2006/relationships/hyperlink" Target="https://a.co/d/05G3VBqw" TargetMode="External"/><Relationship Id="rId2" Type="http://schemas.openxmlformats.org/officeDocument/2006/relationships/hyperlink" Target="https://a.co/d/0hpkVya5" TargetMode="External"/><Relationship Id="rId1" Type="http://schemas.openxmlformats.org/officeDocument/2006/relationships/hyperlink" Target="https://a.co/d/07OOR0Rj" TargetMode="External"/><Relationship Id="rId6" Type="http://schemas.openxmlformats.org/officeDocument/2006/relationships/hyperlink" Target="https://a.co/d/0bDRscle" TargetMode="External"/><Relationship Id="rId5" Type="http://schemas.openxmlformats.org/officeDocument/2006/relationships/hyperlink" Target="https://a.co/d/0eCazdT0" TargetMode="External"/><Relationship Id="rId10" Type="http://schemas.openxmlformats.org/officeDocument/2006/relationships/table" Target="../tables/table1.xml"/><Relationship Id="rId4" Type="http://schemas.openxmlformats.org/officeDocument/2006/relationships/hyperlink" Target="https://a.co/d/085MYaHr" TargetMode="External"/><Relationship Id="rId9" Type="http://schemas.openxmlformats.org/officeDocument/2006/relationships/hyperlink" Target="https://www.microcenter.com/product/611545/inland-285mm-pla-3d-printer-filament-10-kg-(22-lbs)-spool-white"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a.co/d/0d4szNt3" TargetMode="External"/><Relationship Id="rId1" Type="http://schemas.openxmlformats.org/officeDocument/2006/relationships/hyperlink" Target="https://www.prusa3d.com/product/prusa-nozzle-brass-cht-0-4-mm/"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www.prusa3d.com/product/textured-powder-coated-print-sheet/" TargetMode="External"/><Relationship Id="rId1" Type="http://schemas.openxmlformats.org/officeDocument/2006/relationships/hyperlink" Target="https://www.prusa3d.com/product/core-one-smooth-pei-print-sheet/"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https://www.prusa3d.com/en/product/prusa-core-one-advanced-filtration-bund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28"/>
  <sheetViews>
    <sheetView showGridLines="0" tabSelected="1" workbookViewId="0">
      <selection sqref="A1:B1"/>
    </sheetView>
  </sheetViews>
  <sheetFormatPr defaultColWidth="12.5703125" defaultRowHeight="15" customHeight="1"/>
  <cols>
    <col min="1" max="1" width="3.85546875" style="14" customWidth="1"/>
    <col min="2" max="2" width="126.42578125" style="14" customWidth="1"/>
    <col min="3" max="16384" width="12.5703125" style="14"/>
  </cols>
  <sheetData>
    <row r="1" spans="1:2">
      <c r="A1" s="15" t="s">
        <v>0</v>
      </c>
      <c r="B1" s="16"/>
    </row>
    <row r="2" spans="1:2" ht="3.75" customHeight="1">
      <c r="A2" s="113"/>
      <c r="B2" s="33"/>
    </row>
    <row r="3" spans="1:2" ht="125.25" customHeight="1">
      <c r="A3" s="113" t="s">
        <v>1</v>
      </c>
      <c r="B3" s="33"/>
    </row>
    <row r="4" spans="1:2" ht="15" customHeight="1">
      <c r="A4" s="33"/>
      <c r="B4" s="33"/>
    </row>
    <row r="5" spans="1:2">
      <c r="A5" s="15" t="s">
        <v>2</v>
      </c>
      <c r="B5" s="16"/>
    </row>
    <row r="6" spans="1:2">
      <c r="A6" s="114" t="s">
        <v>3</v>
      </c>
      <c r="B6" s="115" t="s">
        <v>254</v>
      </c>
    </row>
    <row r="7" spans="1:2">
      <c r="A7" s="114" t="s">
        <v>5</v>
      </c>
      <c r="B7" s="14" t="s">
        <v>255</v>
      </c>
    </row>
    <row r="8" spans="1:2">
      <c r="A8" s="114" t="s">
        <v>6</v>
      </c>
      <c r="B8" s="14" t="s">
        <v>256</v>
      </c>
    </row>
    <row r="9" spans="1:2">
      <c r="A9" s="114" t="s">
        <v>9</v>
      </c>
      <c r="B9" s="14" t="s">
        <v>257</v>
      </c>
    </row>
    <row r="10" spans="1:2" ht="15" customHeight="1">
      <c r="A10" s="33"/>
      <c r="B10" s="33"/>
    </row>
    <row r="11" spans="1:2">
      <c r="A11" s="15" t="s">
        <v>10</v>
      </c>
      <c r="B11" s="16"/>
    </row>
    <row r="12" spans="1:2" ht="3.75" customHeight="1"/>
    <row r="13" spans="1:2" ht="57.75">
      <c r="A13" s="114" t="s">
        <v>11</v>
      </c>
      <c r="B13" s="116" t="s">
        <v>258</v>
      </c>
    </row>
    <row r="14" spans="1:2" ht="43.5">
      <c r="A14" s="114" t="s">
        <v>5</v>
      </c>
      <c r="B14" s="116" t="s">
        <v>261</v>
      </c>
    </row>
    <row r="15" spans="1:2">
      <c r="A15" s="114" t="s">
        <v>6</v>
      </c>
      <c r="B15" s="14" t="s">
        <v>259</v>
      </c>
    </row>
    <row r="17" spans="1:2">
      <c r="A17" s="15" t="s">
        <v>13</v>
      </c>
      <c r="B17" s="16"/>
    </row>
    <row r="18" spans="1:2" ht="3.75" customHeight="1"/>
    <row r="19" spans="1:2" ht="46.5" customHeight="1">
      <c r="A19" s="117" t="s">
        <v>253</v>
      </c>
      <c r="B19" s="117"/>
    </row>
    <row r="21" spans="1:2">
      <c r="A21" s="15" t="s">
        <v>15</v>
      </c>
      <c r="B21" s="16"/>
    </row>
    <row r="22" spans="1:2" ht="3.75" customHeight="1">
      <c r="A22" s="33"/>
      <c r="B22" s="33"/>
    </row>
    <row r="23" spans="1:2" ht="28.5" customHeight="1">
      <c r="A23" s="117" t="s">
        <v>260</v>
      </c>
      <c r="B23" s="117"/>
    </row>
    <row r="25" spans="1:2">
      <c r="A25" s="15" t="s">
        <v>17</v>
      </c>
      <c r="B25" s="16"/>
    </row>
    <row r="26" spans="1:2" ht="3.75" customHeight="1"/>
    <row r="27" spans="1:2" ht="14.25">
      <c r="A27" s="14" t="s">
        <v>18</v>
      </c>
    </row>
    <row r="28" spans="1:2" ht="14.25">
      <c r="B28" s="14" t="s">
        <v>19</v>
      </c>
    </row>
  </sheetData>
  <sheetProtection sheet="1" objects="1" scenarios="1"/>
  <mergeCells count="13">
    <mergeCell ref="A25:B25"/>
    <mergeCell ref="A1:B1"/>
    <mergeCell ref="A2:B2"/>
    <mergeCell ref="A3:B3"/>
    <mergeCell ref="A10:B10"/>
    <mergeCell ref="A11:B11"/>
    <mergeCell ref="A4:B4"/>
    <mergeCell ref="A5:B5"/>
    <mergeCell ref="A17:B17"/>
    <mergeCell ref="A19:B19"/>
    <mergeCell ref="A21:B21"/>
    <mergeCell ref="A22:B22"/>
    <mergeCell ref="A23:B23"/>
  </mergeCells>
  <hyperlinks>
    <hyperlink ref="B6"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14"/>
  <sheetViews>
    <sheetView showGridLines="0" workbookViewId="0">
      <selection sqref="A1:E1"/>
    </sheetView>
  </sheetViews>
  <sheetFormatPr defaultColWidth="12.5703125" defaultRowHeight="15" customHeight="1"/>
  <cols>
    <col min="1" max="1" width="35.7109375" style="14" customWidth="1"/>
    <col min="2" max="2" width="1.7109375" customWidth="1"/>
    <col min="3" max="3" width="10.140625" customWidth="1"/>
    <col min="4" max="4" width="0.85546875" customWidth="1"/>
    <col min="5" max="5" width="57.7109375" customWidth="1"/>
    <col min="6" max="6" width="3.28515625" customWidth="1"/>
    <col min="7" max="25" width="8.5703125" customWidth="1"/>
  </cols>
  <sheetData>
    <row r="1" spans="1:7">
      <c r="A1" s="11" t="s">
        <v>4</v>
      </c>
      <c r="B1" s="10"/>
      <c r="C1" s="10"/>
      <c r="D1" s="10"/>
      <c r="E1" s="10"/>
      <c r="F1" s="27"/>
    </row>
    <row r="2" spans="1:7">
      <c r="A2" s="12" t="s">
        <v>7</v>
      </c>
      <c r="B2" s="3"/>
      <c r="C2" s="58" t="s">
        <v>22</v>
      </c>
      <c r="D2" s="59"/>
      <c r="E2" s="59"/>
      <c r="G2" s="4" t="s">
        <v>12</v>
      </c>
    </row>
    <row r="3" spans="1:7">
      <c r="A3" s="13" t="s">
        <v>20</v>
      </c>
      <c r="C3" s="60" t="s">
        <v>22</v>
      </c>
      <c r="D3" s="60"/>
      <c r="E3" s="60"/>
    </row>
    <row r="4" spans="1:7">
      <c r="A4" s="13" t="s">
        <v>23</v>
      </c>
      <c r="C4" s="60" t="s">
        <v>22</v>
      </c>
      <c r="D4" s="60"/>
      <c r="E4" s="60"/>
    </row>
    <row r="5" spans="1:7">
      <c r="A5" s="13" t="s">
        <v>24</v>
      </c>
      <c r="C5" s="60" t="s">
        <v>22</v>
      </c>
      <c r="D5" s="60"/>
      <c r="E5" s="60"/>
    </row>
    <row r="6" spans="1:7">
      <c r="A6" s="13" t="s">
        <v>26</v>
      </c>
      <c r="C6" s="60" t="s">
        <v>22</v>
      </c>
      <c r="D6" s="60"/>
      <c r="E6" s="60"/>
    </row>
    <row r="7" spans="1:7">
      <c r="A7" s="13" t="s">
        <v>27</v>
      </c>
      <c r="C7" s="60" t="s">
        <v>22</v>
      </c>
      <c r="D7" s="60"/>
      <c r="E7" s="60"/>
    </row>
    <row r="8" spans="1:7">
      <c r="A8" s="13" t="s">
        <v>28</v>
      </c>
      <c r="C8" s="60" t="s">
        <v>22</v>
      </c>
      <c r="D8" s="60"/>
      <c r="E8" s="60"/>
    </row>
    <row r="9" spans="1:7">
      <c r="A9" s="13" t="s">
        <v>29</v>
      </c>
      <c r="C9" s="60" t="s">
        <v>22</v>
      </c>
      <c r="D9" s="60"/>
      <c r="E9" s="60"/>
    </row>
    <row r="10" spans="1:7">
      <c r="A10" s="13" t="s">
        <v>30</v>
      </c>
      <c r="C10" s="61">
        <v>0</v>
      </c>
      <c r="E10" s="1" t="s">
        <v>31</v>
      </c>
      <c r="F10" s="1"/>
    </row>
    <row r="11" spans="1:7">
      <c r="A11" s="13" t="s">
        <v>32</v>
      </c>
      <c r="C11" s="62">
        <v>0</v>
      </c>
      <c r="D11" s="6"/>
      <c r="E11" s="1" t="s">
        <v>31</v>
      </c>
      <c r="F11" s="1"/>
    </row>
    <row r="12" spans="1:7">
      <c r="A12" s="13" t="s">
        <v>33</v>
      </c>
      <c r="C12" s="62">
        <v>0</v>
      </c>
      <c r="D12" s="6"/>
      <c r="E12" s="1" t="s">
        <v>31</v>
      </c>
      <c r="F12" s="1"/>
    </row>
    <row r="13" spans="1:7">
      <c r="A13" s="13" t="s">
        <v>34</v>
      </c>
      <c r="C13" s="62">
        <v>0</v>
      </c>
      <c r="D13" s="6"/>
      <c r="E13" s="1" t="s">
        <v>31</v>
      </c>
      <c r="F13" s="1"/>
    </row>
    <row r="14" spans="1:7">
      <c r="A14" s="13" t="s">
        <v>36</v>
      </c>
      <c r="C14" s="62">
        <v>0</v>
      </c>
      <c r="D14" s="6"/>
      <c r="E14" s="1" t="s">
        <v>31</v>
      </c>
      <c r="F14" s="1"/>
    </row>
    <row r="15" spans="1:7">
      <c r="A15" s="13" t="s">
        <v>37</v>
      </c>
      <c r="C15" s="62">
        <v>0</v>
      </c>
      <c r="D15" s="6"/>
      <c r="E15" s="1" t="s">
        <v>31</v>
      </c>
      <c r="F15" s="1"/>
    </row>
    <row r="16" spans="1:7">
      <c r="A16" s="13" t="s">
        <v>38</v>
      </c>
      <c r="C16" s="62">
        <v>0</v>
      </c>
      <c r="D16" s="6"/>
      <c r="E16" s="1" t="s">
        <v>31</v>
      </c>
      <c r="F16" s="1"/>
    </row>
    <row r="17" spans="1:6">
      <c r="A17" s="13" t="s">
        <v>39</v>
      </c>
      <c r="C17" s="62">
        <v>0</v>
      </c>
      <c r="D17" s="6"/>
      <c r="E17" s="1" t="s">
        <v>31</v>
      </c>
      <c r="F17" s="1"/>
    </row>
    <row r="18" spans="1:6">
      <c r="A18" s="13" t="s">
        <v>40</v>
      </c>
      <c r="C18" s="63">
        <v>0</v>
      </c>
      <c r="D18" s="6"/>
      <c r="E18" s="1" t="s">
        <v>41</v>
      </c>
      <c r="F18" s="1"/>
    </row>
    <row r="19" spans="1:6">
      <c r="A19" s="13" t="s">
        <v>21</v>
      </c>
      <c r="C19" s="64">
        <v>0</v>
      </c>
      <c r="E19" s="1" t="s">
        <v>42</v>
      </c>
      <c r="F19" s="1"/>
    </row>
    <row r="20" spans="1:6">
      <c r="A20" s="13" t="s">
        <v>43</v>
      </c>
      <c r="C20" s="64">
        <v>0</v>
      </c>
      <c r="E20" s="1" t="s">
        <v>41</v>
      </c>
      <c r="F20" s="1"/>
    </row>
    <row r="21" spans="1:6">
      <c r="A21" s="13" t="s">
        <v>44</v>
      </c>
      <c r="C21" s="65">
        <v>0.63</v>
      </c>
      <c r="E21" s="1" t="s">
        <v>45</v>
      </c>
      <c r="F21" s="1"/>
    </row>
    <row r="22" spans="1:6">
      <c r="A22" s="13" t="s">
        <v>46</v>
      </c>
      <c r="B22" s="2"/>
      <c r="C22" s="66">
        <v>0.05</v>
      </c>
      <c r="D22" s="7"/>
      <c r="E22" s="8" t="s">
        <v>49</v>
      </c>
      <c r="F22" s="8"/>
    </row>
    <row r="23" spans="1:6">
      <c r="A23" s="13" t="s">
        <v>50</v>
      </c>
      <c r="B23" s="2"/>
      <c r="C23" s="66">
        <v>0.05</v>
      </c>
      <c r="D23" s="7"/>
      <c r="E23" s="8" t="s">
        <v>51</v>
      </c>
      <c r="F23" s="8"/>
    </row>
    <row r="24" spans="1:6">
      <c r="A24" s="13" t="s">
        <v>52</v>
      </c>
      <c r="B24" s="2"/>
      <c r="C24" s="66">
        <v>0</v>
      </c>
      <c r="D24" s="7"/>
      <c r="E24" s="8" t="s">
        <v>53</v>
      </c>
      <c r="F24" s="8"/>
    </row>
    <row r="25" spans="1:6">
      <c r="A25" s="13" t="s">
        <v>54</v>
      </c>
      <c r="B25" s="2"/>
      <c r="C25" s="66">
        <v>0</v>
      </c>
      <c r="D25" s="7"/>
      <c r="E25" s="8"/>
      <c r="F25" s="8"/>
    </row>
    <row r="26" spans="1:6">
      <c r="A26" s="13" t="s">
        <v>55</v>
      </c>
      <c r="B26" s="2"/>
      <c r="C26" s="65">
        <v>0</v>
      </c>
      <c r="D26" s="7"/>
      <c r="E26" s="8" t="s">
        <v>56</v>
      </c>
      <c r="F26" s="8"/>
    </row>
    <row r="27" spans="1:6">
      <c r="A27" s="13" t="s">
        <v>57</v>
      </c>
      <c r="B27" s="2"/>
      <c r="C27" s="66">
        <v>0</v>
      </c>
      <c r="D27" s="7"/>
      <c r="E27" s="8" t="s">
        <v>58</v>
      </c>
      <c r="F27" s="8"/>
    </row>
    <row r="28" spans="1:6">
      <c r="A28" s="13" t="s">
        <v>8</v>
      </c>
      <c r="B28" s="2"/>
      <c r="C28" s="67"/>
      <c r="D28" s="59"/>
      <c r="E28" s="59"/>
    </row>
    <row r="29" spans="1:6">
      <c r="A29" s="13" t="s">
        <v>60</v>
      </c>
      <c r="B29" s="2"/>
      <c r="C29" s="67"/>
      <c r="D29" s="59"/>
      <c r="E29" s="59"/>
    </row>
    <row r="30" spans="1:6">
      <c r="A30" s="13" t="s">
        <v>62</v>
      </c>
      <c r="B30" s="2"/>
      <c r="C30" s="68"/>
      <c r="D30" s="59"/>
      <c r="E30" s="59"/>
    </row>
    <row r="31" spans="1:6">
      <c r="A31" s="13" t="s">
        <v>65</v>
      </c>
      <c r="B31" s="2"/>
      <c r="C31" s="69" t="b">
        <v>0</v>
      </c>
      <c r="D31" s="2"/>
      <c r="E31" s="19" t="s">
        <v>252</v>
      </c>
      <c r="F31" s="9"/>
    </row>
    <row r="32" spans="1:6">
      <c r="A32" s="13"/>
      <c r="B32" s="2"/>
      <c r="C32" s="5"/>
      <c r="D32" s="2"/>
      <c r="E32" s="2"/>
      <c r="F32" s="2"/>
    </row>
    <row r="33" spans="1:7">
      <c r="A33" s="11" t="s">
        <v>70</v>
      </c>
      <c r="B33" s="10"/>
      <c r="C33" s="10"/>
      <c r="D33" s="10"/>
      <c r="E33" s="10"/>
      <c r="F33" s="27"/>
    </row>
    <row r="34" spans="1:7">
      <c r="A34" s="13" t="s">
        <v>73</v>
      </c>
      <c r="C34" s="70" t="s">
        <v>22</v>
      </c>
      <c r="D34" s="71"/>
      <c r="E34" s="71"/>
      <c r="G34" s="4" t="s">
        <v>76</v>
      </c>
    </row>
    <row r="35" spans="1:7">
      <c r="A35" s="13" t="s">
        <v>79</v>
      </c>
      <c r="C35" s="70" t="s">
        <v>22</v>
      </c>
      <c r="D35" s="71"/>
      <c r="E35" s="71"/>
      <c r="G35" s="4" t="s">
        <v>81</v>
      </c>
    </row>
    <row r="36" spans="1:7">
      <c r="A36" s="13" t="s">
        <v>84</v>
      </c>
      <c r="C36" s="70" t="s">
        <v>22</v>
      </c>
      <c r="D36" s="71"/>
      <c r="E36" s="71"/>
      <c r="G36" s="4" t="s">
        <v>85</v>
      </c>
    </row>
    <row r="37" spans="1:7">
      <c r="A37" s="13" t="s">
        <v>86</v>
      </c>
      <c r="C37" s="72" t="s">
        <v>22</v>
      </c>
      <c r="D37" s="59"/>
      <c r="E37" s="59"/>
    </row>
    <row r="38" spans="1:7">
      <c r="A38" s="13" t="s">
        <v>87</v>
      </c>
      <c r="C38" s="72" t="s">
        <v>22</v>
      </c>
      <c r="D38" s="59"/>
      <c r="E38" s="59"/>
    </row>
    <row r="39" spans="1:7">
      <c r="A39" s="13" t="s">
        <v>88</v>
      </c>
      <c r="C39" s="72" t="s">
        <v>22</v>
      </c>
      <c r="D39" s="59"/>
      <c r="E39" s="59"/>
    </row>
    <row r="40" spans="1:7">
      <c r="A40" s="13" t="s">
        <v>89</v>
      </c>
      <c r="C40" s="72" t="s">
        <v>22</v>
      </c>
      <c r="D40" s="59"/>
      <c r="E40" s="59"/>
    </row>
    <row r="41" spans="1:7">
      <c r="A41" s="13" t="s">
        <v>90</v>
      </c>
      <c r="C41" s="72" t="s">
        <v>22</v>
      </c>
      <c r="D41" s="59"/>
      <c r="E41" s="59"/>
    </row>
    <row r="42" spans="1:7">
      <c r="A42" s="13" t="s">
        <v>91</v>
      </c>
      <c r="C42" s="72" t="s">
        <v>22</v>
      </c>
      <c r="D42" s="59"/>
      <c r="E42" s="59"/>
    </row>
    <row r="43" spans="1:7">
      <c r="A43" s="13" t="s">
        <v>92</v>
      </c>
      <c r="C43" s="72" t="s">
        <v>22</v>
      </c>
      <c r="D43" s="59"/>
      <c r="E43" s="59"/>
    </row>
    <row r="44" spans="1:7">
      <c r="A44" s="13" t="s">
        <v>94</v>
      </c>
      <c r="C44" s="73">
        <v>0.217</v>
      </c>
      <c r="E44" s="1" t="s">
        <v>95</v>
      </c>
      <c r="F44" s="1"/>
    </row>
    <row r="45" spans="1:7">
      <c r="A45" s="13"/>
      <c r="C45" s="5"/>
    </row>
    <row r="46" spans="1:7">
      <c r="A46" s="15" t="s">
        <v>96</v>
      </c>
      <c r="B46" s="16"/>
      <c r="C46" s="16"/>
      <c r="D46" s="16"/>
      <c r="E46" s="16"/>
      <c r="F46" s="28"/>
    </row>
    <row r="47" spans="1:7">
      <c r="A47" s="13" t="s">
        <v>97</v>
      </c>
      <c r="B47" s="14"/>
      <c r="C47" s="17" t="str">
        <f t="array" aca="1" ref="C47" ca="1">INDEX(PRINTERS[PURCHASE YEAR], MATCH(LEFT(printer, 3), PRINTERS[ID], 0))</f>
        <v>N/A</v>
      </c>
      <c r="D47" s="14"/>
      <c r="E47" s="14"/>
      <c r="F47" s="14"/>
    </row>
    <row r="48" spans="1:7">
      <c r="A48" s="13" t="s">
        <v>105</v>
      </c>
      <c r="B48" s="14"/>
      <c r="C48" s="18">
        <f t="array" aca="1" ref="C48" ca="1">INDEX(PRINTERS[TOTAL COST], MATCH(LEFT(printer, 3), PRINTERS[ID], 0))</f>
        <v>0</v>
      </c>
      <c r="D48" s="14"/>
      <c r="E48" s="19" t="s">
        <v>108</v>
      </c>
      <c r="F48" s="19"/>
    </row>
    <row r="49" spans="1:6">
      <c r="A49" s="13" t="s">
        <v>109</v>
      </c>
      <c r="B49" s="14"/>
      <c r="C49" s="20">
        <f t="array" aca="1" ref="C49" ca="1">INDEX(PRINTERS[LIFESPAN (HRS)], MATCH(LEFT(printer, 3), PRINTERS[ID], 0))</f>
        <v>0</v>
      </c>
      <c r="D49" s="14"/>
      <c r="E49" s="14" t="s">
        <v>110</v>
      </c>
      <c r="F49" s="14"/>
    </row>
    <row r="50" spans="1:6">
      <c r="A50" s="13" t="s">
        <v>111</v>
      </c>
      <c r="B50" s="14"/>
      <c r="C50" s="21">
        <f t="array" aca="1" ref="C50" ca="1">INDEX(PRINTERS[PLA KwH], MATCH(LEFT(printer, 3), PRINTERS[ID], 0))</f>
        <v>0</v>
      </c>
      <c r="D50" s="14"/>
      <c r="E50" s="14" t="s">
        <v>112</v>
      </c>
      <c r="F50" s="14"/>
    </row>
    <row r="51" spans="1:6">
      <c r="A51" s="13" t="s">
        <v>113</v>
      </c>
      <c r="B51" s="14"/>
      <c r="C51" s="20">
        <f t="array" aca="1" ref="C51" ca="1">INDEX(FILAMENT[ROLL SIZE (g)], MATCH(LEFT(roll1, 3), FILAMENT[ID], 0))</f>
        <v>0</v>
      </c>
      <c r="D51" s="22"/>
      <c r="E51" s="14" t="s">
        <v>123</v>
      </c>
      <c r="F51" s="14"/>
    </row>
    <row r="52" spans="1:6">
      <c r="A52" s="13" t="s">
        <v>124</v>
      </c>
      <c r="B52" s="14"/>
      <c r="C52" s="23">
        <f t="array" aca="1" ref="C52" ca="1">INDEX(FILAMENT[TOTAL COST], MATCH(LEFT(roll1, 3), FILAMENT[ID], 0))</f>
        <v>0</v>
      </c>
      <c r="D52" s="24"/>
      <c r="E52" s="19" t="s">
        <v>108</v>
      </c>
      <c r="F52" s="19"/>
    </row>
    <row r="53" spans="1:6">
      <c r="A53" s="13" t="s">
        <v>129</v>
      </c>
      <c r="B53" s="14"/>
      <c r="C53" s="25">
        <f ca="1">IFERROR(printSize1  * numPrints / rollSize1, 0)</f>
        <v>0</v>
      </c>
      <c r="D53" s="14"/>
      <c r="E53" s="14"/>
      <c r="F53" s="14"/>
    </row>
    <row r="54" spans="1:6">
      <c r="A54" s="13" t="s">
        <v>131</v>
      </c>
      <c r="B54" s="14"/>
      <c r="C54" s="21">
        <f t="array" aca="1" ref="C54" ca="1">INDEX(FILAMENT[ROLL SIZE (g)], MATCH(LEFT(roll2, 3), FILAMENT[ID], 0))</f>
        <v>0</v>
      </c>
      <c r="D54" s="14"/>
      <c r="E54" s="14" t="s">
        <v>123</v>
      </c>
      <c r="F54" s="14"/>
    </row>
    <row r="55" spans="1:6">
      <c r="A55" s="13" t="s">
        <v>133</v>
      </c>
      <c r="B55" s="14"/>
      <c r="C55" s="23">
        <f t="array" aca="1" ref="C55" ca="1">INDEX(FILAMENT[TOTAL COST], MATCH(LEFT(roll2, 3), FILAMENT[ID], 0))</f>
        <v>0</v>
      </c>
      <c r="D55" s="14"/>
      <c r="E55" s="19" t="s">
        <v>108</v>
      </c>
      <c r="F55" s="19"/>
    </row>
    <row r="56" spans="1:6">
      <c r="A56" s="13" t="s">
        <v>138</v>
      </c>
      <c r="B56" s="14"/>
      <c r="C56" s="25">
        <f ca="1">IFERROR(printSize2 * numPrints  / rollSize2, 0)</f>
        <v>0</v>
      </c>
      <c r="D56" s="14"/>
      <c r="E56" s="14"/>
      <c r="F56" s="14"/>
    </row>
    <row r="57" spans="1:6">
      <c r="A57" s="13" t="s">
        <v>140</v>
      </c>
      <c r="B57" s="14"/>
      <c r="C57" s="21">
        <f t="array" aca="1" ref="C57" ca="1">INDEX(FILAMENT[ROLL SIZE (g)], MATCH(LEFT(roll3, 3), FILAMENT[ID], 0))</f>
        <v>0</v>
      </c>
      <c r="D57" s="14"/>
      <c r="E57" s="14" t="s">
        <v>123</v>
      </c>
      <c r="F57" s="14"/>
    </row>
    <row r="58" spans="1:6">
      <c r="A58" s="13" t="s">
        <v>142</v>
      </c>
      <c r="B58" s="14"/>
      <c r="C58" s="23">
        <f t="array" aca="1" ref="C58" ca="1">INDEX(FILAMENT[TOTAL COST], MATCH(LEFT(roll3, 3), FILAMENT[ID], 0))</f>
        <v>0</v>
      </c>
      <c r="D58" s="14"/>
      <c r="E58" s="19" t="s">
        <v>108</v>
      </c>
      <c r="F58" s="19"/>
    </row>
    <row r="59" spans="1:6">
      <c r="A59" s="13" t="s">
        <v>143</v>
      </c>
      <c r="B59" s="14"/>
      <c r="C59" s="25">
        <f ca="1">IFERROR(printSize3 * numPrints / rollSize3, 0)</f>
        <v>0</v>
      </c>
      <c r="D59" s="14"/>
      <c r="E59" s="14"/>
      <c r="F59" s="14"/>
    </row>
    <row r="60" spans="1:6">
      <c r="A60" s="13" t="s">
        <v>147</v>
      </c>
      <c r="B60" s="14"/>
      <c r="C60" s="21">
        <f t="array" aca="1" ref="C60" ca="1">INDEX(FILAMENT[ROLL SIZE (g)], MATCH(LEFT(roll4, 3), FILAMENT[ID], 0))</f>
        <v>0</v>
      </c>
      <c r="D60" s="14"/>
      <c r="E60" s="14" t="s">
        <v>123</v>
      </c>
      <c r="F60" s="14"/>
    </row>
    <row r="61" spans="1:6">
      <c r="A61" s="13" t="s">
        <v>149</v>
      </c>
      <c r="B61" s="14"/>
      <c r="C61" s="23">
        <f t="array" aca="1" ref="C61" ca="1">INDEX(FILAMENT[TOTAL COST], MATCH(LEFT(roll4, 3), FILAMENT[ID], 0))</f>
        <v>0</v>
      </c>
      <c r="D61" s="14"/>
      <c r="E61" s="19" t="s">
        <v>108</v>
      </c>
      <c r="F61" s="19"/>
    </row>
    <row r="62" spans="1:6">
      <c r="A62" s="13" t="s">
        <v>150</v>
      </c>
      <c r="B62" s="14"/>
      <c r="C62" s="25">
        <f ca="1">IFERROR(printSize4 * numPrints / rollSize4, 0)</f>
        <v>0</v>
      </c>
      <c r="D62" s="14"/>
      <c r="E62" s="14"/>
      <c r="F62" s="14"/>
    </row>
    <row r="63" spans="1:6">
      <c r="A63" s="13" t="s">
        <v>151</v>
      </c>
      <c r="B63" s="14"/>
      <c r="C63" s="21">
        <f t="array" aca="1" ref="C63" ca="1">INDEX(FILAMENT[ROLL SIZE (g)], MATCH(LEFT(roll5, 3), FILAMENT[ID], 0))</f>
        <v>0</v>
      </c>
      <c r="D63" s="14"/>
      <c r="E63" s="14" t="s">
        <v>123</v>
      </c>
      <c r="F63" s="14"/>
    </row>
    <row r="64" spans="1:6">
      <c r="A64" s="13" t="s">
        <v>155</v>
      </c>
      <c r="B64" s="14"/>
      <c r="C64" s="23">
        <f t="array" aca="1" ref="C64" ca="1">INDEX(FILAMENT[TOTAL COST], MATCH(LEFT(roll5, 3), FILAMENT[ID], 0))</f>
        <v>0</v>
      </c>
      <c r="D64" s="14"/>
      <c r="E64" s="19" t="s">
        <v>108</v>
      </c>
      <c r="F64" s="19"/>
    </row>
    <row r="65" spans="1:6">
      <c r="A65" s="13" t="s">
        <v>157</v>
      </c>
      <c r="B65" s="14"/>
      <c r="C65" s="25">
        <f ca="1">IFERROR(printSize5 * numPrints / rollSize5, 0)</f>
        <v>0</v>
      </c>
      <c r="D65" s="14"/>
      <c r="E65" s="14"/>
      <c r="F65" s="14"/>
    </row>
    <row r="66" spans="1:6">
      <c r="A66" s="13" t="s">
        <v>158</v>
      </c>
      <c r="B66" s="14"/>
      <c r="C66" s="21">
        <f t="array" aca="1" ref="C66" ca="1">INDEX(FILAMENT[ROLL SIZE (g)], MATCH(LEFT(roll6, 3), FILAMENT[ID], 0))</f>
        <v>0</v>
      </c>
      <c r="D66" s="14"/>
      <c r="E66" s="14" t="s">
        <v>123</v>
      </c>
      <c r="F66" s="14"/>
    </row>
    <row r="67" spans="1:6">
      <c r="A67" s="13" t="s">
        <v>160</v>
      </c>
      <c r="B67" s="14"/>
      <c r="C67" s="23">
        <f t="array" aca="1" ref="C67" ca="1">INDEX(FILAMENT[TOTAL COST], MATCH(LEFT(roll6, 3), FILAMENT[ID], 0))</f>
        <v>0</v>
      </c>
      <c r="D67" s="14"/>
      <c r="E67" s="19" t="s">
        <v>108</v>
      </c>
      <c r="F67" s="19"/>
    </row>
    <row r="68" spans="1:6">
      <c r="A68" s="13" t="s">
        <v>162</v>
      </c>
      <c r="B68" s="14"/>
      <c r="C68" s="25">
        <f ca="1">IFERROR(printSize6 * numPrints / rollSize6, 0)</f>
        <v>0</v>
      </c>
      <c r="D68" s="14"/>
      <c r="E68" s="14"/>
      <c r="F68" s="14"/>
    </row>
    <row r="69" spans="1:6">
      <c r="A69" s="13" t="s">
        <v>164</v>
      </c>
      <c r="B69" s="14"/>
      <c r="C69" s="21">
        <f t="array" aca="1" ref="C69" ca="1">INDEX(FILAMENT[ROLL SIZE (g)], MATCH(LEFT(roll7, 3), FILAMENT[ID], 0))</f>
        <v>0</v>
      </c>
      <c r="D69" s="14"/>
      <c r="E69" s="14" t="s">
        <v>123</v>
      </c>
      <c r="F69" s="14"/>
    </row>
    <row r="70" spans="1:6">
      <c r="A70" s="13" t="s">
        <v>165</v>
      </c>
      <c r="B70" s="14"/>
      <c r="C70" s="23">
        <f t="array" aca="1" ref="C70" ca="1">INDEX(FILAMENT[TOTAL COST], MATCH(LEFT(roll7, 3), FILAMENT[ID], 0))</f>
        <v>0</v>
      </c>
      <c r="D70" s="14"/>
      <c r="E70" s="19" t="s">
        <v>108</v>
      </c>
      <c r="F70" s="19"/>
    </row>
    <row r="71" spans="1:6">
      <c r="A71" s="13" t="s">
        <v>169</v>
      </c>
      <c r="B71" s="14"/>
      <c r="C71" s="25">
        <f ca="1">IFERROR(printSize7 * numPrints / rollSize7, 0)</f>
        <v>0</v>
      </c>
      <c r="D71" s="14"/>
      <c r="E71" s="14"/>
      <c r="F71" s="14"/>
    </row>
    <row r="72" spans="1:6">
      <c r="A72" s="13" t="s">
        <v>171</v>
      </c>
      <c r="B72" s="14"/>
      <c r="C72" s="21">
        <f t="array" aca="1" ref="C72" ca="1">INDEX(FILAMENT[ROLL SIZE (g)], MATCH(LEFT(roll8, 3), FILAMENT[ID], 0))</f>
        <v>0</v>
      </c>
      <c r="D72" s="14"/>
      <c r="E72" s="14" t="s">
        <v>123</v>
      </c>
      <c r="F72" s="14"/>
    </row>
    <row r="73" spans="1:6">
      <c r="A73" s="13" t="s">
        <v>173</v>
      </c>
      <c r="B73" s="14"/>
      <c r="C73" s="23">
        <f t="array" aca="1" ref="C73" ca="1">INDEX(FILAMENT[TOTAL COST], MATCH(LEFT(roll8, 3), FILAMENT[ID], 0))</f>
        <v>0</v>
      </c>
      <c r="D73" s="14"/>
      <c r="E73" s="19" t="s">
        <v>108</v>
      </c>
      <c r="F73" s="19"/>
    </row>
    <row r="74" spans="1:6">
      <c r="A74" s="13" t="s">
        <v>174</v>
      </c>
      <c r="B74" s="14"/>
      <c r="C74" s="25">
        <f ca="1">IFERROR(printSize8 * numPrints / rollSize8, 0)</f>
        <v>0</v>
      </c>
      <c r="D74" s="14"/>
      <c r="E74" s="14"/>
      <c r="F74" s="14"/>
    </row>
    <row r="75" spans="1:6">
      <c r="A75" s="13" t="s">
        <v>175</v>
      </c>
      <c r="B75" s="14"/>
      <c r="C75" s="23">
        <f>(printSize1 + printSize2 + printSize3 + printSize4 + printSize5 + printSize6 + printSize7 + printSize8) * numPrints</f>
        <v>0</v>
      </c>
      <c r="D75" s="14"/>
      <c r="E75" s="14" t="s">
        <v>31</v>
      </c>
      <c r="F75" s="14"/>
    </row>
    <row r="76" spans="1:6">
      <c r="A76" s="13" t="s">
        <v>177</v>
      </c>
      <c r="B76" s="14"/>
      <c r="C76" s="23">
        <f ca="1">(rollCost1 * rollPct1) + (rollCost2 * rollPct2) + (rollCost3 * rollPct3) + (rollCost4 * rollPct4) + (rollCost5 * rollPct5) + (rollCost6 * rollPct6) + (rollCost7 * rollPct7) + (rollCost8 * rollPct8)</f>
        <v>0</v>
      </c>
      <c r="D76" s="14"/>
      <c r="E76" s="14"/>
      <c r="F76" s="14"/>
    </row>
    <row r="77" spans="1:6">
      <c r="A77" s="13" t="s">
        <v>179</v>
      </c>
      <c r="B77" s="14"/>
      <c r="C77" s="20">
        <f>C18 / 60</f>
        <v>0</v>
      </c>
      <c r="D77" s="14"/>
      <c r="E77" s="14" t="s">
        <v>110</v>
      </c>
      <c r="F77" s="14"/>
    </row>
    <row r="78" spans="1:6">
      <c r="A78" s="13" t="s">
        <v>180</v>
      </c>
      <c r="B78" s="14"/>
      <c r="C78" s="26">
        <f>printTimeMins * numPrints</f>
        <v>0</v>
      </c>
      <c r="D78" s="14"/>
      <c r="E78" s="14" t="s">
        <v>41</v>
      </c>
      <c r="F78" s="14"/>
    </row>
    <row r="79" spans="1:6">
      <c r="A79" s="13" t="s">
        <v>181</v>
      </c>
      <c r="B79" s="14"/>
      <c r="C79" s="20">
        <f>totPrintTimeMins / 60</f>
        <v>0</v>
      </c>
      <c r="D79" s="14"/>
      <c r="E79" s="14" t="s">
        <v>110</v>
      </c>
      <c r="F79" s="14"/>
    </row>
    <row r="80" spans="1:6">
      <c r="A80" s="13" t="s">
        <v>183</v>
      </c>
      <c r="B80" s="14"/>
      <c r="C80" s="18">
        <f ca="1">IFERROR((printerCost / printerLife) * totPrintTimeHrs, 0)</f>
        <v>0</v>
      </c>
      <c r="D80" s="14"/>
      <c r="E80" s="14"/>
      <c r="F80" s="14"/>
    </row>
    <row r="81" spans="1:6">
      <c r="A81" s="13" t="s">
        <v>185</v>
      </c>
      <c r="B81" s="14"/>
      <c r="C81" s="17" t="str">
        <f t="array" aca="1" ref="C81" ca="1">INDEX(PLATES[PURCHASE YEAR], MATCH(LEFT(plate, 3), PLATES[ID], 0))</f>
        <v>N/A</v>
      </c>
      <c r="D81" s="14"/>
      <c r="E81" s="14"/>
      <c r="F81" s="14"/>
    </row>
    <row r="82" spans="1:6">
      <c r="A82" s="13" t="s">
        <v>187</v>
      </c>
      <c r="B82" s="14"/>
      <c r="C82" s="18">
        <f t="array" aca="1" ref="C82" ca="1">INDEX(PLATES[TOTAL COST], MATCH(LEFT(plate, 3), PLATES[ID], 0))</f>
        <v>0</v>
      </c>
      <c r="D82" s="14"/>
      <c r="E82" s="19" t="s">
        <v>108</v>
      </c>
      <c r="F82" s="19"/>
    </row>
    <row r="83" spans="1:6">
      <c r="A83" s="13" t="s">
        <v>188</v>
      </c>
      <c r="B83" s="14"/>
      <c r="C83" s="20">
        <f t="array" aca="1" ref="C83" ca="1">INDEX(PLATES[LIFESPAN (HRS)], MATCH(LEFT(plate, 3), PLATES[ID], 0))</f>
        <v>0</v>
      </c>
      <c r="D83" s="14"/>
      <c r="E83" s="14" t="s">
        <v>110</v>
      </c>
      <c r="F83" s="14"/>
    </row>
    <row r="84" spans="1:6">
      <c r="A84" s="13" t="s">
        <v>191</v>
      </c>
      <c r="B84" s="14"/>
      <c r="C84" s="18">
        <f ca="1">IFERROR((plateCost / plateLife) * totPrintTimeHrs, 0)</f>
        <v>0</v>
      </c>
      <c r="D84" s="14"/>
      <c r="E84" s="14"/>
      <c r="F84" s="14"/>
    </row>
    <row r="85" spans="1:6">
      <c r="A85" s="13" t="s">
        <v>192</v>
      </c>
      <c r="B85" s="14"/>
      <c r="C85" s="17" t="str">
        <f t="array" aca="1" ref="C85" ca="1">INDEX(NOZZLES[PURCHASE YEAR], MATCH(LEFT(nozzle1, 3), NOZZLES[ID], 0))</f>
        <v>N/A</v>
      </c>
      <c r="D85" s="14"/>
      <c r="E85" s="14"/>
      <c r="F85" s="14"/>
    </row>
    <row r="86" spans="1:6">
      <c r="A86" s="13" t="s">
        <v>194</v>
      </c>
      <c r="B86" s="14"/>
      <c r="C86" s="18">
        <f t="array" aca="1" ref="C86" ca="1">INDEX(NOZZLES[TOTAL COST], MATCH(LEFT(nozzle1, 3), NOZZLES[ID], 0))</f>
        <v>0</v>
      </c>
      <c r="D86" s="14"/>
      <c r="E86" s="19" t="s">
        <v>108</v>
      </c>
      <c r="F86" s="19"/>
    </row>
    <row r="87" spans="1:6">
      <c r="A87" s="13" t="s">
        <v>195</v>
      </c>
      <c r="B87" s="14"/>
      <c r="C87" s="20">
        <f t="array" aca="1" ref="C87" ca="1">INDEX(NOZZLES[LIFESPAN (HRS)], MATCH(LEFT(nozzle1, 3), NOZZLES[ID], 0))</f>
        <v>0</v>
      </c>
      <c r="D87" s="14"/>
      <c r="E87" s="14" t="s">
        <v>110</v>
      </c>
      <c r="F87" s="14"/>
    </row>
    <row r="88" spans="1:6">
      <c r="A88" s="13" t="s">
        <v>196</v>
      </c>
      <c r="B88" s="14"/>
      <c r="C88" s="25">
        <f>IFERROR(printSize1 * numPrints / totFilamentUsed, 0)</f>
        <v>0</v>
      </c>
      <c r="D88" s="14"/>
      <c r="E88" s="14"/>
      <c r="F88" s="14"/>
    </row>
    <row r="89" spans="1:6">
      <c r="A89" s="13" t="s">
        <v>197</v>
      </c>
      <c r="B89" s="14"/>
      <c r="C89" s="23">
        <f>IFERROR(IF(printSize1 &gt; 0, (nozzleCost1 / nozzleLife1) * (nozzlePrintPct1 * totPrintTimeHrs), 0), 0)</f>
        <v>0</v>
      </c>
      <c r="D89" s="14"/>
      <c r="E89" s="14"/>
      <c r="F89" s="14"/>
    </row>
    <row r="90" spans="1:6">
      <c r="A90" s="13" t="s">
        <v>198</v>
      </c>
      <c r="B90" s="14"/>
      <c r="C90" s="17" t="str">
        <f t="array" aca="1" ref="C90" ca="1">INDEX(NOZZLES[PURCHASE YEAR], MATCH(LEFT(nozzle2, 3), NOZZLES[ID], 0))</f>
        <v>N/A</v>
      </c>
      <c r="D90" s="14"/>
      <c r="E90" s="14"/>
      <c r="F90" s="14"/>
    </row>
    <row r="91" spans="1:6">
      <c r="A91" s="13" t="s">
        <v>199</v>
      </c>
      <c r="B91" s="14"/>
      <c r="C91" s="18">
        <f t="array" aca="1" ref="C91" ca="1">INDEX(NOZZLES[TOTAL COST], MATCH(LEFT(nozzle2, 3), NOZZLES[ID], 0))</f>
        <v>0</v>
      </c>
      <c r="D91" s="14"/>
      <c r="E91" s="19" t="s">
        <v>108</v>
      </c>
      <c r="F91" s="19"/>
    </row>
    <row r="92" spans="1:6">
      <c r="A92" s="13" t="s">
        <v>200</v>
      </c>
      <c r="B92" s="14"/>
      <c r="C92" s="20">
        <f t="array" aca="1" ref="C92" ca="1">INDEX(NOZZLES[LIFESPAN (HRS)], MATCH(LEFT(nozzle2, 3), NOZZLES[ID], 0))</f>
        <v>0</v>
      </c>
      <c r="D92" s="14"/>
      <c r="E92" s="14" t="s">
        <v>110</v>
      </c>
      <c r="F92" s="14"/>
    </row>
    <row r="93" spans="1:6">
      <c r="A93" s="13" t="s">
        <v>201</v>
      </c>
      <c r="B93" s="14"/>
      <c r="C93" s="25">
        <f>IFERROR(printSize2 * numPrints / totFilamentUsed, 0)</f>
        <v>0</v>
      </c>
      <c r="D93" s="14"/>
      <c r="E93" s="19"/>
      <c r="F93" s="19"/>
    </row>
    <row r="94" spans="1:6">
      <c r="A94" s="13" t="s">
        <v>202</v>
      </c>
      <c r="B94" s="14"/>
      <c r="C94" s="23">
        <f>IFERROR(IF(printSize2 &gt; 0, (nozzleCost2 / nozzleLife2) * (nozzlePrintPct2 * totPrintTimeHrs), 0), 0)</f>
        <v>0</v>
      </c>
      <c r="D94" s="14"/>
      <c r="E94" s="19"/>
      <c r="F94" s="19"/>
    </row>
    <row r="95" spans="1:6">
      <c r="A95" s="13" t="s">
        <v>203</v>
      </c>
      <c r="B95" s="14"/>
      <c r="C95" s="17" t="str">
        <f t="array" aca="1" ref="C95" ca="1">INDEX(NOZZLES[PURCHASE YEAR], MATCH(LEFT(nozzle3, 3), NOZZLES[ID], 0))</f>
        <v>N/A</v>
      </c>
      <c r="D95" s="14"/>
      <c r="E95" s="14"/>
      <c r="F95" s="14"/>
    </row>
    <row r="96" spans="1:6">
      <c r="A96" s="13" t="s">
        <v>204</v>
      </c>
      <c r="B96" s="14"/>
      <c r="C96" s="18">
        <f t="array" aca="1" ref="C96" ca="1">INDEX(NOZZLES[TOTAL COST], MATCH(LEFT(nozzle3, 3), NOZZLES[ID], 0))</f>
        <v>0</v>
      </c>
      <c r="D96" s="14"/>
      <c r="E96" s="19" t="s">
        <v>108</v>
      </c>
      <c r="F96" s="19"/>
    </row>
    <row r="97" spans="1:6">
      <c r="A97" s="13" t="s">
        <v>205</v>
      </c>
      <c r="B97" s="14"/>
      <c r="C97" s="20">
        <f t="array" aca="1" ref="C97" ca="1">INDEX(NOZZLES[LIFESPAN (HRS)], MATCH(LEFT(nozzle3, 3), NOZZLES[ID], 0))</f>
        <v>0</v>
      </c>
      <c r="D97" s="14"/>
      <c r="E97" s="14" t="s">
        <v>110</v>
      </c>
      <c r="F97" s="14"/>
    </row>
    <row r="98" spans="1:6">
      <c r="A98" s="13" t="s">
        <v>206</v>
      </c>
      <c r="B98" s="14"/>
      <c r="C98" s="25">
        <f>IFERROR(printSize3 * numPrints / totFilamentUsed, 0)</f>
        <v>0</v>
      </c>
      <c r="D98" s="14"/>
      <c r="E98" s="19"/>
      <c r="F98" s="19"/>
    </row>
    <row r="99" spans="1:6">
      <c r="A99" s="13" t="s">
        <v>207</v>
      </c>
      <c r="B99" s="14"/>
      <c r="C99" s="23">
        <f>IFERROR(IF(printSize3 &gt; 0, (nozzleCost3 / nozzleLife3) * (nozzlePrintPct3 * totPrintTimeHrs), 0), 0)</f>
        <v>0</v>
      </c>
      <c r="D99" s="14"/>
      <c r="E99" s="19"/>
      <c r="F99" s="19"/>
    </row>
    <row r="100" spans="1:6">
      <c r="A100" s="13" t="s">
        <v>208</v>
      </c>
      <c r="B100" s="14"/>
      <c r="C100" s="17" t="str">
        <f t="array" aca="1" ref="C100" ca="1">INDEX(NOZZLES[PURCHASE YEAR], MATCH(LEFT(nozzle4, 3), NOZZLES[ID], 0))</f>
        <v>N/A</v>
      </c>
      <c r="D100" s="14"/>
      <c r="E100" s="14"/>
      <c r="F100" s="14"/>
    </row>
    <row r="101" spans="1:6">
      <c r="A101" s="13" t="s">
        <v>209</v>
      </c>
      <c r="B101" s="14"/>
      <c r="C101" s="18">
        <f t="array" aca="1" ref="C101" ca="1">INDEX(NOZZLES[TOTAL COST], MATCH(LEFT(nozzle4, 3), NOZZLES[ID], 0))</f>
        <v>0</v>
      </c>
      <c r="D101" s="14"/>
      <c r="E101" s="19" t="s">
        <v>108</v>
      </c>
      <c r="F101" s="19"/>
    </row>
    <row r="102" spans="1:6">
      <c r="A102" s="13" t="s">
        <v>210</v>
      </c>
      <c r="B102" s="14"/>
      <c r="C102" s="20">
        <f t="array" aca="1" ref="C102" ca="1">INDEX(NOZZLES[LIFESPAN (HRS)], MATCH(LEFT(nozzle4, 3), NOZZLES[ID], 0))</f>
        <v>0</v>
      </c>
      <c r="D102" s="14"/>
      <c r="E102" s="14" t="s">
        <v>110</v>
      </c>
      <c r="F102" s="14"/>
    </row>
    <row r="103" spans="1:6">
      <c r="A103" s="13" t="s">
        <v>211</v>
      </c>
      <c r="B103" s="14"/>
      <c r="C103" s="25">
        <f>IFERROR(printSize4 * numPrints / totFilamentUsed, 0)</f>
        <v>0</v>
      </c>
      <c r="D103" s="14"/>
      <c r="E103" s="19"/>
      <c r="F103" s="19"/>
    </row>
    <row r="104" spans="1:6">
      <c r="A104" s="13" t="s">
        <v>212</v>
      </c>
      <c r="B104" s="14"/>
      <c r="C104" s="23">
        <f>IFERROR(IF(printSize4 &gt; 0, (nozzleCost4 / nozzleLife4) * (nozzlePrintPct4 * totPrintTimeHrs), 0), 0)</f>
        <v>0</v>
      </c>
      <c r="D104" s="14"/>
      <c r="E104" s="19"/>
      <c r="F104" s="19"/>
    </row>
    <row r="105" spans="1:6">
      <c r="A105" s="13" t="s">
        <v>213</v>
      </c>
      <c r="B105" s="14"/>
      <c r="C105" s="17" t="str">
        <f t="array" aca="1" ref="C105" ca="1">INDEX(NOZZLES[PURCHASE YEAR], MATCH(LEFT(nozzle5, 3), NOZZLES[ID], 0))</f>
        <v>N/A</v>
      </c>
      <c r="D105" s="14"/>
      <c r="E105" s="14"/>
      <c r="F105" s="14"/>
    </row>
    <row r="106" spans="1:6">
      <c r="A106" s="13" t="s">
        <v>214</v>
      </c>
      <c r="B106" s="14"/>
      <c r="C106" s="18">
        <f t="array" aca="1" ref="C106" ca="1">INDEX(NOZZLES[TOTAL COST], MATCH(LEFT(nozzle5, 3), NOZZLES[ID], 0))</f>
        <v>0</v>
      </c>
      <c r="D106" s="14"/>
      <c r="E106" s="19" t="s">
        <v>108</v>
      </c>
      <c r="F106" s="19"/>
    </row>
    <row r="107" spans="1:6">
      <c r="A107" s="13" t="s">
        <v>215</v>
      </c>
      <c r="B107" s="14"/>
      <c r="C107" s="20">
        <f t="array" aca="1" ref="C107" ca="1">INDEX(NOZZLES[LIFESPAN (HRS)], MATCH(LEFT(nozzle5, 3), NOZZLES[ID], 0))</f>
        <v>0</v>
      </c>
      <c r="D107" s="14"/>
      <c r="E107" s="14" t="s">
        <v>110</v>
      </c>
      <c r="F107" s="14"/>
    </row>
    <row r="108" spans="1:6">
      <c r="A108" s="13" t="s">
        <v>216</v>
      </c>
      <c r="B108" s="14"/>
      <c r="C108" s="25">
        <f>IFERROR(printSize5 * numPrints / totFilamentUsed, 0)</f>
        <v>0</v>
      </c>
      <c r="D108" s="14"/>
      <c r="E108" s="19"/>
      <c r="F108" s="19"/>
    </row>
    <row r="109" spans="1:6">
      <c r="A109" s="13" t="s">
        <v>217</v>
      </c>
      <c r="B109" s="14"/>
      <c r="C109" s="23">
        <f>IFERROR(IF(printSize5 &gt; 0, (nozzleCost5 / nozzleLife5) * (nozzlePrintPct5 * totPrintTimeHrs), 0), 0)</f>
        <v>0</v>
      </c>
      <c r="D109" s="14"/>
      <c r="E109" s="19"/>
      <c r="F109" s="19"/>
    </row>
    <row r="110" spans="1:6">
      <c r="A110" s="13" t="s">
        <v>218</v>
      </c>
      <c r="B110" s="14"/>
      <c r="C110" s="17" t="str">
        <f t="array" aca="1" ref="C110" ca="1">INDEX(NOZZLES[PURCHASE YEAR], MATCH(LEFT(nozzle6, 3), NOZZLES[ID], 0))</f>
        <v>N/A</v>
      </c>
      <c r="D110" s="14"/>
      <c r="E110" s="14"/>
      <c r="F110" s="14"/>
    </row>
    <row r="111" spans="1:6">
      <c r="A111" s="13" t="s">
        <v>219</v>
      </c>
      <c r="B111" s="14"/>
      <c r="C111" s="18">
        <f t="array" aca="1" ref="C111" ca="1">INDEX(NOZZLES[TOTAL COST], MATCH(LEFT(nozzle6, 3), NOZZLES[ID], 0))</f>
        <v>0</v>
      </c>
      <c r="D111" s="14"/>
      <c r="E111" s="19" t="s">
        <v>108</v>
      </c>
      <c r="F111" s="19"/>
    </row>
    <row r="112" spans="1:6">
      <c r="A112" s="13" t="s">
        <v>220</v>
      </c>
      <c r="B112" s="14"/>
      <c r="C112" s="20">
        <f t="array" aca="1" ref="C112" ca="1">INDEX(NOZZLES[LIFESPAN (HRS)], MATCH(LEFT(nozzle6, 3), NOZZLES[ID], 0))</f>
        <v>0</v>
      </c>
      <c r="D112" s="14"/>
      <c r="E112" s="14" t="s">
        <v>110</v>
      </c>
      <c r="F112" s="14"/>
    </row>
    <row r="113" spans="1:6">
      <c r="A113" s="13" t="s">
        <v>221</v>
      </c>
      <c r="B113" s="14"/>
      <c r="C113" s="25">
        <f>IFERROR(printSize6 * numPrints / totFilamentUsed, 0)</f>
        <v>0</v>
      </c>
      <c r="D113" s="14"/>
      <c r="E113" s="19"/>
      <c r="F113" s="19"/>
    </row>
    <row r="114" spans="1:6">
      <c r="A114" s="13" t="s">
        <v>222</v>
      </c>
      <c r="B114" s="14"/>
      <c r="C114" s="23">
        <f>IFERROR(IF(printSize6 &gt; 0, (nozzleCost6 / nozzleLife6) * (nozzlePrintPct6 * totPrintTimeHrs), 0), 0)</f>
        <v>0</v>
      </c>
      <c r="D114" s="14"/>
      <c r="E114" s="19"/>
      <c r="F114" s="19"/>
    </row>
    <row r="115" spans="1:6">
      <c r="A115" s="13" t="s">
        <v>223</v>
      </c>
      <c r="B115" s="14"/>
      <c r="C115" s="17" t="str">
        <f t="array" aca="1" ref="C115" ca="1">INDEX(NOZZLES[PURCHASE YEAR], MATCH(LEFT(nozzle7, 3), NOZZLES[ID], 0))</f>
        <v>N/A</v>
      </c>
      <c r="D115" s="14"/>
      <c r="E115" s="14"/>
      <c r="F115" s="14"/>
    </row>
    <row r="116" spans="1:6">
      <c r="A116" s="13" t="s">
        <v>224</v>
      </c>
      <c r="B116" s="14"/>
      <c r="C116" s="18">
        <f t="array" aca="1" ref="C116" ca="1">INDEX(NOZZLES[TOTAL COST], MATCH(LEFT(nozzle7, 3), NOZZLES[ID], 0))</f>
        <v>0</v>
      </c>
      <c r="D116" s="14"/>
      <c r="E116" s="19" t="s">
        <v>108</v>
      </c>
      <c r="F116" s="19"/>
    </row>
    <row r="117" spans="1:6">
      <c r="A117" s="13" t="s">
        <v>225</v>
      </c>
      <c r="B117" s="14"/>
      <c r="C117" s="20">
        <f t="array" aca="1" ref="C117" ca="1">INDEX(NOZZLES[LIFESPAN (HRS)], MATCH(LEFT(nozzle7, 3), NOZZLES[ID], 0))</f>
        <v>0</v>
      </c>
      <c r="D117" s="14"/>
      <c r="E117" s="14" t="s">
        <v>110</v>
      </c>
      <c r="F117" s="14"/>
    </row>
    <row r="118" spans="1:6">
      <c r="A118" s="13" t="s">
        <v>226</v>
      </c>
      <c r="B118" s="14"/>
      <c r="C118" s="25">
        <f>IFERROR(printSize7 * numPrints / totFilamentUsed, 0)</f>
        <v>0</v>
      </c>
      <c r="D118" s="14"/>
      <c r="E118" s="19"/>
      <c r="F118" s="19"/>
    </row>
    <row r="119" spans="1:6">
      <c r="A119" s="13" t="s">
        <v>227</v>
      </c>
      <c r="B119" s="14"/>
      <c r="C119" s="23">
        <f>IFERROR(IF(printSize7 &gt; 0, (nozzleCost7 / nozzleLife7) * (nozzlePrintPct7 * totPrintTimeHrs), 0), 0)</f>
        <v>0</v>
      </c>
      <c r="D119" s="14"/>
      <c r="E119" s="19"/>
      <c r="F119" s="19"/>
    </row>
    <row r="120" spans="1:6">
      <c r="A120" s="13" t="s">
        <v>228</v>
      </c>
      <c r="B120" s="14"/>
      <c r="C120" s="17" t="str">
        <f t="array" aca="1" ref="C120" ca="1">INDEX(NOZZLES[PURCHASE YEAR], MATCH(LEFT(nozzle8, 3), NOZZLES[ID], 0))</f>
        <v>N/A</v>
      </c>
      <c r="D120" s="14"/>
      <c r="E120" s="14"/>
      <c r="F120" s="14"/>
    </row>
    <row r="121" spans="1:6">
      <c r="A121" s="13" t="s">
        <v>229</v>
      </c>
      <c r="B121" s="14"/>
      <c r="C121" s="18">
        <f t="array" aca="1" ref="C121" ca="1">INDEX(NOZZLES[TOTAL COST], MATCH(LEFT(nozzle8, 3), NOZZLES[ID], 0))</f>
        <v>0</v>
      </c>
      <c r="D121" s="14"/>
      <c r="E121" s="19" t="s">
        <v>108</v>
      </c>
      <c r="F121" s="19"/>
    </row>
    <row r="122" spans="1:6">
      <c r="A122" s="13" t="s">
        <v>230</v>
      </c>
      <c r="B122" s="14"/>
      <c r="C122" s="20">
        <f t="array" aca="1" ref="C122" ca="1">INDEX(NOZZLES[LIFESPAN (HRS)], MATCH(LEFT(nozzle7, 3), NOZZLES[ID], 0))</f>
        <v>0</v>
      </c>
      <c r="D122" s="14"/>
      <c r="E122" s="14" t="s">
        <v>110</v>
      </c>
      <c r="F122" s="14"/>
    </row>
    <row r="123" spans="1:6">
      <c r="A123" s="13" t="s">
        <v>231</v>
      </c>
      <c r="B123" s="14"/>
      <c r="C123" s="25">
        <f>IFERROR(printSize8 * numPrints / totFilamentUsed, 0)</f>
        <v>0</v>
      </c>
      <c r="D123" s="14"/>
      <c r="E123" s="19"/>
      <c r="F123" s="19"/>
    </row>
    <row r="124" spans="1:6">
      <c r="A124" s="13" t="s">
        <v>232</v>
      </c>
      <c r="B124" s="14"/>
      <c r="C124" s="23">
        <f>IFERROR(IF(printSize8 &gt; 0, (nozzleCost8 / nozzleLife8) * (nozzlePrintPct8 * totPrintTimeHrs), 0), 0)</f>
        <v>0</v>
      </c>
      <c r="D124" s="14"/>
      <c r="E124" s="19"/>
      <c r="F124" s="19"/>
    </row>
    <row r="125" spans="1:6">
      <c r="A125" s="13" t="s">
        <v>47</v>
      </c>
      <c r="B125" s="14"/>
      <c r="C125" s="18">
        <f ca="1">IFERROR(printerDepr + plateDepr + nozzleDepr1 + nozzleDepr2 + nozzleDepr3 + nozzleDepr4 + nozzleDepr5 + nozzleDepr6 + nozzleDepr7 + nozzleDepr8, 0)</f>
        <v>0</v>
      </c>
      <c r="D125" s="14"/>
      <c r="E125" s="19"/>
      <c r="F125" s="19"/>
    </row>
    <row r="126" spans="1:6" ht="15.75" customHeight="1">
      <c r="A126" s="13" t="s">
        <v>233</v>
      </c>
      <c r="B126" s="14"/>
      <c r="C126" s="23">
        <f ca="1">(printerPower * totPrintTimeHrs) * elecCost</f>
        <v>0</v>
      </c>
      <c r="D126" s="14"/>
      <c r="E126" s="14"/>
      <c r="F126" s="14"/>
    </row>
    <row r="127" spans="1:6" ht="15.75" customHeight="1">
      <c r="A127" s="13" t="s">
        <v>234</v>
      </c>
      <c r="B127" s="14"/>
      <c r="C127" s="23">
        <f ca="1">totElecCost</f>
        <v>0</v>
      </c>
      <c r="D127" s="14"/>
      <c r="E127" s="19"/>
      <c r="F127" s="19"/>
    </row>
    <row r="128" spans="1:6" ht="15.75" customHeight="1">
      <c r="A128" s="13" t="s">
        <v>235</v>
      </c>
      <c r="B128" s="14"/>
      <c r="C128" s="20">
        <f>laborMins / 60</f>
        <v>0</v>
      </c>
      <c r="D128" s="14"/>
      <c r="E128" s="14" t="s">
        <v>110</v>
      </c>
      <c r="F128" s="14"/>
    </row>
    <row r="129" spans="1:6" ht="15.75" customHeight="1">
      <c r="A129" s="13" t="s">
        <v>236</v>
      </c>
      <c r="B129" s="14"/>
      <c r="C129" s="23">
        <f>laborMins * laborCost</f>
        <v>0</v>
      </c>
      <c r="D129" s="14"/>
      <c r="E129" s="14"/>
      <c r="F129" s="14"/>
    </row>
    <row r="130" spans="1:6" ht="15.75" customHeight="1">
      <c r="A130" s="13" t="s">
        <v>237</v>
      </c>
      <c r="B130" s="14"/>
      <c r="C130" s="25">
        <f>failCont + maintCont</f>
        <v>0.1</v>
      </c>
      <c r="D130" s="14"/>
      <c r="E130" s="19"/>
      <c r="F130" s="19"/>
    </row>
    <row r="131" spans="1:6" ht="15.75" customHeight="1">
      <c r="A131" s="13" t="s">
        <v>52</v>
      </c>
      <c r="B131" s="14"/>
      <c r="C131" s="23">
        <f ca="1">(((totFilamentCost + totDepr + totOverheadCost + totLaborCost) * (1 + totCont) / IF(profitMargin &lt;&gt; 0, (1 - profitMargin), 1)) + shippingCost) * IF(transactionFeePct &lt;&gt; 0, transactionFeePct / (1 - transactionFeePct), 0)</f>
        <v>0</v>
      </c>
      <c r="D131" s="14"/>
      <c r="E131" s="14"/>
      <c r="F131" s="14"/>
    </row>
    <row r="132" spans="1:6" ht="15.75" customHeight="1">
      <c r="A132" s="13" t="s">
        <v>54</v>
      </c>
      <c r="B132" s="14"/>
      <c r="C132" s="23">
        <f ca="1">((((totFilamentCost + totDepr + totOverheadCost + totLaborCost) * (1 + totCont) / IF(profitMargin &lt;&gt; 0, (1 - profitMargin), 1)) + shippingCost) / IF(transactionFeePct &lt;&gt; 0, (1 - transactionFeePct), 1)) * salesTaxPct</f>
        <v>0</v>
      </c>
      <c r="D132" s="14"/>
      <c r="E132" s="14"/>
      <c r="F132" s="14"/>
    </row>
    <row r="133" spans="1:6" ht="15.75" customHeight="1">
      <c r="A133" s="13" t="s">
        <v>101</v>
      </c>
      <c r="B133" s="14"/>
      <c r="C133" s="23">
        <f ca="1">((totFilamentCost + totDepr + totOverheadCost + totLaborCost) * (1 + totCont) / IF(profitMargin &lt;&gt; 0, (1 - profitMargin), 1)) - ((totFilamentCost + totDepr + totOverheadCost + totLaborCost) * (1 + totCont))</f>
        <v>0</v>
      </c>
      <c r="D133" s="14"/>
      <c r="E133" s="14"/>
      <c r="F133" s="14"/>
    </row>
    <row r="134" spans="1:6" ht="15.75" customHeight="1">
      <c r="A134" s="13" t="s">
        <v>238</v>
      </c>
      <c r="B134" s="14"/>
      <c r="C134" s="25">
        <f ca="1">IFERROR(profit / totCost, 0)</f>
        <v>0</v>
      </c>
      <c r="D134" s="14"/>
      <c r="E134" s="19" t="s">
        <v>239</v>
      </c>
      <c r="F134" s="19"/>
    </row>
    <row r="135" spans="1:6" ht="15.75" customHeight="1">
      <c r="A135" s="13" t="s">
        <v>78</v>
      </c>
      <c r="B135" s="14"/>
      <c r="C135" s="23">
        <f ca="1">((((totFilamentCost + totDepr + totOverheadCost + totLaborCost) * (1 + totCont) / IF(profitMargin &lt;&gt; 0, (1 - profitMargin), 1)) + shippingCost) / IF(transactionFeePct &lt;&gt; 0, (1 - transactionFeePct), 1)) * (1 + salesTaxPct)</f>
        <v>0</v>
      </c>
      <c r="D135" s="14"/>
      <c r="E135" s="14"/>
      <c r="F135" s="14"/>
    </row>
    <row r="136" spans="1:6" ht="15.75" customHeight="1">
      <c r="A136" s="13"/>
      <c r="C136" s="5"/>
    </row>
    <row r="137" spans="1:6" ht="15.75" customHeight="1">
      <c r="A137" s="13"/>
      <c r="C137" s="5"/>
    </row>
    <row r="138" spans="1:6" ht="15.75" customHeight="1">
      <c r="A138" s="13"/>
      <c r="C138" s="5"/>
    </row>
    <row r="139" spans="1:6" ht="15.75" customHeight="1">
      <c r="A139" s="13"/>
      <c r="C139" s="5"/>
    </row>
    <row r="140" spans="1:6" ht="15.75" customHeight="1">
      <c r="A140" s="13"/>
      <c r="C140" s="5"/>
    </row>
    <row r="141" spans="1:6" ht="15.75" customHeight="1">
      <c r="A141" s="13"/>
      <c r="C141" s="5"/>
    </row>
    <row r="142" spans="1:6" ht="15.75" customHeight="1">
      <c r="A142" s="13"/>
      <c r="C142" s="5"/>
    </row>
    <row r="143" spans="1:6" ht="15.75" customHeight="1">
      <c r="A143" s="13"/>
      <c r="C143" s="5"/>
    </row>
    <row r="144" spans="1:6" ht="15.75" customHeight="1">
      <c r="A144" s="13"/>
      <c r="C144" s="5"/>
    </row>
    <row r="145" spans="1:3" ht="15.75" customHeight="1">
      <c r="A145" s="13"/>
      <c r="C145" s="5"/>
    </row>
    <row r="146" spans="1:3" ht="15.75" customHeight="1">
      <c r="A146" s="13"/>
      <c r="C146" s="5"/>
    </row>
    <row r="147" spans="1:3" ht="15.75" customHeight="1">
      <c r="A147" s="13"/>
      <c r="C147" s="5"/>
    </row>
    <row r="148" spans="1:3" ht="15.75" customHeight="1">
      <c r="A148" s="13"/>
      <c r="C148" s="5"/>
    </row>
    <row r="149" spans="1:3" ht="15.75" customHeight="1">
      <c r="A149" s="13"/>
      <c r="C149" s="5"/>
    </row>
    <row r="150" spans="1:3" ht="15.75" customHeight="1">
      <c r="A150" s="13"/>
      <c r="C150" s="5"/>
    </row>
    <row r="151" spans="1:3" ht="15.75" customHeight="1">
      <c r="A151" s="13"/>
      <c r="C151" s="5"/>
    </row>
    <row r="152" spans="1:3" ht="15.75" customHeight="1">
      <c r="A152" s="13"/>
      <c r="C152" s="5"/>
    </row>
    <row r="153" spans="1:3" ht="15.75" customHeight="1">
      <c r="A153" s="13"/>
      <c r="C153" s="5"/>
    </row>
    <row r="154" spans="1:3" ht="15.75" customHeight="1">
      <c r="A154" s="13"/>
      <c r="C154" s="5"/>
    </row>
    <row r="155" spans="1:3" ht="15.75" customHeight="1">
      <c r="A155" s="13"/>
      <c r="C155" s="5"/>
    </row>
    <row r="156" spans="1:3" ht="15.75" customHeight="1">
      <c r="A156" s="13"/>
      <c r="C156" s="5"/>
    </row>
    <row r="157" spans="1:3" ht="15.75" customHeight="1">
      <c r="A157" s="13"/>
      <c r="C157" s="5"/>
    </row>
    <row r="158" spans="1:3" ht="15.75" customHeight="1">
      <c r="A158" s="13"/>
      <c r="C158" s="5"/>
    </row>
    <row r="159" spans="1:3" ht="15.75" customHeight="1">
      <c r="A159" s="13"/>
      <c r="C159" s="5"/>
    </row>
    <row r="160" spans="1:3" ht="15.75" customHeight="1">
      <c r="A160" s="13"/>
      <c r="C160" s="5"/>
    </row>
    <row r="161" spans="1:3" ht="15.75" customHeight="1">
      <c r="A161" s="13"/>
      <c r="C161" s="5"/>
    </row>
    <row r="162" spans="1:3" ht="15.75" customHeight="1">
      <c r="A162" s="13"/>
      <c r="C162" s="5"/>
    </row>
    <row r="163" spans="1:3" ht="15.75" customHeight="1">
      <c r="A163" s="13"/>
      <c r="C163" s="5"/>
    </row>
    <row r="164" spans="1:3" ht="15.75" customHeight="1">
      <c r="A164" s="13"/>
      <c r="C164" s="5"/>
    </row>
    <row r="165" spans="1:3" ht="15.75" customHeight="1">
      <c r="A165" s="13"/>
      <c r="C165" s="5"/>
    </row>
    <row r="166" spans="1:3" ht="15.75" customHeight="1">
      <c r="A166" s="13"/>
      <c r="C166" s="5"/>
    </row>
    <row r="167" spans="1:3" ht="15.75" customHeight="1">
      <c r="A167" s="13"/>
      <c r="C167" s="5"/>
    </row>
    <row r="168" spans="1:3" ht="15.75" customHeight="1">
      <c r="A168" s="13"/>
      <c r="C168" s="5"/>
    </row>
    <row r="169" spans="1:3" ht="15.75" customHeight="1">
      <c r="A169" s="13"/>
      <c r="C169" s="5"/>
    </row>
    <row r="170" spans="1:3" ht="15.75" customHeight="1">
      <c r="A170" s="13"/>
      <c r="C170" s="5"/>
    </row>
    <row r="171" spans="1:3" ht="15.75" customHeight="1">
      <c r="A171" s="13"/>
      <c r="C171" s="5"/>
    </row>
    <row r="172" spans="1:3" ht="15.75" customHeight="1">
      <c r="A172" s="13"/>
      <c r="C172" s="5"/>
    </row>
    <row r="173" spans="1:3" ht="15.75" customHeight="1">
      <c r="A173" s="13"/>
      <c r="C173" s="5"/>
    </row>
    <row r="174" spans="1:3" ht="15.75" customHeight="1">
      <c r="A174" s="13"/>
      <c r="C174" s="5"/>
    </row>
    <row r="175" spans="1:3" ht="15.75" customHeight="1">
      <c r="A175" s="13"/>
      <c r="C175" s="5"/>
    </row>
    <row r="176" spans="1:3" ht="15.75" customHeight="1">
      <c r="A176" s="13"/>
      <c r="C176" s="5"/>
    </row>
    <row r="177" spans="1:3" ht="15.75" customHeight="1">
      <c r="A177" s="13"/>
      <c r="C177" s="5"/>
    </row>
    <row r="178" spans="1:3" ht="15.75" customHeight="1">
      <c r="A178" s="13"/>
      <c r="C178" s="5"/>
    </row>
    <row r="179" spans="1:3" ht="15.75" customHeight="1">
      <c r="A179" s="13"/>
      <c r="C179" s="5"/>
    </row>
    <row r="180" spans="1:3" ht="15.75" customHeight="1">
      <c r="A180" s="13"/>
      <c r="C180" s="5"/>
    </row>
    <row r="181" spans="1:3" ht="15.75" customHeight="1">
      <c r="A181" s="13"/>
      <c r="C181" s="5"/>
    </row>
    <row r="182" spans="1:3" ht="15.75" customHeight="1">
      <c r="A182" s="13"/>
      <c r="C182" s="5"/>
    </row>
    <row r="183" spans="1:3" ht="15.75" customHeight="1">
      <c r="A183" s="13"/>
      <c r="C183" s="5"/>
    </row>
    <row r="184" spans="1:3" ht="15.75" customHeight="1">
      <c r="A184" s="13"/>
      <c r="C184" s="5"/>
    </row>
    <row r="185" spans="1:3" ht="15.75" customHeight="1">
      <c r="A185" s="13"/>
      <c r="C185" s="5"/>
    </row>
    <row r="186" spans="1:3" ht="15.75" customHeight="1">
      <c r="A186" s="13"/>
      <c r="C186" s="5"/>
    </row>
    <row r="187" spans="1:3" ht="15.75" customHeight="1">
      <c r="A187" s="13"/>
      <c r="C187" s="5"/>
    </row>
    <row r="188" spans="1:3" ht="15.75" customHeight="1">
      <c r="A188" s="13"/>
      <c r="C188" s="5"/>
    </row>
    <row r="189" spans="1:3" ht="15.75" customHeight="1">
      <c r="A189" s="13"/>
      <c r="C189" s="5"/>
    </row>
    <row r="190" spans="1:3" ht="15.75" customHeight="1">
      <c r="A190" s="13"/>
      <c r="C190" s="5"/>
    </row>
    <row r="191" spans="1:3" ht="15.75" customHeight="1">
      <c r="A191" s="13"/>
      <c r="C191" s="5"/>
    </row>
    <row r="192" spans="1:3" ht="15.75" customHeight="1">
      <c r="A192" s="13"/>
      <c r="C192" s="5"/>
    </row>
    <row r="193" spans="1:3" ht="15.75" customHeight="1">
      <c r="A193" s="13"/>
      <c r="C193" s="5"/>
    </row>
    <row r="194" spans="1:3" ht="15.75" customHeight="1">
      <c r="A194" s="13"/>
      <c r="C194" s="5"/>
    </row>
    <row r="195" spans="1:3" ht="15.75" customHeight="1">
      <c r="A195" s="13"/>
      <c r="C195" s="5"/>
    </row>
    <row r="196" spans="1:3" ht="15.75" customHeight="1">
      <c r="A196" s="13"/>
      <c r="C196" s="5"/>
    </row>
    <row r="197" spans="1:3" ht="15.75" customHeight="1">
      <c r="A197" s="13"/>
      <c r="C197" s="5"/>
    </row>
    <row r="198" spans="1:3" ht="15.75" customHeight="1">
      <c r="A198" s="13"/>
      <c r="C198" s="5"/>
    </row>
    <row r="199" spans="1:3" ht="15.75" customHeight="1">
      <c r="A199" s="13"/>
      <c r="C199" s="5"/>
    </row>
    <row r="200" spans="1:3" ht="15.75" customHeight="1">
      <c r="A200" s="13"/>
      <c r="C200" s="5"/>
    </row>
    <row r="201" spans="1:3" ht="15.75" customHeight="1">
      <c r="A201" s="13"/>
      <c r="C201" s="5"/>
    </row>
    <row r="202" spans="1:3" ht="15.75" customHeight="1">
      <c r="A202" s="13"/>
      <c r="C202" s="5"/>
    </row>
    <row r="203" spans="1:3" ht="15.75" customHeight="1">
      <c r="A203" s="13"/>
      <c r="C203" s="5"/>
    </row>
    <row r="204" spans="1:3" ht="15.75" customHeight="1">
      <c r="A204" s="13"/>
      <c r="C204" s="5"/>
    </row>
    <row r="205" spans="1:3" ht="15.75" customHeight="1">
      <c r="A205" s="13"/>
      <c r="C205" s="5"/>
    </row>
    <row r="206" spans="1:3" ht="15.75" customHeight="1">
      <c r="A206" s="13"/>
      <c r="C206" s="5"/>
    </row>
    <row r="207" spans="1:3" ht="15.75" customHeight="1">
      <c r="A207" s="13"/>
      <c r="C207" s="5"/>
    </row>
    <row r="208" spans="1:3" ht="15.75" customHeight="1">
      <c r="A208" s="13"/>
      <c r="C208" s="5"/>
    </row>
    <row r="209" spans="1:3" ht="15.75" customHeight="1">
      <c r="A209" s="13"/>
      <c r="C209" s="5"/>
    </row>
    <row r="210" spans="1:3" ht="15.75" customHeight="1">
      <c r="A210" s="13"/>
      <c r="C210" s="5"/>
    </row>
    <row r="211" spans="1:3" ht="15.75" customHeight="1">
      <c r="A211" s="13"/>
      <c r="C211" s="5"/>
    </row>
    <row r="212" spans="1:3" ht="15.75" customHeight="1">
      <c r="A212" s="13"/>
      <c r="C212" s="5"/>
    </row>
    <row r="213" spans="1:3" ht="15.75" customHeight="1">
      <c r="A213" s="13"/>
      <c r="C213" s="5"/>
    </row>
    <row r="214" spans="1:3" ht="15.75" customHeight="1">
      <c r="A214" s="13"/>
      <c r="C214" s="5"/>
    </row>
    <row r="215" spans="1:3" ht="15.75" customHeight="1">
      <c r="A215" s="13"/>
      <c r="C215" s="5"/>
    </row>
    <row r="216" spans="1:3" ht="15.75" customHeight="1">
      <c r="A216" s="13"/>
      <c r="C216" s="5"/>
    </row>
    <row r="217" spans="1:3" ht="15.75" customHeight="1">
      <c r="A217" s="13"/>
      <c r="C217" s="5"/>
    </row>
    <row r="218" spans="1:3" ht="15.75" customHeight="1">
      <c r="A218" s="13"/>
      <c r="C218" s="5"/>
    </row>
    <row r="219" spans="1:3" ht="15.75" customHeight="1">
      <c r="A219" s="13"/>
      <c r="C219" s="5"/>
    </row>
    <row r="220" spans="1:3" ht="15.75" customHeight="1">
      <c r="A220" s="13"/>
      <c r="C220" s="5"/>
    </row>
    <row r="221" spans="1:3" ht="15.75" customHeight="1">
      <c r="A221" s="13"/>
      <c r="C221" s="5"/>
    </row>
    <row r="222" spans="1:3" ht="15.75" customHeight="1">
      <c r="A222" s="13"/>
      <c r="C222" s="5"/>
    </row>
    <row r="223" spans="1:3" ht="15.75" customHeight="1">
      <c r="A223" s="13"/>
      <c r="C223" s="5"/>
    </row>
    <row r="224" spans="1:3" ht="15.75" customHeight="1">
      <c r="A224" s="13"/>
      <c r="C224" s="5"/>
    </row>
    <row r="225" spans="1:3" ht="15.75" customHeight="1">
      <c r="A225" s="13"/>
      <c r="C225" s="5"/>
    </row>
    <row r="226" spans="1:3" ht="15.75" customHeight="1">
      <c r="A226" s="13"/>
      <c r="C226" s="5"/>
    </row>
    <row r="227" spans="1:3" ht="15.75" customHeight="1">
      <c r="A227" s="13"/>
      <c r="C227" s="5"/>
    </row>
    <row r="228" spans="1:3" ht="15.75" customHeight="1">
      <c r="A228" s="13"/>
      <c r="C228" s="5"/>
    </row>
    <row r="229" spans="1:3" ht="15.75" customHeight="1">
      <c r="A229" s="13"/>
      <c r="C229" s="5"/>
    </row>
    <row r="230" spans="1:3" ht="15.75" customHeight="1">
      <c r="A230" s="13"/>
      <c r="C230" s="5"/>
    </row>
    <row r="231" spans="1:3" ht="15.75" customHeight="1">
      <c r="A231" s="13"/>
      <c r="C231" s="5"/>
    </row>
    <row r="232" spans="1:3" ht="15.75" customHeight="1">
      <c r="A232" s="13"/>
      <c r="C232" s="5"/>
    </row>
    <row r="233" spans="1:3" ht="15.75" customHeight="1">
      <c r="A233" s="13"/>
      <c r="C233" s="5"/>
    </row>
    <row r="234" spans="1:3" ht="15.75" customHeight="1">
      <c r="A234" s="13"/>
      <c r="C234" s="5"/>
    </row>
    <row r="235" spans="1:3" ht="15.75" customHeight="1">
      <c r="A235" s="13"/>
      <c r="C235" s="5"/>
    </row>
    <row r="236" spans="1:3" ht="15.75" customHeight="1">
      <c r="A236" s="13"/>
      <c r="C236" s="5"/>
    </row>
    <row r="237" spans="1:3" ht="15.75" customHeight="1">
      <c r="A237" s="13"/>
      <c r="C237" s="5"/>
    </row>
    <row r="238" spans="1:3" ht="15.75" customHeight="1">
      <c r="A238" s="13"/>
      <c r="C238" s="5"/>
    </row>
    <row r="239" spans="1:3" ht="15.75" customHeight="1">
      <c r="A239" s="13"/>
      <c r="C239" s="5"/>
    </row>
    <row r="240" spans="1:3" ht="15.75" customHeight="1">
      <c r="A240" s="13"/>
      <c r="C240" s="5"/>
    </row>
    <row r="241" spans="1:3" ht="15.75" customHeight="1">
      <c r="A241" s="13"/>
      <c r="C241" s="5"/>
    </row>
    <row r="242" spans="1:3" ht="15.75" customHeight="1">
      <c r="A242" s="13"/>
      <c r="C242" s="5"/>
    </row>
    <row r="243" spans="1:3" ht="15.75" customHeight="1">
      <c r="A243" s="13"/>
      <c r="C243" s="5"/>
    </row>
    <row r="244" spans="1:3" ht="15.75" customHeight="1">
      <c r="A244" s="13"/>
      <c r="C244" s="5"/>
    </row>
    <row r="245" spans="1:3" ht="15.75" customHeight="1">
      <c r="A245" s="13"/>
      <c r="C245" s="5"/>
    </row>
    <row r="246" spans="1:3" ht="15.75" customHeight="1">
      <c r="A246" s="13"/>
      <c r="C246" s="5"/>
    </row>
    <row r="247" spans="1:3" ht="15.75" customHeight="1">
      <c r="A247" s="13"/>
      <c r="C247" s="5"/>
    </row>
    <row r="248" spans="1:3" ht="15.75" customHeight="1">
      <c r="A248" s="13"/>
      <c r="C248" s="5"/>
    </row>
    <row r="249" spans="1:3" ht="15.75" customHeight="1">
      <c r="A249" s="13"/>
      <c r="C249" s="5"/>
    </row>
    <row r="250" spans="1:3" ht="15.75" customHeight="1">
      <c r="A250" s="13"/>
      <c r="C250" s="5"/>
    </row>
    <row r="251" spans="1:3" ht="15.75" customHeight="1">
      <c r="A251" s="13"/>
      <c r="C251" s="5"/>
    </row>
    <row r="252" spans="1:3" ht="15.75" customHeight="1">
      <c r="A252" s="13"/>
      <c r="C252" s="5"/>
    </row>
    <row r="253" spans="1:3" ht="15.75" customHeight="1">
      <c r="A253" s="13"/>
      <c r="C253" s="5"/>
    </row>
    <row r="254" spans="1:3" ht="15.75" customHeight="1">
      <c r="A254" s="13"/>
      <c r="C254" s="5"/>
    </row>
    <row r="255" spans="1:3" ht="15.75" customHeight="1">
      <c r="A255" s="13"/>
      <c r="C255" s="5"/>
    </row>
    <row r="256" spans="1:3" ht="15.75" customHeight="1">
      <c r="A256" s="13"/>
      <c r="C256" s="5"/>
    </row>
    <row r="257" spans="1:3" ht="15.75" customHeight="1">
      <c r="A257" s="13"/>
      <c r="C257" s="5"/>
    </row>
    <row r="258" spans="1:3" ht="15.75" customHeight="1">
      <c r="A258" s="13"/>
      <c r="C258" s="5"/>
    </row>
    <row r="259" spans="1:3" ht="15.75" customHeight="1">
      <c r="A259" s="13"/>
      <c r="C259" s="5"/>
    </row>
    <row r="260" spans="1:3" ht="15.75" customHeight="1">
      <c r="A260" s="13"/>
      <c r="C260" s="5"/>
    </row>
    <row r="261" spans="1:3" ht="15.75" customHeight="1">
      <c r="A261" s="13"/>
      <c r="C261" s="5"/>
    </row>
    <row r="262" spans="1:3" ht="15.75" customHeight="1">
      <c r="A262" s="13"/>
      <c r="C262" s="5"/>
    </row>
    <row r="263" spans="1:3" ht="15.75" customHeight="1">
      <c r="A263" s="13"/>
      <c r="C263" s="5"/>
    </row>
    <row r="264" spans="1:3" ht="15.75" customHeight="1">
      <c r="A264" s="13"/>
      <c r="C264" s="5"/>
    </row>
    <row r="265" spans="1:3" ht="15.75" customHeight="1">
      <c r="A265" s="13"/>
      <c r="C265" s="5"/>
    </row>
    <row r="266" spans="1:3" ht="15.75" customHeight="1">
      <c r="A266" s="13"/>
      <c r="C266" s="5"/>
    </row>
    <row r="267" spans="1:3" ht="15.75" customHeight="1">
      <c r="A267" s="13"/>
      <c r="C267" s="5"/>
    </row>
    <row r="268" spans="1:3" ht="15.75" customHeight="1">
      <c r="A268" s="13"/>
      <c r="C268" s="5"/>
    </row>
    <row r="269" spans="1:3" ht="15.75" customHeight="1">
      <c r="A269" s="13"/>
      <c r="C269" s="5"/>
    </row>
    <row r="270" spans="1:3" ht="15.75" customHeight="1">
      <c r="A270" s="13"/>
      <c r="C270" s="5"/>
    </row>
    <row r="271" spans="1:3" ht="15.75" customHeight="1">
      <c r="A271" s="13"/>
      <c r="C271" s="5"/>
    </row>
    <row r="272" spans="1:3" ht="15.75" customHeight="1">
      <c r="A272" s="13"/>
      <c r="C272" s="5"/>
    </row>
    <row r="273" spans="1:3" ht="15.75" customHeight="1">
      <c r="A273" s="13"/>
      <c r="C273" s="5"/>
    </row>
    <row r="274" spans="1:3" ht="15.75" customHeight="1">
      <c r="A274" s="13"/>
      <c r="C274" s="5"/>
    </row>
    <row r="275" spans="1:3" ht="15.75" customHeight="1">
      <c r="A275" s="13"/>
      <c r="C275" s="5"/>
    </row>
    <row r="276" spans="1:3" ht="15.75" customHeight="1">
      <c r="A276" s="13"/>
      <c r="C276" s="5"/>
    </row>
    <row r="277" spans="1:3" ht="15.75" customHeight="1">
      <c r="A277" s="13"/>
      <c r="C277" s="5"/>
    </row>
    <row r="278" spans="1:3" ht="15.75" customHeight="1">
      <c r="A278" s="13"/>
      <c r="C278" s="5"/>
    </row>
    <row r="279" spans="1:3" ht="15.75" customHeight="1">
      <c r="A279" s="13"/>
      <c r="C279" s="5"/>
    </row>
    <row r="280" spans="1:3" ht="15.75" customHeight="1">
      <c r="A280" s="13"/>
      <c r="C280" s="5"/>
    </row>
    <row r="281" spans="1:3" ht="15.75" customHeight="1">
      <c r="A281" s="13"/>
      <c r="C281" s="5"/>
    </row>
    <row r="282" spans="1:3" ht="15.75" customHeight="1">
      <c r="A282" s="13"/>
      <c r="C282" s="5"/>
    </row>
    <row r="283" spans="1:3" ht="15.75" customHeight="1">
      <c r="A283" s="13"/>
      <c r="C283" s="5"/>
    </row>
    <row r="284" spans="1:3" ht="15.75" customHeight="1">
      <c r="A284" s="13"/>
      <c r="C284" s="5"/>
    </row>
    <row r="285" spans="1:3" ht="15.75" customHeight="1">
      <c r="A285" s="13"/>
      <c r="C285" s="5"/>
    </row>
    <row r="286" spans="1:3" ht="15.75" customHeight="1">
      <c r="A286" s="13"/>
      <c r="C286" s="5"/>
    </row>
    <row r="287" spans="1:3" ht="15.75" customHeight="1">
      <c r="A287" s="13"/>
      <c r="C287" s="5"/>
    </row>
    <row r="288" spans="1:3" ht="15.75" customHeight="1">
      <c r="A288" s="13"/>
      <c r="C288" s="5"/>
    </row>
    <row r="289" spans="1:3" ht="15.75" customHeight="1">
      <c r="A289" s="13"/>
      <c r="C289" s="5"/>
    </row>
    <row r="290" spans="1:3" ht="15.75" customHeight="1">
      <c r="A290" s="13"/>
      <c r="C290" s="5"/>
    </row>
    <row r="291" spans="1:3" ht="15.75" customHeight="1">
      <c r="A291" s="13"/>
      <c r="C291" s="5"/>
    </row>
    <row r="292" spans="1:3" ht="15.75" customHeight="1">
      <c r="A292" s="13"/>
      <c r="C292" s="5"/>
    </row>
    <row r="293" spans="1:3" ht="15.75" customHeight="1">
      <c r="A293" s="13"/>
      <c r="C293" s="5"/>
    </row>
    <row r="294" spans="1:3" ht="15.75" customHeight="1">
      <c r="A294" s="13"/>
      <c r="C294" s="5"/>
    </row>
    <row r="295" spans="1:3" ht="15.75" customHeight="1">
      <c r="A295" s="13"/>
      <c r="C295" s="5"/>
    </row>
    <row r="296" spans="1:3" ht="15.75" customHeight="1">
      <c r="A296" s="13"/>
      <c r="C296" s="5"/>
    </row>
    <row r="297" spans="1:3" ht="15.75" customHeight="1">
      <c r="A297" s="13"/>
      <c r="C297" s="5"/>
    </row>
    <row r="298" spans="1:3" ht="15.75" customHeight="1">
      <c r="A298" s="13"/>
      <c r="C298" s="5"/>
    </row>
    <row r="299" spans="1:3" ht="15.75" customHeight="1">
      <c r="A299" s="13"/>
      <c r="C299" s="5"/>
    </row>
    <row r="300" spans="1:3" ht="15.75" customHeight="1">
      <c r="A300" s="13"/>
      <c r="C300" s="5"/>
    </row>
    <row r="301" spans="1:3" ht="15.75" customHeight="1">
      <c r="A301" s="13"/>
      <c r="C301" s="5"/>
    </row>
    <row r="302" spans="1:3" ht="15.75" customHeight="1">
      <c r="A302" s="13"/>
      <c r="C302" s="5"/>
    </row>
    <row r="303" spans="1:3" ht="15.75" customHeight="1">
      <c r="A303" s="13"/>
      <c r="C303" s="5"/>
    </row>
    <row r="304" spans="1:3" ht="15.75" customHeight="1">
      <c r="A304" s="13"/>
      <c r="C304" s="5"/>
    </row>
    <row r="305" spans="1:3" ht="15.75" customHeight="1">
      <c r="A305" s="13"/>
      <c r="C305" s="5"/>
    </row>
    <row r="306" spans="1:3" ht="15.75" customHeight="1">
      <c r="A306" s="13"/>
      <c r="C306" s="5"/>
    </row>
    <row r="307" spans="1:3" ht="15.75" customHeight="1">
      <c r="A307" s="13"/>
      <c r="C307" s="5"/>
    </row>
    <row r="308" spans="1:3" ht="15.75" customHeight="1">
      <c r="A308" s="13"/>
      <c r="C308" s="5"/>
    </row>
    <row r="309" spans="1:3" ht="15.75" customHeight="1">
      <c r="A309" s="13"/>
      <c r="C309" s="5"/>
    </row>
    <row r="310" spans="1:3" ht="15.75" customHeight="1">
      <c r="A310" s="13"/>
      <c r="C310" s="5"/>
    </row>
    <row r="311" spans="1:3" ht="15.75" customHeight="1">
      <c r="A311" s="13"/>
      <c r="C311" s="5"/>
    </row>
    <row r="312" spans="1:3" ht="15.75" customHeight="1">
      <c r="A312" s="13"/>
      <c r="C312" s="5"/>
    </row>
    <row r="313" spans="1:3" ht="15.75" customHeight="1">
      <c r="A313" s="13"/>
      <c r="C313" s="5"/>
    </row>
    <row r="314" spans="1:3" ht="15.75" customHeight="1">
      <c r="A314" s="13"/>
      <c r="C314" s="5"/>
    </row>
    <row r="315" spans="1:3" ht="15.75" customHeight="1">
      <c r="A315" s="13"/>
      <c r="C315" s="5"/>
    </row>
    <row r="316" spans="1:3" ht="15.75" customHeight="1">
      <c r="A316" s="13"/>
      <c r="C316" s="5"/>
    </row>
    <row r="317" spans="1:3" ht="15.75" customHeight="1">
      <c r="A317" s="13"/>
      <c r="C317" s="5"/>
    </row>
    <row r="318" spans="1:3" ht="15.75" customHeight="1">
      <c r="A318" s="13"/>
      <c r="C318" s="5"/>
    </row>
    <row r="319" spans="1:3" ht="15.75" customHeight="1">
      <c r="A319" s="13"/>
      <c r="C319" s="5"/>
    </row>
    <row r="320" spans="1:3" ht="15.75" customHeight="1">
      <c r="A320" s="13"/>
      <c r="C320" s="5"/>
    </row>
    <row r="321" spans="1:3" ht="15.75" customHeight="1">
      <c r="A321" s="13"/>
      <c r="C321" s="5"/>
    </row>
    <row r="322" spans="1:3" ht="15.75" customHeight="1">
      <c r="A322" s="13"/>
      <c r="C322" s="5"/>
    </row>
    <row r="323" spans="1:3" ht="15.75" customHeight="1">
      <c r="A323" s="13"/>
      <c r="C323" s="5"/>
    </row>
    <row r="324" spans="1:3" ht="15.75" customHeight="1">
      <c r="A324" s="13"/>
      <c r="C324" s="5"/>
    </row>
    <row r="325" spans="1:3" ht="15.75" customHeight="1">
      <c r="A325" s="13"/>
      <c r="C325" s="5"/>
    </row>
    <row r="326" spans="1:3" ht="15.75" customHeight="1">
      <c r="A326" s="13"/>
      <c r="C326" s="5"/>
    </row>
    <row r="327" spans="1:3" ht="15.75" customHeight="1">
      <c r="A327" s="13"/>
      <c r="C327" s="5"/>
    </row>
    <row r="328" spans="1:3" ht="15.75" customHeight="1">
      <c r="A328" s="13"/>
      <c r="C328" s="5"/>
    </row>
    <row r="329" spans="1:3" ht="15.75" customHeight="1">
      <c r="A329" s="13"/>
      <c r="C329" s="5"/>
    </row>
    <row r="330" spans="1:3" ht="15.75" customHeight="1">
      <c r="A330" s="13"/>
      <c r="C330" s="5"/>
    </row>
    <row r="331" spans="1:3" ht="15.75" customHeight="1">
      <c r="A331" s="13"/>
      <c r="C331" s="5"/>
    </row>
    <row r="332" spans="1:3" ht="15.75" customHeight="1">
      <c r="A332" s="13"/>
      <c r="C332" s="5"/>
    </row>
    <row r="333" spans="1:3" ht="15.75" customHeight="1">
      <c r="A333" s="13"/>
      <c r="C333" s="5"/>
    </row>
    <row r="334" spans="1:3" ht="15.75" customHeight="1">
      <c r="A334" s="13"/>
      <c r="C334" s="5"/>
    </row>
    <row r="335" spans="1:3" ht="15.75" customHeight="1">
      <c r="A335" s="13"/>
      <c r="C335" s="5"/>
    </row>
    <row r="336" spans="1:3" ht="15.75" customHeight="1">
      <c r="A336" s="13"/>
      <c r="C336" s="5"/>
    </row>
    <row r="337" spans="1:3" ht="15.75" customHeight="1">
      <c r="A337" s="13"/>
      <c r="C337" s="5"/>
    </row>
    <row r="338" spans="1:3" ht="15.75" customHeight="1">
      <c r="A338" s="13"/>
      <c r="C338" s="5"/>
    </row>
    <row r="339" spans="1:3" ht="15.75" customHeight="1">
      <c r="A339" s="13"/>
      <c r="C339" s="5"/>
    </row>
    <row r="340" spans="1:3" ht="15.75" customHeight="1">
      <c r="A340" s="13"/>
      <c r="C340" s="5"/>
    </row>
    <row r="341" spans="1:3" ht="15.75" customHeight="1">
      <c r="A341" s="13"/>
      <c r="C341" s="5"/>
    </row>
    <row r="342" spans="1:3" ht="15.75" customHeight="1">
      <c r="A342" s="13"/>
      <c r="C342" s="5"/>
    </row>
    <row r="343" spans="1:3" ht="15.75" customHeight="1">
      <c r="A343" s="13"/>
      <c r="C343" s="5"/>
    </row>
    <row r="344" spans="1:3" ht="15.75" customHeight="1">
      <c r="A344" s="13"/>
      <c r="C344" s="5"/>
    </row>
    <row r="345" spans="1:3" ht="15.75" customHeight="1">
      <c r="A345" s="13"/>
      <c r="C345" s="5"/>
    </row>
    <row r="346" spans="1:3" ht="15.75" customHeight="1">
      <c r="A346" s="13"/>
      <c r="C346" s="5"/>
    </row>
    <row r="347" spans="1:3" ht="15.75" customHeight="1">
      <c r="A347" s="13"/>
      <c r="C347" s="5"/>
    </row>
    <row r="348" spans="1:3" ht="15.75" customHeight="1">
      <c r="A348" s="13"/>
      <c r="C348" s="5"/>
    </row>
    <row r="349" spans="1:3" ht="15.75" customHeight="1">
      <c r="A349" s="13"/>
      <c r="C349" s="5"/>
    </row>
    <row r="350" spans="1:3" ht="15.75" customHeight="1">
      <c r="A350" s="13"/>
      <c r="C350" s="5"/>
    </row>
    <row r="351" spans="1:3" ht="15.75" customHeight="1">
      <c r="A351" s="13"/>
      <c r="C351" s="5"/>
    </row>
    <row r="352" spans="1:3" ht="15.75" customHeight="1">
      <c r="A352" s="13"/>
      <c r="C352" s="5"/>
    </row>
    <row r="353" spans="1:3" ht="15.75" customHeight="1">
      <c r="A353" s="13"/>
      <c r="C353" s="5"/>
    </row>
    <row r="354" spans="1:3" ht="15.75" customHeight="1">
      <c r="A354" s="13"/>
      <c r="C354" s="5"/>
    </row>
    <row r="355" spans="1:3" ht="15.75" customHeight="1">
      <c r="A355" s="13"/>
      <c r="C355" s="5"/>
    </row>
    <row r="356" spans="1:3" ht="15.75" customHeight="1">
      <c r="A356" s="13"/>
      <c r="C356" s="5"/>
    </row>
    <row r="357" spans="1:3" ht="15.75" customHeight="1">
      <c r="A357" s="13"/>
      <c r="C357" s="5"/>
    </row>
    <row r="358" spans="1:3" ht="15.75" customHeight="1">
      <c r="A358" s="13"/>
      <c r="C358" s="5"/>
    </row>
    <row r="359" spans="1:3" ht="15.75" customHeight="1">
      <c r="A359" s="13"/>
      <c r="C359" s="5"/>
    </row>
    <row r="360" spans="1:3" ht="15.75" customHeight="1">
      <c r="A360" s="13"/>
      <c r="C360" s="5"/>
    </row>
    <row r="361" spans="1:3" ht="15.75" customHeight="1">
      <c r="A361" s="13"/>
      <c r="C361" s="5"/>
    </row>
    <row r="362" spans="1:3" ht="15.75" customHeight="1">
      <c r="A362" s="13"/>
      <c r="C362" s="5"/>
    </row>
    <row r="363" spans="1:3" ht="15.75" customHeight="1">
      <c r="A363" s="13"/>
      <c r="C363" s="5"/>
    </row>
    <row r="364" spans="1:3" ht="15.75" customHeight="1">
      <c r="A364" s="13"/>
      <c r="C364" s="5"/>
    </row>
    <row r="365" spans="1:3" ht="15.75" customHeight="1">
      <c r="A365" s="13"/>
      <c r="C365" s="5"/>
    </row>
    <row r="366" spans="1:3" ht="15.75" customHeight="1">
      <c r="A366" s="13"/>
      <c r="C366" s="5"/>
    </row>
    <row r="367" spans="1:3" ht="15.75" customHeight="1">
      <c r="A367" s="13"/>
      <c r="C367" s="5"/>
    </row>
    <row r="368" spans="1:3" ht="15.75" customHeight="1">
      <c r="A368" s="13"/>
      <c r="C368" s="5"/>
    </row>
    <row r="369" spans="1:3" ht="15.75" customHeight="1">
      <c r="A369" s="13"/>
      <c r="C369" s="5"/>
    </row>
    <row r="370" spans="1:3" ht="15.75" customHeight="1">
      <c r="A370" s="13"/>
      <c r="C370" s="5"/>
    </row>
    <row r="371" spans="1:3" ht="15.75" customHeight="1">
      <c r="A371" s="13"/>
      <c r="C371" s="5"/>
    </row>
    <row r="372" spans="1:3" ht="15.75" customHeight="1">
      <c r="A372" s="13"/>
      <c r="C372" s="5"/>
    </row>
    <row r="373" spans="1:3" ht="15.75" customHeight="1">
      <c r="A373" s="13"/>
      <c r="C373" s="5"/>
    </row>
    <row r="374" spans="1:3" ht="15.75" customHeight="1">
      <c r="A374" s="13"/>
      <c r="C374" s="5"/>
    </row>
    <row r="375" spans="1:3" ht="15.75" customHeight="1">
      <c r="A375" s="13"/>
      <c r="C375" s="5"/>
    </row>
    <row r="376" spans="1:3" ht="15.75" customHeight="1">
      <c r="A376" s="13"/>
      <c r="C376" s="5"/>
    </row>
    <row r="377" spans="1:3" ht="15.75" customHeight="1">
      <c r="A377" s="13"/>
      <c r="C377" s="5"/>
    </row>
    <row r="378" spans="1:3" ht="15.75" customHeight="1">
      <c r="A378" s="13"/>
      <c r="C378" s="5"/>
    </row>
    <row r="379" spans="1:3" ht="15.75" customHeight="1">
      <c r="A379" s="13"/>
      <c r="C379" s="5"/>
    </row>
    <row r="380" spans="1:3" ht="15.75" customHeight="1">
      <c r="A380" s="13"/>
      <c r="C380" s="5"/>
    </row>
    <row r="381" spans="1:3" ht="15.75" customHeight="1">
      <c r="A381" s="13"/>
      <c r="C381" s="5"/>
    </row>
    <row r="382" spans="1:3" ht="15.75" customHeight="1">
      <c r="A382" s="13"/>
      <c r="C382" s="5"/>
    </row>
    <row r="383" spans="1:3" ht="15.75" customHeight="1">
      <c r="A383" s="13"/>
      <c r="C383" s="5"/>
    </row>
    <row r="384" spans="1:3" ht="15.75" customHeight="1">
      <c r="A384" s="13"/>
      <c r="C384" s="5"/>
    </row>
    <row r="385" spans="1:3" ht="15.75" customHeight="1">
      <c r="A385" s="13"/>
      <c r="C385" s="5"/>
    </row>
    <row r="386" spans="1:3" ht="15.75" customHeight="1">
      <c r="A386" s="13"/>
      <c r="C386" s="5"/>
    </row>
    <row r="387" spans="1:3" ht="15.75" customHeight="1">
      <c r="A387" s="13"/>
      <c r="C387" s="5"/>
    </row>
    <row r="388" spans="1:3" ht="15.75" customHeight="1">
      <c r="A388" s="13"/>
      <c r="C388" s="5"/>
    </row>
    <row r="389" spans="1:3" ht="15.75" customHeight="1">
      <c r="A389" s="13"/>
      <c r="C389" s="5"/>
    </row>
    <row r="390" spans="1:3" ht="15.75" customHeight="1">
      <c r="A390" s="13"/>
      <c r="C390" s="5"/>
    </row>
    <row r="391" spans="1:3" ht="15.75" customHeight="1">
      <c r="A391" s="13"/>
      <c r="C391" s="5"/>
    </row>
    <row r="392" spans="1:3" ht="15.75" customHeight="1">
      <c r="A392" s="13"/>
      <c r="C392" s="5"/>
    </row>
    <row r="393" spans="1:3" ht="15.75" customHeight="1">
      <c r="A393" s="13"/>
      <c r="C393" s="5"/>
    </row>
    <row r="394" spans="1:3" ht="15.75" customHeight="1">
      <c r="A394" s="13"/>
      <c r="C394" s="5"/>
    </row>
    <row r="395" spans="1:3" ht="15.75" customHeight="1">
      <c r="A395" s="13"/>
      <c r="C395" s="5"/>
    </row>
    <row r="396" spans="1:3" ht="15.75" customHeight="1">
      <c r="A396" s="13"/>
      <c r="C396" s="5"/>
    </row>
    <row r="397" spans="1:3" ht="15.75" customHeight="1">
      <c r="A397" s="13"/>
      <c r="C397" s="5"/>
    </row>
    <row r="398" spans="1:3" ht="15.75" customHeight="1">
      <c r="A398" s="13"/>
      <c r="C398" s="5"/>
    </row>
    <row r="399" spans="1:3" ht="15.75" customHeight="1">
      <c r="A399" s="13"/>
      <c r="C399" s="5"/>
    </row>
    <row r="400" spans="1:3" ht="15.75" customHeight="1">
      <c r="A400" s="13"/>
      <c r="C400" s="5"/>
    </row>
    <row r="401" spans="1:3" ht="15.75" customHeight="1">
      <c r="A401" s="13"/>
      <c r="C401" s="5"/>
    </row>
    <row r="402" spans="1:3" ht="15.75" customHeight="1">
      <c r="A402" s="13"/>
      <c r="C402" s="5"/>
    </row>
    <row r="403" spans="1:3" ht="15.75" customHeight="1">
      <c r="A403" s="13"/>
      <c r="C403" s="5"/>
    </row>
    <row r="404" spans="1:3" ht="15.75" customHeight="1">
      <c r="A404" s="13"/>
      <c r="C404" s="5"/>
    </row>
    <row r="405" spans="1:3" ht="15.75" customHeight="1">
      <c r="A405" s="13"/>
      <c r="C405" s="5"/>
    </row>
    <row r="406" spans="1:3" ht="15.75" customHeight="1">
      <c r="A406" s="13"/>
      <c r="C406" s="5"/>
    </row>
    <row r="407" spans="1:3" ht="15.75" customHeight="1">
      <c r="A407" s="13"/>
      <c r="C407" s="5"/>
    </row>
    <row r="408" spans="1:3" ht="15.75" customHeight="1">
      <c r="A408" s="13"/>
      <c r="C408" s="5"/>
    </row>
    <row r="409" spans="1:3" ht="15.75" customHeight="1">
      <c r="A409" s="13"/>
      <c r="C409" s="5"/>
    </row>
    <row r="410" spans="1:3" ht="15.75" customHeight="1">
      <c r="A410" s="13"/>
      <c r="C410" s="5"/>
    </row>
    <row r="411" spans="1:3" ht="15.75" customHeight="1">
      <c r="A411" s="13"/>
      <c r="C411" s="5"/>
    </row>
    <row r="412" spans="1:3" ht="15.75" customHeight="1">
      <c r="A412" s="13"/>
      <c r="C412" s="5"/>
    </row>
    <row r="413" spans="1:3" ht="15.75" customHeight="1">
      <c r="A413" s="13"/>
      <c r="C413" s="5"/>
    </row>
    <row r="414" spans="1:3" ht="15.75" customHeight="1">
      <c r="A414" s="13"/>
      <c r="C414" s="5"/>
    </row>
    <row r="415" spans="1:3" ht="15.75" customHeight="1">
      <c r="A415" s="13"/>
      <c r="C415" s="5"/>
    </row>
    <row r="416" spans="1:3" ht="15.75" customHeight="1">
      <c r="A416" s="13"/>
      <c r="C416" s="5"/>
    </row>
    <row r="417" spans="1:3" ht="15.75" customHeight="1">
      <c r="A417" s="13"/>
      <c r="C417" s="5"/>
    </row>
    <row r="418" spans="1:3" ht="15.75" customHeight="1">
      <c r="A418" s="13"/>
      <c r="C418" s="5"/>
    </row>
    <row r="419" spans="1:3" ht="15.75" customHeight="1">
      <c r="A419" s="13"/>
      <c r="C419" s="5"/>
    </row>
    <row r="420" spans="1:3" ht="15.75" customHeight="1">
      <c r="A420" s="13"/>
      <c r="C420" s="5"/>
    </row>
    <row r="421" spans="1:3" ht="15.75" customHeight="1">
      <c r="A421" s="13"/>
      <c r="C421" s="5"/>
    </row>
    <row r="422" spans="1:3" ht="15.75" customHeight="1">
      <c r="A422" s="13"/>
      <c r="C422" s="5"/>
    </row>
    <row r="423" spans="1:3" ht="15.75" customHeight="1">
      <c r="A423" s="13"/>
      <c r="C423" s="5"/>
    </row>
    <row r="424" spans="1:3" ht="15.75" customHeight="1">
      <c r="A424" s="13"/>
      <c r="C424" s="5"/>
    </row>
    <row r="425" spans="1:3" ht="15.75" customHeight="1">
      <c r="A425" s="13"/>
      <c r="C425" s="5"/>
    </row>
    <row r="426" spans="1:3" ht="15.75" customHeight="1">
      <c r="A426" s="13"/>
      <c r="C426" s="5"/>
    </row>
    <row r="427" spans="1:3" ht="15.75" customHeight="1">
      <c r="A427" s="13"/>
      <c r="C427" s="5"/>
    </row>
    <row r="428" spans="1:3" ht="15.75" customHeight="1">
      <c r="A428" s="13"/>
      <c r="C428" s="5"/>
    </row>
    <row r="429" spans="1:3" ht="15.75" customHeight="1">
      <c r="A429" s="13"/>
      <c r="C429" s="5"/>
    </row>
    <row r="430" spans="1:3" ht="15.75" customHeight="1">
      <c r="A430" s="13"/>
      <c r="C430" s="5"/>
    </row>
    <row r="431" spans="1:3" ht="15.75" customHeight="1">
      <c r="A431" s="13"/>
      <c r="C431" s="5"/>
    </row>
    <row r="432" spans="1:3" ht="15.75" customHeight="1">
      <c r="A432" s="13"/>
      <c r="C432" s="5"/>
    </row>
    <row r="433" spans="1:3" ht="15.75" customHeight="1">
      <c r="A433" s="13"/>
      <c r="C433" s="5"/>
    </row>
    <row r="434" spans="1:3" ht="15.75" customHeight="1">
      <c r="A434" s="13"/>
      <c r="C434" s="5"/>
    </row>
    <row r="435" spans="1:3" ht="15.75" customHeight="1">
      <c r="A435" s="13"/>
      <c r="C435" s="5"/>
    </row>
    <row r="436" spans="1:3" ht="15.75" customHeight="1">
      <c r="A436" s="13"/>
      <c r="C436" s="5"/>
    </row>
    <row r="437" spans="1:3" ht="15.75" customHeight="1">
      <c r="A437" s="13"/>
      <c r="C437" s="5"/>
    </row>
    <row r="438" spans="1:3" ht="15.75" customHeight="1">
      <c r="A438" s="13"/>
      <c r="C438" s="5"/>
    </row>
    <row r="439" spans="1:3" ht="15.75" customHeight="1">
      <c r="A439" s="13"/>
      <c r="C439" s="5"/>
    </row>
    <row r="440" spans="1:3" ht="15.75" customHeight="1">
      <c r="A440" s="13"/>
      <c r="C440" s="5"/>
    </row>
    <row r="441" spans="1:3" ht="15.75" customHeight="1">
      <c r="A441" s="13"/>
      <c r="C441" s="5"/>
    </row>
    <row r="442" spans="1:3" ht="15.75" customHeight="1">
      <c r="A442" s="13"/>
      <c r="C442" s="5"/>
    </row>
    <row r="443" spans="1:3" ht="15.75" customHeight="1">
      <c r="A443" s="13"/>
      <c r="C443" s="5"/>
    </row>
    <row r="444" spans="1:3" ht="15.75" customHeight="1">
      <c r="A444" s="13"/>
      <c r="C444" s="5"/>
    </row>
    <row r="445" spans="1:3" ht="15.75" customHeight="1">
      <c r="A445" s="13"/>
      <c r="C445" s="5"/>
    </row>
    <row r="446" spans="1:3" ht="15.75" customHeight="1">
      <c r="A446" s="13"/>
      <c r="C446" s="5"/>
    </row>
    <row r="447" spans="1:3" ht="15.75" customHeight="1">
      <c r="A447" s="13"/>
      <c r="C447" s="5"/>
    </row>
    <row r="448" spans="1:3" ht="15.75" customHeight="1">
      <c r="A448" s="13"/>
      <c r="C448" s="5"/>
    </row>
    <row r="449" spans="1:3" ht="15.75" customHeight="1">
      <c r="A449" s="13"/>
      <c r="C449" s="5"/>
    </row>
    <row r="450" spans="1:3" ht="15.75" customHeight="1">
      <c r="A450" s="13"/>
      <c r="C450" s="5"/>
    </row>
    <row r="451" spans="1:3" ht="15.75" customHeight="1">
      <c r="A451" s="13"/>
      <c r="C451" s="5"/>
    </row>
    <row r="452" spans="1:3" ht="15.75" customHeight="1">
      <c r="A452" s="13"/>
      <c r="C452" s="5"/>
    </row>
    <row r="453" spans="1:3" ht="15.75" customHeight="1">
      <c r="A453" s="13"/>
      <c r="C453" s="5"/>
    </row>
    <row r="454" spans="1:3" ht="15.75" customHeight="1">
      <c r="A454" s="13"/>
      <c r="C454" s="5"/>
    </row>
    <row r="455" spans="1:3" ht="15.75" customHeight="1">
      <c r="A455" s="13"/>
      <c r="C455" s="5"/>
    </row>
    <row r="456" spans="1:3" ht="15.75" customHeight="1">
      <c r="A456" s="13"/>
      <c r="C456" s="5"/>
    </row>
    <row r="457" spans="1:3" ht="15.75" customHeight="1">
      <c r="A457" s="13"/>
      <c r="C457" s="5"/>
    </row>
    <row r="458" spans="1:3" ht="15.75" customHeight="1">
      <c r="A458" s="13"/>
      <c r="C458" s="5"/>
    </row>
    <row r="459" spans="1:3" ht="15.75" customHeight="1">
      <c r="A459" s="13"/>
      <c r="C459" s="5"/>
    </row>
    <row r="460" spans="1:3" ht="15.75" customHeight="1">
      <c r="A460" s="13"/>
      <c r="C460" s="5"/>
    </row>
    <row r="461" spans="1:3" ht="15.75" customHeight="1">
      <c r="A461" s="13"/>
      <c r="C461" s="5"/>
    </row>
    <row r="462" spans="1:3" ht="15.75" customHeight="1">
      <c r="A462" s="13"/>
      <c r="C462" s="5"/>
    </row>
    <row r="463" spans="1:3" ht="15.75" customHeight="1">
      <c r="A463" s="13"/>
      <c r="C463" s="5"/>
    </row>
    <row r="464" spans="1:3" ht="15.75" customHeight="1">
      <c r="A464" s="13"/>
      <c r="C464" s="5"/>
    </row>
    <row r="465" spans="1:3" ht="15.75" customHeight="1">
      <c r="A465" s="13"/>
      <c r="C465" s="5"/>
    </row>
    <row r="466" spans="1:3" ht="15.75" customHeight="1">
      <c r="A466" s="13"/>
      <c r="C466" s="5"/>
    </row>
    <row r="467" spans="1:3" ht="15.75" customHeight="1">
      <c r="A467" s="13"/>
      <c r="C467" s="5"/>
    </row>
    <row r="468" spans="1:3" ht="15.75" customHeight="1">
      <c r="A468" s="13"/>
      <c r="C468" s="5"/>
    </row>
    <row r="469" spans="1:3" ht="15.75" customHeight="1">
      <c r="A469" s="13"/>
      <c r="C469" s="5"/>
    </row>
    <row r="470" spans="1:3" ht="15.75" customHeight="1">
      <c r="A470" s="13"/>
      <c r="C470" s="5"/>
    </row>
    <row r="471" spans="1:3" ht="15.75" customHeight="1">
      <c r="A471" s="13"/>
      <c r="C471" s="5"/>
    </row>
    <row r="472" spans="1:3" ht="15.75" customHeight="1">
      <c r="A472" s="13"/>
      <c r="C472" s="5"/>
    </row>
    <row r="473" spans="1:3" ht="15.75" customHeight="1">
      <c r="A473" s="13"/>
      <c r="C473" s="5"/>
    </row>
    <row r="474" spans="1:3" ht="15.75" customHeight="1">
      <c r="A474" s="13"/>
      <c r="C474" s="5"/>
    </row>
    <row r="475" spans="1:3" ht="15.75" customHeight="1">
      <c r="A475" s="13"/>
      <c r="C475" s="5"/>
    </row>
    <row r="476" spans="1:3" ht="15.75" customHeight="1">
      <c r="A476" s="13"/>
      <c r="C476" s="5"/>
    </row>
    <row r="477" spans="1:3" ht="15.75" customHeight="1">
      <c r="A477" s="13"/>
      <c r="C477" s="5"/>
    </row>
    <row r="478" spans="1:3" ht="15.75" customHeight="1">
      <c r="A478" s="13"/>
      <c r="C478" s="5"/>
    </row>
    <row r="479" spans="1:3" ht="15.75" customHeight="1">
      <c r="A479" s="13"/>
      <c r="C479" s="5"/>
    </row>
    <row r="480" spans="1:3" ht="15.75" customHeight="1">
      <c r="A480" s="13"/>
      <c r="C480" s="5"/>
    </row>
    <row r="481" spans="1:3" ht="15.75" customHeight="1">
      <c r="A481" s="13"/>
      <c r="C481" s="5"/>
    </row>
    <row r="482" spans="1:3" ht="15.75" customHeight="1">
      <c r="A482" s="13"/>
      <c r="C482" s="5"/>
    </row>
    <row r="483" spans="1:3" ht="15.75" customHeight="1">
      <c r="A483" s="13"/>
      <c r="C483" s="5"/>
    </row>
    <row r="484" spans="1:3" ht="15.75" customHeight="1">
      <c r="A484" s="13"/>
      <c r="C484" s="5"/>
    </row>
    <row r="485" spans="1:3" ht="15.75" customHeight="1">
      <c r="A485" s="13"/>
      <c r="C485" s="5"/>
    </row>
    <row r="486" spans="1:3" ht="15.75" customHeight="1">
      <c r="A486" s="13"/>
      <c r="C486" s="5"/>
    </row>
    <row r="487" spans="1:3" ht="15.75" customHeight="1">
      <c r="A487" s="13"/>
      <c r="C487" s="5"/>
    </row>
    <row r="488" spans="1:3" ht="15.75" customHeight="1">
      <c r="A488" s="13"/>
      <c r="C488" s="5"/>
    </row>
    <row r="489" spans="1:3" ht="15.75" customHeight="1">
      <c r="A489" s="13"/>
      <c r="C489" s="5"/>
    </row>
    <row r="490" spans="1:3" ht="15.75" customHeight="1">
      <c r="A490" s="13"/>
      <c r="C490" s="5"/>
    </row>
    <row r="491" spans="1:3" ht="15.75" customHeight="1">
      <c r="A491" s="13"/>
      <c r="C491" s="5"/>
    </row>
    <row r="492" spans="1:3" ht="15.75" customHeight="1">
      <c r="A492" s="13"/>
      <c r="C492" s="5"/>
    </row>
    <row r="493" spans="1:3" ht="15.75" customHeight="1">
      <c r="A493" s="13"/>
      <c r="C493" s="5"/>
    </row>
    <row r="494" spans="1:3" ht="15.75" customHeight="1">
      <c r="A494" s="13"/>
      <c r="C494" s="5"/>
    </row>
    <row r="495" spans="1:3" ht="15.75" customHeight="1">
      <c r="A495" s="13"/>
      <c r="C495" s="5"/>
    </row>
    <row r="496" spans="1:3" ht="15.75" customHeight="1">
      <c r="A496" s="13"/>
      <c r="C496" s="5"/>
    </row>
    <row r="497" spans="1:3" ht="15.75" customHeight="1">
      <c r="A497" s="13"/>
      <c r="C497" s="5"/>
    </row>
    <row r="498" spans="1:3" ht="15.75" customHeight="1">
      <c r="A498" s="13"/>
      <c r="C498" s="5"/>
    </row>
    <row r="499" spans="1:3" ht="15.75" customHeight="1">
      <c r="A499" s="13"/>
      <c r="C499" s="5"/>
    </row>
    <row r="500" spans="1:3" ht="15.75" customHeight="1">
      <c r="A500" s="13"/>
      <c r="C500" s="5"/>
    </row>
    <row r="501" spans="1:3" ht="15.75" customHeight="1">
      <c r="A501" s="13"/>
      <c r="C501" s="5"/>
    </row>
    <row r="502" spans="1:3" ht="15.75" customHeight="1">
      <c r="A502" s="13"/>
      <c r="C502" s="5"/>
    </row>
    <row r="503" spans="1:3" ht="15.75" customHeight="1">
      <c r="A503" s="13"/>
      <c r="C503" s="5"/>
    </row>
    <row r="504" spans="1:3" ht="15.75" customHeight="1">
      <c r="A504" s="13"/>
      <c r="C504" s="5"/>
    </row>
    <row r="505" spans="1:3" ht="15.75" customHeight="1">
      <c r="A505" s="13"/>
      <c r="C505" s="5"/>
    </row>
    <row r="506" spans="1:3" ht="15.75" customHeight="1">
      <c r="A506" s="13"/>
      <c r="C506" s="5"/>
    </row>
    <row r="507" spans="1:3" ht="15.75" customHeight="1">
      <c r="A507" s="13"/>
      <c r="C507" s="5"/>
    </row>
    <row r="508" spans="1:3" ht="15.75" customHeight="1">
      <c r="A508" s="13"/>
      <c r="C508" s="5"/>
    </row>
    <row r="509" spans="1:3" ht="15.75" customHeight="1">
      <c r="A509" s="13"/>
      <c r="C509" s="5"/>
    </row>
    <row r="510" spans="1:3" ht="15.75" customHeight="1">
      <c r="A510" s="13"/>
      <c r="C510" s="5"/>
    </row>
    <row r="511" spans="1:3" ht="15.75" customHeight="1">
      <c r="A511" s="13"/>
      <c r="C511" s="5"/>
    </row>
    <row r="512" spans="1:3" ht="15.75" customHeight="1">
      <c r="A512" s="13"/>
      <c r="C512" s="5"/>
    </row>
    <row r="513" spans="1:3" ht="15.75" customHeight="1">
      <c r="A513" s="13"/>
      <c r="C513" s="5"/>
    </row>
    <row r="514" spans="1:3" ht="15.75" customHeight="1">
      <c r="A514" s="13"/>
      <c r="C514" s="5"/>
    </row>
    <row r="515" spans="1:3" ht="15.75" customHeight="1">
      <c r="A515" s="13"/>
      <c r="C515" s="5"/>
    </row>
    <row r="516" spans="1:3" ht="15.75" customHeight="1">
      <c r="A516" s="13"/>
      <c r="C516" s="5"/>
    </row>
    <row r="517" spans="1:3" ht="15.75" customHeight="1">
      <c r="A517" s="13"/>
      <c r="C517" s="5"/>
    </row>
    <row r="518" spans="1:3" ht="15.75" customHeight="1">
      <c r="A518" s="13"/>
      <c r="C518" s="5"/>
    </row>
    <row r="519" spans="1:3" ht="15.75" customHeight="1">
      <c r="A519" s="13"/>
      <c r="C519" s="5"/>
    </row>
    <row r="520" spans="1:3" ht="15.75" customHeight="1">
      <c r="A520" s="13"/>
      <c r="C520" s="5"/>
    </row>
    <row r="521" spans="1:3" ht="15.75" customHeight="1">
      <c r="A521" s="13"/>
      <c r="C521" s="5"/>
    </row>
    <row r="522" spans="1:3" ht="15.75" customHeight="1">
      <c r="A522" s="13"/>
      <c r="C522" s="5"/>
    </row>
    <row r="523" spans="1:3" ht="15.75" customHeight="1">
      <c r="A523" s="13"/>
      <c r="C523" s="5"/>
    </row>
    <row r="524" spans="1:3" ht="15.75" customHeight="1">
      <c r="A524" s="13"/>
      <c r="C524" s="5"/>
    </row>
    <row r="525" spans="1:3" ht="15.75" customHeight="1">
      <c r="A525" s="13"/>
      <c r="C525" s="5"/>
    </row>
    <row r="526" spans="1:3" ht="15.75" customHeight="1">
      <c r="A526" s="13"/>
      <c r="C526" s="5"/>
    </row>
    <row r="527" spans="1:3" ht="15.75" customHeight="1">
      <c r="A527" s="13"/>
      <c r="C527" s="5"/>
    </row>
    <row r="528" spans="1:3" ht="15.75" customHeight="1">
      <c r="A528" s="13"/>
      <c r="C528" s="5"/>
    </row>
    <row r="529" spans="1:3" ht="15.75" customHeight="1">
      <c r="A529" s="13"/>
      <c r="C529" s="5"/>
    </row>
    <row r="530" spans="1:3" ht="15.75" customHeight="1">
      <c r="A530" s="13"/>
      <c r="C530" s="5"/>
    </row>
    <row r="531" spans="1:3" ht="15.75" customHeight="1">
      <c r="A531" s="13"/>
      <c r="C531" s="5"/>
    </row>
    <row r="532" spans="1:3" ht="15.75" customHeight="1">
      <c r="A532" s="13"/>
      <c r="C532" s="5"/>
    </row>
    <row r="533" spans="1:3" ht="15.75" customHeight="1">
      <c r="A533" s="13"/>
      <c r="C533" s="5"/>
    </row>
    <row r="534" spans="1:3" ht="15.75" customHeight="1">
      <c r="A534" s="13"/>
      <c r="C534" s="5"/>
    </row>
    <row r="535" spans="1:3" ht="15.75" customHeight="1">
      <c r="A535" s="13"/>
      <c r="C535" s="5"/>
    </row>
    <row r="536" spans="1:3" ht="15.75" customHeight="1">
      <c r="A536" s="13"/>
      <c r="C536" s="5"/>
    </row>
    <row r="537" spans="1:3" ht="15.75" customHeight="1">
      <c r="A537" s="13"/>
      <c r="C537" s="5"/>
    </row>
    <row r="538" spans="1:3" ht="15.75" customHeight="1">
      <c r="A538" s="13"/>
      <c r="C538" s="5"/>
    </row>
    <row r="539" spans="1:3" ht="15.75" customHeight="1">
      <c r="A539" s="13"/>
      <c r="C539" s="5"/>
    </row>
    <row r="540" spans="1:3" ht="15.75" customHeight="1">
      <c r="A540" s="13"/>
      <c r="C540" s="5"/>
    </row>
    <row r="541" spans="1:3" ht="15.75" customHeight="1">
      <c r="A541" s="13"/>
      <c r="C541" s="5"/>
    </row>
    <row r="542" spans="1:3" ht="15.75" customHeight="1">
      <c r="A542" s="13"/>
      <c r="C542" s="5"/>
    </row>
    <row r="543" spans="1:3" ht="15.75" customHeight="1">
      <c r="A543" s="13"/>
      <c r="C543" s="5"/>
    </row>
    <row r="544" spans="1:3" ht="15.75" customHeight="1">
      <c r="A544" s="13"/>
      <c r="C544" s="5"/>
    </row>
    <row r="545" spans="1:3" ht="15.75" customHeight="1">
      <c r="A545" s="13"/>
      <c r="C545" s="5"/>
    </row>
    <row r="546" spans="1:3" ht="15.75" customHeight="1">
      <c r="A546" s="13"/>
      <c r="C546" s="5"/>
    </row>
    <row r="547" spans="1:3" ht="15.75" customHeight="1">
      <c r="A547" s="13"/>
      <c r="C547" s="5"/>
    </row>
    <row r="548" spans="1:3" ht="15.75" customHeight="1">
      <c r="A548" s="13"/>
      <c r="C548" s="5"/>
    </row>
    <row r="549" spans="1:3" ht="15.75" customHeight="1">
      <c r="A549" s="13"/>
      <c r="C549" s="5"/>
    </row>
    <row r="550" spans="1:3" ht="15.75" customHeight="1">
      <c r="A550" s="13"/>
      <c r="C550" s="5"/>
    </row>
    <row r="551" spans="1:3" ht="15.75" customHeight="1">
      <c r="A551" s="13"/>
      <c r="C551" s="5"/>
    </row>
    <row r="552" spans="1:3" ht="15.75" customHeight="1">
      <c r="A552" s="13"/>
      <c r="C552" s="5"/>
    </row>
    <row r="553" spans="1:3" ht="15.75" customHeight="1">
      <c r="A553" s="13"/>
      <c r="C553" s="5"/>
    </row>
    <row r="554" spans="1:3" ht="15.75" customHeight="1">
      <c r="A554" s="13"/>
      <c r="C554" s="5"/>
    </row>
    <row r="555" spans="1:3" ht="15.75" customHeight="1">
      <c r="A555" s="13"/>
      <c r="C555" s="5"/>
    </row>
    <row r="556" spans="1:3" ht="15.75" customHeight="1">
      <c r="A556" s="13"/>
      <c r="C556" s="5"/>
    </row>
    <row r="557" spans="1:3" ht="15.75" customHeight="1">
      <c r="A557" s="13"/>
      <c r="C557" s="5"/>
    </row>
    <row r="558" spans="1:3" ht="15.75" customHeight="1">
      <c r="A558" s="13"/>
      <c r="C558" s="5"/>
    </row>
    <row r="559" spans="1:3" ht="15.75" customHeight="1">
      <c r="A559" s="13"/>
      <c r="C559" s="5"/>
    </row>
    <row r="560" spans="1:3" ht="15.75" customHeight="1">
      <c r="A560" s="13"/>
      <c r="C560" s="5"/>
    </row>
    <row r="561" spans="1:3" ht="15.75" customHeight="1">
      <c r="A561" s="13"/>
      <c r="C561" s="5"/>
    </row>
    <row r="562" spans="1:3" ht="15.75" customHeight="1">
      <c r="A562" s="13"/>
      <c r="C562" s="5"/>
    </row>
    <row r="563" spans="1:3" ht="15.75" customHeight="1">
      <c r="A563" s="13"/>
      <c r="C563" s="5"/>
    </row>
    <row r="564" spans="1:3" ht="15.75" customHeight="1">
      <c r="A564" s="13"/>
      <c r="C564" s="5"/>
    </row>
    <row r="565" spans="1:3" ht="15.75" customHeight="1">
      <c r="A565" s="13"/>
      <c r="C565" s="5"/>
    </row>
    <row r="566" spans="1:3" ht="15.75" customHeight="1">
      <c r="A566" s="13"/>
      <c r="C566" s="5"/>
    </row>
    <row r="567" spans="1:3" ht="15.75" customHeight="1">
      <c r="A567" s="13"/>
      <c r="C567" s="5"/>
    </row>
    <row r="568" spans="1:3" ht="15.75" customHeight="1">
      <c r="A568" s="13"/>
      <c r="C568" s="5"/>
    </row>
    <row r="569" spans="1:3" ht="15.75" customHeight="1">
      <c r="A569" s="13"/>
      <c r="C569" s="5"/>
    </row>
    <row r="570" spans="1:3" ht="15.75" customHeight="1">
      <c r="A570" s="13"/>
      <c r="C570" s="5"/>
    </row>
    <row r="571" spans="1:3" ht="15.75" customHeight="1">
      <c r="A571" s="13"/>
      <c r="C571" s="5"/>
    </row>
    <row r="572" spans="1:3" ht="15.75" customHeight="1">
      <c r="A572" s="13"/>
      <c r="C572" s="5"/>
    </row>
    <row r="573" spans="1:3" ht="15.75" customHeight="1">
      <c r="A573" s="13"/>
      <c r="C573" s="5"/>
    </row>
    <row r="574" spans="1:3" ht="15.75" customHeight="1">
      <c r="A574" s="13"/>
      <c r="C574" s="5"/>
    </row>
    <row r="575" spans="1:3" ht="15.75" customHeight="1">
      <c r="A575" s="13"/>
      <c r="C575" s="5"/>
    </row>
    <row r="576" spans="1:3" ht="15.75" customHeight="1">
      <c r="A576" s="13"/>
      <c r="C576" s="5"/>
    </row>
    <row r="577" spans="1:3" ht="15.75" customHeight="1">
      <c r="A577" s="13"/>
      <c r="C577" s="5"/>
    </row>
    <row r="578" spans="1:3" ht="15.75" customHeight="1">
      <c r="A578" s="13"/>
      <c r="C578" s="5"/>
    </row>
    <row r="579" spans="1:3" ht="15.75" customHeight="1">
      <c r="A579" s="13"/>
      <c r="C579" s="5"/>
    </row>
    <row r="580" spans="1:3" ht="15.75" customHeight="1">
      <c r="A580" s="13"/>
      <c r="C580" s="5"/>
    </row>
    <row r="581" spans="1:3" ht="15.75" customHeight="1">
      <c r="A581" s="13"/>
      <c r="C581" s="5"/>
    </row>
    <row r="582" spans="1:3" ht="15.75" customHeight="1">
      <c r="A582" s="13"/>
      <c r="C582" s="5"/>
    </row>
    <row r="583" spans="1:3" ht="15.75" customHeight="1">
      <c r="A583" s="13"/>
      <c r="C583" s="5"/>
    </row>
    <row r="584" spans="1:3" ht="15.75" customHeight="1">
      <c r="A584" s="13"/>
      <c r="C584" s="5"/>
    </row>
    <row r="585" spans="1:3" ht="15.75" customHeight="1">
      <c r="A585" s="13"/>
      <c r="C585" s="5"/>
    </row>
    <row r="586" spans="1:3" ht="15.75" customHeight="1">
      <c r="A586" s="13"/>
      <c r="C586" s="5"/>
    </row>
    <row r="587" spans="1:3" ht="15.75" customHeight="1">
      <c r="A587" s="13"/>
      <c r="C587" s="5"/>
    </row>
    <row r="588" spans="1:3" ht="15.75" customHeight="1">
      <c r="A588" s="13"/>
      <c r="C588" s="5"/>
    </row>
    <row r="589" spans="1:3" ht="15.75" customHeight="1">
      <c r="A589" s="13"/>
      <c r="C589" s="5"/>
    </row>
    <row r="590" spans="1:3" ht="15.75" customHeight="1">
      <c r="A590" s="13"/>
      <c r="C590" s="5"/>
    </row>
    <row r="591" spans="1:3" ht="15.75" customHeight="1">
      <c r="A591" s="13"/>
      <c r="C591" s="5"/>
    </row>
    <row r="592" spans="1:3" ht="15.75" customHeight="1">
      <c r="A592" s="13"/>
      <c r="C592" s="5"/>
    </row>
    <row r="593" spans="1:3" ht="15.75" customHeight="1">
      <c r="A593" s="13"/>
      <c r="C593" s="5"/>
    </row>
    <row r="594" spans="1:3" ht="15.75" customHeight="1">
      <c r="A594" s="13"/>
      <c r="C594" s="5"/>
    </row>
    <row r="595" spans="1:3" ht="15.75" customHeight="1">
      <c r="A595" s="13"/>
      <c r="C595" s="5"/>
    </row>
    <row r="596" spans="1:3" ht="15.75" customHeight="1">
      <c r="A596" s="13"/>
      <c r="C596" s="5"/>
    </row>
    <row r="597" spans="1:3" ht="15.75" customHeight="1">
      <c r="A597" s="13"/>
      <c r="C597" s="5"/>
    </row>
    <row r="598" spans="1:3" ht="15.75" customHeight="1">
      <c r="A598" s="13"/>
      <c r="C598" s="5"/>
    </row>
    <row r="599" spans="1:3" ht="15.75" customHeight="1">
      <c r="A599" s="13"/>
      <c r="C599" s="5"/>
    </row>
    <row r="600" spans="1:3" ht="15.75" customHeight="1">
      <c r="A600" s="13"/>
      <c r="C600" s="5"/>
    </row>
    <row r="601" spans="1:3" ht="15.75" customHeight="1">
      <c r="A601" s="13"/>
      <c r="C601" s="5"/>
    </row>
    <row r="602" spans="1:3" ht="15.75" customHeight="1">
      <c r="A602" s="13"/>
      <c r="C602" s="5"/>
    </row>
    <row r="603" spans="1:3" ht="15.75" customHeight="1">
      <c r="A603" s="13"/>
      <c r="C603" s="5"/>
    </row>
    <row r="604" spans="1:3" ht="15.75" customHeight="1">
      <c r="A604" s="13"/>
      <c r="C604" s="5"/>
    </row>
    <row r="605" spans="1:3" ht="15.75" customHeight="1">
      <c r="A605" s="13"/>
      <c r="C605" s="5"/>
    </row>
    <row r="606" spans="1:3" ht="15.75" customHeight="1">
      <c r="A606" s="13"/>
      <c r="C606" s="5"/>
    </row>
    <row r="607" spans="1:3" ht="15.75" customHeight="1">
      <c r="A607" s="13"/>
      <c r="C607" s="5"/>
    </row>
    <row r="608" spans="1:3" ht="15.75" customHeight="1">
      <c r="A608" s="13"/>
      <c r="C608" s="5"/>
    </row>
    <row r="609" spans="1:3" ht="15.75" customHeight="1">
      <c r="A609" s="13"/>
      <c r="C609" s="5"/>
    </row>
    <row r="610" spans="1:3" ht="15.75" customHeight="1">
      <c r="A610" s="13"/>
      <c r="C610" s="5"/>
    </row>
    <row r="611" spans="1:3" ht="15.75" customHeight="1">
      <c r="A611" s="13"/>
      <c r="C611" s="5"/>
    </row>
    <row r="612" spans="1:3" ht="15.75" customHeight="1">
      <c r="A612" s="13"/>
      <c r="C612" s="5"/>
    </row>
    <row r="613" spans="1:3" ht="15.75" customHeight="1">
      <c r="A613" s="13"/>
      <c r="C613" s="5"/>
    </row>
    <row r="614" spans="1:3" ht="15.75" customHeight="1">
      <c r="A614" s="13"/>
      <c r="C614" s="5"/>
    </row>
    <row r="615" spans="1:3" ht="15.75" customHeight="1">
      <c r="A615" s="13"/>
      <c r="C615" s="5"/>
    </row>
    <row r="616" spans="1:3" ht="15.75" customHeight="1">
      <c r="A616" s="13"/>
      <c r="C616" s="5"/>
    </row>
    <row r="617" spans="1:3" ht="15.75" customHeight="1">
      <c r="A617" s="13"/>
      <c r="C617" s="5"/>
    </row>
    <row r="618" spans="1:3" ht="15.75" customHeight="1">
      <c r="A618" s="13"/>
      <c r="C618" s="5"/>
    </row>
    <row r="619" spans="1:3" ht="15.75" customHeight="1">
      <c r="A619" s="13"/>
      <c r="C619" s="5"/>
    </row>
    <row r="620" spans="1:3" ht="15.75" customHeight="1">
      <c r="A620" s="13"/>
      <c r="C620" s="5"/>
    </row>
    <row r="621" spans="1:3" ht="15.75" customHeight="1">
      <c r="A621" s="13"/>
      <c r="C621" s="5"/>
    </row>
    <row r="622" spans="1:3" ht="15.75" customHeight="1">
      <c r="A622" s="13"/>
      <c r="C622" s="5"/>
    </row>
    <row r="623" spans="1:3" ht="15.75" customHeight="1">
      <c r="A623" s="13"/>
      <c r="C623" s="5"/>
    </row>
    <row r="624" spans="1:3" ht="15.75" customHeight="1">
      <c r="A624" s="13"/>
      <c r="C624" s="5"/>
    </row>
    <row r="625" spans="1:3" ht="15.75" customHeight="1">
      <c r="A625" s="13"/>
      <c r="C625" s="5"/>
    </row>
    <row r="626" spans="1:3" ht="15.75" customHeight="1">
      <c r="A626" s="13"/>
      <c r="C626" s="5"/>
    </row>
    <row r="627" spans="1:3" ht="15.75" customHeight="1">
      <c r="A627" s="13"/>
      <c r="C627" s="5"/>
    </row>
    <row r="628" spans="1:3" ht="15.75" customHeight="1">
      <c r="A628" s="13"/>
      <c r="C628" s="5"/>
    </row>
    <row r="629" spans="1:3" ht="15.75" customHeight="1">
      <c r="A629" s="13"/>
      <c r="C629" s="5"/>
    </row>
    <row r="630" spans="1:3" ht="15.75" customHeight="1">
      <c r="A630" s="13"/>
      <c r="C630" s="5"/>
    </row>
    <row r="631" spans="1:3" ht="15.75" customHeight="1">
      <c r="A631" s="13"/>
      <c r="C631" s="5"/>
    </row>
    <row r="632" spans="1:3" ht="15.75" customHeight="1">
      <c r="A632" s="13"/>
      <c r="C632" s="5"/>
    </row>
    <row r="633" spans="1:3" ht="15.75" customHeight="1">
      <c r="A633" s="13"/>
      <c r="C633" s="5"/>
    </row>
    <row r="634" spans="1:3" ht="15.75" customHeight="1">
      <c r="A634" s="13"/>
      <c r="C634" s="5"/>
    </row>
    <row r="635" spans="1:3" ht="15.75" customHeight="1">
      <c r="A635" s="13"/>
      <c r="C635" s="5"/>
    </row>
    <row r="636" spans="1:3" ht="15.75" customHeight="1">
      <c r="A636" s="13"/>
      <c r="C636" s="5"/>
    </row>
    <row r="637" spans="1:3" ht="15.75" customHeight="1">
      <c r="A637" s="13"/>
      <c r="C637" s="5"/>
    </row>
    <row r="638" spans="1:3" ht="15.75" customHeight="1">
      <c r="A638" s="13"/>
      <c r="C638" s="5"/>
    </row>
    <row r="639" spans="1:3" ht="15.75" customHeight="1">
      <c r="A639" s="13"/>
      <c r="C639" s="5"/>
    </row>
    <row r="640" spans="1:3" ht="15.75" customHeight="1">
      <c r="A640" s="13"/>
      <c r="C640" s="5"/>
    </row>
    <row r="641" spans="1:3" ht="15.75" customHeight="1">
      <c r="A641" s="13"/>
      <c r="C641" s="5"/>
    </row>
    <row r="642" spans="1:3" ht="15.75" customHeight="1">
      <c r="A642" s="13"/>
      <c r="C642" s="5"/>
    </row>
    <row r="643" spans="1:3" ht="15.75" customHeight="1">
      <c r="A643" s="13"/>
      <c r="C643" s="5"/>
    </row>
    <row r="644" spans="1:3" ht="15.75" customHeight="1">
      <c r="A644" s="13"/>
      <c r="C644" s="5"/>
    </row>
    <row r="645" spans="1:3" ht="15.75" customHeight="1">
      <c r="A645" s="13"/>
      <c r="C645" s="5"/>
    </row>
    <row r="646" spans="1:3" ht="15.75" customHeight="1">
      <c r="A646" s="13"/>
      <c r="C646" s="5"/>
    </row>
    <row r="647" spans="1:3" ht="15.75" customHeight="1">
      <c r="A647" s="13"/>
      <c r="C647" s="5"/>
    </row>
    <row r="648" spans="1:3" ht="15.75" customHeight="1">
      <c r="A648" s="13"/>
      <c r="C648" s="5"/>
    </row>
    <row r="649" spans="1:3" ht="15.75" customHeight="1">
      <c r="A649" s="13"/>
      <c r="C649" s="5"/>
    </row>
    <row r="650" spans="1:3" ht="15.75" customHeight="1">
      <c r="A650" s="13"/>
      <c r="C650" s="5"/>
    </row>
    <row r="651" spans="1:3" ht="15.75" customHeight="1">
      <c r="A651" s="13"/>
      <c r="C651" s="5"/>
    </row>
    <row r="652" spans="1:3" ht="15.75" customHeight="1">
      <c r="A652" s="13"/>
      <c r="C652" s="5"/>
    </row>
    <row r="653" spans="1:3" ht="15.75" customHeight="1">
      <c r="A653" s="13"/>
      <c r="C653" s="5"/>
    </row>
    <row r="654" spans="1:3" ht="15.75" customHeight="1">
      <c r="A654" s="13"/>
      <c r="C654" s="5"/>
    </row>
    <row r="655" spans="1:3" ht="15.75" customHeight="1">
      <c r="A655" s="13"/>
      <c r="C655" s="5"/>
    </row>
    <row r="656" spans="1:3" ht="15.75" customHeight="1">
      <c r="A656" s="13"/>
      <c r="C656" s="5"/>
    </row>
    <row r="657" spans="1:3" ht="15.75" customHeight="1">
      <c r="A657" s="13"/>
      <c r="C657" s="5"/>
    </row>
    <row r="658" spans="1:3" ht="15.75" customHeight="1">
      <c r="A658" s="13"/>
      <c r="C658" s="5"/>
    </row>
    <row r="659" spans="1:3" ht="15.75" customHeight="1">
      <c r="A659" s="13"/>
      <c r="C659" s="5"/>
    </row>
    <row r="660" spans="1:3" ht="15.75" customHeight="1">
      <c r="A660" s="13"/>
      <c r="C660" s="5"/>
    </row>
    <row r="661" spans="1:3" ht="15.75" customHeight="1">
      <c r="A661" s="13"/>
      <c r="C661" s="5"/>
    </row>
    <row r="662" spans="1:3" ht="15.75" customHeight="1">
      <c r="A662" s="13"/>
      <c r="C662" s="5"/>
    </row>
    <row r="663" spans="1:3" ht="15.75" customHeight="1">
      <c r="A663" s="13"/>
      <c r="C663" s="5"/>
    </row>
    <row r="664" spans="1:3" ht="15.75" customHeight="1">
      <c r="A664" s="13"/>
      <c r="C664" s="5"/>
    </row>
    <row r="665" spans="1:3" ht="15.75" customHeight="1">
      <c r="A665" s="13"/>
      <c r="C665" s="5"/>
    </row>
    <row r="666" spans="1:3" ht="15.75" customHeight="1">
      <c r="A666" s="13"/>
      <c r="C666" s="5"/>
    </row>
    <row r="667" spans="1:3" ht="15.75" customHeight="1">
      <c r="A667" s="13"/>
      <c r="C667" s="5"/>
    </row>
    <row r="668" spans="1:3" ht="15.75" customHeight="1">
      <c r="A668" s="13"/>
      <c r="C668" s="5"/>
    </row>
    <row r="669" spans="1:3" ht="15.75" customHeight="1">
      <c r="A669" s="13"/>
      <c r="C669" s="5"/>
    </row>
    <row r="670" spans="1:3" ht="15.75" customHeight="1">
      <c r="A670" s="13"/>
      <c r="C670" s="5"/>
    </row>
    <row r="671" spans="1:3" ht="15.75" customHeight="1">
      <c r="A671" s="13"/>
      <c r="C671" s="5"/>
    </row>
    <row r="672" spans="1:3" ht="15.75" customHeight="1">
      <c r="A672" s="13"/>
      <c r="C672" s="5"/>
    </row>
    <row r="673" spans="1:3" ht="15.75" customHeight="1">
      <c r="A673" s="13"/>
      <c r="C673" s="5"/>
    </row>
    <row r="674" spans="1:3" ht="15.75" customHeight="1">
      <c r="A674" s="13"/>
      <c r="C674" s="5"/>
    </row>
    <row r="675" spans="1:3" ht="15.75" customHeight="1">
      <c r="A675" s="13"/>
      <c r="C675" s="5"/>
    </row>
    <row r="676" spans="1:3" ht="15.75" customHeight="1">
      <c r="A676" s="13"/>
      <c r="C676" s="5"/>
    </row>
    <row r="677" spans="1:3" ht="15.75" customHeight="1">
      <c r="A677" s="13"/>
      <c r="C677" s="5"/>
    </row>
    <row r="678" spans="1:3" ht="15.75" customHeight="1">
      <c r="A678" s="13"/>
      <c r="C678" s="5"/>
    </row>
    <row r="679" spans="1:3" ht="15.75" customHeight="1">
      <c r="A679" s="13"/>
      <c r="C679" s="5"/>
    </row>
    <row r="680" spans="1:3" ht="15.75" customHeight="1">
      <c r="A680" s="13"/>
      <c r="C680" s="5"/>
    </row>
    <row r="681" spans="1:3" ht="15.75" customHeight="1">
      <c r="A681" s="13"/>
      <c r="C681" s="5"/>
    </row>
    <row r="682" spans="1:3" ht="15.75" customHeight="1">
      <c r="A682" s="13"/>
      <c r="C682" s="5"/>
    </row>
    <row r="683" spans="1:3" ht="15.75" customHeight="1">
      <c r="A683" s="13"/>
      <c r="C683" s="5"/>
    </row>
    <row r="684" spans="1:3" ht="15.75" customHeight="1">
      <c r="A684" s="13"/>
      <c r="C684" s="5"/>
    </row>
    <row r="685" spans="1:3" ht="15.75" customHeight="1">
      <c r="A685" s="13"/>
      <c r="C685" s="5"/>
    </row>
    <row r="686" spans="1:3" ht="15.75" customHeight="1">
      <c r="A686" s="13"/>
      <c r="C686" s="5"/>
    </row>
    <row r="687" spans="1:3" ht="15.75" customHeight="1">
      <c r="A687" s="13"/>
      <c r="C687" s="5"/>
    </row>
    <row r="688" spans="1:3" ht="15.75" customHeight="1">
      <c r="A688" s="13"/>
      <c r="C688" s="5"/>
    </row>
    <row r="689" spans="1:3" ht="15.75" customHeight="1">
      <c r="A689" s="13"/>
      <c r="C689" s="5"/>
    </row>
    <row r="690" spans="1:3" ht="15.75" customHeight="1">
      <c r="A690" s="13"/>
      <c r="C690" s="5"/>
    </row>
    <row r="691" spans="1:3" ht="15.75" customHeight="1">
      <c r="A691" s="13"/>
      <c r="C691" s="5"/>
    </row>
    <row r="692" spans="1:3" ht="15.75" customHeight="1">
      <c r="A692" s="13"/>
      <c r="C692" s="5"/>
    </row>
    <row r="693" spans="1:3" ht="15.75" customHeight="1">
      <c r="A693" s="13"/>
      <c r="C693" s="5"/>
    </row>
    <row r="694" spans="1:3" ht="15.75" customHeight="1">
      <c r="A694" s="13"/>
      <c r="C694" s="5"/>
    </row>
    <row r="695" spans="1:3" ht="15.75" customHeight="1">
      <c r="A695" s="13"/>
      <c r="C695" s="5"/>
    </row>
    <row r="696" spans="1:3" ht="15.75" customHeight="1">
      <c r="A696" s="13"/>
      <c r="C696" s="5"/>
    </row>
    <row r="697" spans="1:3" ht="15.75" customHeight="1">
      <c r="A697" s="13"/>
      <c r="C697" s="5"/>
    </row>
    <row r="698" spans="1:3" ht="15.75" customHeight="1">
      <c r="A698" s="13"/>
      <c r="C698" s="5"/>
    </row>
    <row r="699" spans="1:3" ht="15.75" customHeight="1">
      <c r="A699" s="13"/>
      <c r="C699" s="5"/>
    </row>
    <row r="700" spans="1:3" ht="15.75" customHeight="1">
      <c r="A700" s="13"/>
      <c r="C700" s="5"/>
    </row>
    <row r="701" spans="1:3" ht="15.75" customHeight="1">
      <c r="A701" s="13"/>
      <c r="C701" s="5"/>
    </row>
    <row r="702" spans="1:3" ht="15.75" customHeight="1">
      <c r="A702" s="13"/>
      <c r="C702" s="5"/>
    </row>
    <row r="703" spans="1:3" ht="15.75" customHeight="1">
      <c r="A703" s="13"/>
      <c r="C703" s="5"/>
    </row>
    <row r="704" spans="1:3" ht="15.75" customHeight="1">
      <c r="A704" s="13"/>
      <c r="C704" s="5"/>
    </row>
    <row r="705" spans="1:3" ht="15.75" customHeight="1">
      <c r="A705" s="13"/>
      <c r="C705" s="5"/>
    </row>
    <row r="706" spans="1:3" ht="15.75" customHeight="1">
      <c r="A706" s="13"/>
      <c r="C706" s="5"/>
    </row>
    <row r="707" spans="1:3" ht="15.75" customHeight="1">
      <c r="A707" s="13"/>
      <c r="C707" s="5"/>
    </row>
    <row r="708" spans="1:3" ht="15.75" customHeight="1">
      <c r="A708" s="13"/>
      <c r="C708" s="5"/>
    </row>
    <row r="709" spans="1:3" ht="15.75" customHeight="1">
      <c r="A709" s="13"/>
      <c r="C709" s="5"/>
    </row>
    <row r="710" spans="1:3" ht="15.75" customHeight="1">
      <c r="A710" s="13"/>
      <c r="C710" s="5"/>
    </row>
    <row r="711" spans="1:3" ht="15.75" customHeight="1">
      <c r="A711" s="13"/>
      <c r="C711" s="5"/>
    </row>
    <row r="712" spans="1:3" ht="15.75" customHeight="1">
      <c r="A712" s="13"/>
      <c r="C712" s="5"/>
    </row>
    <row r="713" spans="1:3" ht="15.75" customHeight="1">
      <c r="A713" s="13"/>
      <c r="C713" s="5"/>
    </row>
    <row r="714" spans="1:3" ht="15.75" customHeight="1">
      <c r="A714" s="13"/>
      <c r="C714" s="5"/>
    </row>
    <row r="715" spans="1:3" ht="15.75" customHeight="1">
      <c r="A715" s="13"/>
      <c r="C715" s="5"/>
    </row>
    <row r="716" spans="1:3" ht="15.75" customHeight="1">
      <c r="A716" s="13"/>
      <c r="C716" s="5"/>
    </row>
    <row r="717" spans="1:3" ht="15.75" customHeight="1">
      <c r="A717" s="13"/>
      <c r="C717" s="5"/>
    </row>
    <row r="718" spans="1:3" ht="15.75" customHeight="1">
      <c r="A718" s="13"/>
      <c r="C718" s="5"/>
    </row>
    <row r="719" spans="1:3" ht="15.75" customHeight="1">
      <c r="A719" s="13"/>
      <c r="C719" s="5"/>
    </row>
    <row r="720" spans="1:3" ht="15.75" customHeight="1">
      <c r="A720" s="13"/>
      <c r="C720" s="5"/>
    </row>
    <row r="721" spans="1:3" ht="15.75" customHeight="1">
      <c r="A721" s="13"/>
      <c r="C721" s="5"/>
    </row>
    <row r="722" spans="1:3" ht="15.75" customHeight="1">
      <c r="A722" s="13"/>
      <c r="C722" s="5"/>
    </row>
    <row r="723" spans="1:3" ht="15.75" customHeight="1">
      <c r="A723" s="13"/>
      <c r="C723" s="5"/>
    </row>
    <row r="724" spans="1:3" ht="15.75" customHeight="1">
      <c r="A724" s="13"/>
      <c r="C724" s="5"/>
    </row>
    <row r="725" spans="1:3" ht="15.75" customHeight="1">
      <c r="A725" s="13"/>
      <c r="C725" s="5"/>
    </row>
    <row r="726" spans="1:3" ht="15.75" customHeight="1">
      <c r="A726" s="13"/>
      <c r="C726" s="5"/>
    </row>
    <row r="727" spans="1:3" ht="15.75" customHeight="1">
      <c r="A727" s="13"/>
      <c r="C727" s="5"/>
    </row>
    <row r="728" spans="1:3" ht="15.75" customHeight="1">
      <c r="A728" s="13"/>
      <c r="C728" s="5"/>
    </row>
    <row r="729" spans="1:3" ht="15.75" customHeight="1">
      <c r="A729" s="13"/>
      <c r="C729" s="5"/>
    </row>
    <row r="730" spans="1:3" ht="15.75" customHeight="1">
      <c r="A730" s="13"/>
      <c r="C730" s="5"/>
    </row>
    <row r="731" spans="1:3" ht="15.75" customHeight="1">
      <c r="A731" s="13"/>
      <c r="C731" s="5"/>
    </row>
    <row r="732" spans="1:3" ht="15.75" customHeight="1">
      <c r="A732" s="13"/>
      <c r="C732" s="5"/>
    </row>
    <row r="733" spans="1:3" ht="15.75" customHeight="1">
      <c r="A733" s="13"/>
      <c r="C733" s="5"/>
    </row>
    <row r="734" spans="1:3" ht="15.75" customHeight="1">
      <c r="A734" s="13"/>
      <c r="C734" s="5"/>
    </row>
    <row r="735" spans="1:3" ht="15.75" customHeight="1">
      <c r="A735" s="13"/>
      <c r="C735" s="5"/>
    </row>
    <row r="736" spans="1:3" ht="15.75" customHeight="1">
      <c r="A736" s="13"/>
      <c r="C736" s="5"/>
    </row>
    <row r="737" spans="1:3" ht="15.75" customHeight="1">
      <c r="A737" s="13"/>
      <c r="C737" s="5"/>
    </row>
    <row r="738" spans="1:3" ht="15.75" customHeight="1">
      <c r="A738" s="13"/>
      <c r="C738" s="5"/>
    </row>
    <row r="739" spans="1:3" ht="15.75" customHeight="1">
      <c r="A739" s="13"/>
      <c r="C739" s="5"/>
    </row>
    <row r="740" spans="1:3" ht="15.75" customHeight="1">
      <c r="A740" s="13"/>
      <c r="C740" s="5"/>
    </row>
    <row r="741" spans="1:3" ht="15.75" customHeight="1">
      <c r="A741" s="13"/>
      <c r="C741" s="5"/>
    </row>
    <row r="742" spans="1:3" ht="15.75" customHeight="1">
      <c r="A742" s="13"/>
      <c r="C742" s="5"/>
    </row>
    <row r="743" spans="1:3" ht="15.75" customHeight="1">
      <c r="A743" s="13"/>
      <c r="C743" s="5"/>
    </row>
    <row r="744" spans="1:3" ht="15.75" customHeight="1">
      <c r="A744" s="13"/>
      <c r="C744" s="5"/>
    </row>
    <row r="745" spans="1:3" ht="15.75" customHeight="1">
      <c r="A745" s="13"/>
      <c r="C745" s="5"/>
    </row>
    <row r="746" spans="1:3" ht="15.75" customHeight="1">
      <c r="A746" s="13"/>
      <c r="C746" s="5"/>
    </row>
    <row r="747" spans="1:3" ht="15.75" customHeight="1">
      <c r="A747" s="13"/>
      <c r="C747" s="5"/>
    </row>
    <row r="748" spans="1:3" ht="15.75" customHeight="1">
      <c r="A748" s="13"/>
      <c r="C748" s="5"/>
    </row>
    <row r="749" spans="1:3" ht="15.75" customHeight="1">
      <c r="A749" s="13"/>
      <c r="C749" s="5"/>
    </row>
    <row r="750" spans="1:3" ht="15.75" customHeight="1">
      <c r="A750" s="13"/>
      <c r="C750" s="5"/>
    </row>
    <row r="751" spans="1:3" ht="15.75" customHeight="1">
      <c r="A751" s="13"/>
      <c r="C751" s="5"/>
    </row>
    <row r="752" spans="1:3" ht="15.75" customHeight="1">
      <c r="A752" s="13"/>
      <c r="C752" s="5"/>
    </row>
    <row r="753" spans="1:3" ht="15.75" customHeight="1">
      <c r="A753" s="13"/>
      <c r="C753" s="5"/>
    </row>
    <row r="754" spans="1:3" ht="15.75" customHeight="1">
      <c r="A754" s="13"/>
      <c r="C754" s="5"/>
    </row>
    <row r="755" spans="1:3" ht="15.75" customHeight="1">
      <c r="A755" s="13"/>
      <c r="C755" s="5"/>
    </row>
    <row r="756" spans="1:3" ht="15.75" customHeight="1">
      <c r="A756" s="13"/>
      <c r="C756" s="5"/>
    </row>
    <row r="757" spans="1:3" ht="15.75" customHeight="1">
      <c r="A757" s="13"/>
      <c r="C757" s="5"/>
    </row>
    <row r="758" spans="1:3" ht="15.75" customHeight="1">
      <c r="A758" s="13"/>
      <c r="C758" s="5"/>
    </row>
    <row r="759" spans="1:3" ht="15.75" customHeight="1">
      <c r="A759" s="13"/>
      <c r="C759" s="5"/>
    </row>
    <row r="760" spans="1:3" ht="15.75" customHeight="1">
      <c r="A760" s="13"/>
      <c r="C760" s="5"/>
    </row>
    <row r="761" spans="1:3" ht="15.75" customHeight="1">
      <c r="A761" s="13"/>
      <c r="C761" s="5"/>
    </row>
    <row r="762" spans="1:3" ht="15.75" customHeight="1">
      <c r="A762" s="13"/>
      <c r="C762" s="5"/>
    </row>
    <row r="763" spans="1:3" ht="15.75" customHeight="1">
      <c r="A763" s="13"/>
      <c r="C763" s="5"/>
    </row>
    <row r="764" spans="1:3" ht="15.75" customHeight="1">
      <c r="A764" s="13"/>
      <c r="C764" s="5"/>
    </row>
    <row r="765" spans="1:3" ht="15.75" customHeight="1">
      <c r="A765" s="13"/>
      <c r="C765" s="5"/>
    </row>
    <row r="766" spans="1:3" ht="15.75" customHeight="1">
      <c r="A766" s="13"/>
      <c r="C766" s="5"/>
    </row>
    <row r="767" spans="1:3" ht="15.75" customHeight="1">
      <c r="A767" s="13"/>
      <c r="C767" s="5"/>
    </row>
    <row r="768" spans="1:3" ht="15.75" customHeight="1">
      <c r="A768" s="13"/>
      <c r="C768" s="5"/>
    </row>
    <row r="769" spans="1:3" ht="15.75" customHeight="1">
      <c r="A769" s="13"/>
      <c r="C769" s="5"/>
    </row>
    <row r="770" spans="1:3" ht="15.75" customHeight="1">
      <c r="A770" s="13"/>
      <c r="C770" s="5"/>
    </row>
    <row r="771" spans="1:3" ht="15.75" customHeight="1">
      <c r="A771" s="13"/>
      <c r="C771" s="5"/>
    </row>
    <row r="772" spans="1:3" ht="15.75" customHeight="1">
      <c r="A772" s="13"/>
      <c r="C772" s="5"/>
    </row>
    <row r="773" spans="1:3" ht="15.75" customHeight="1">
      <c r="A773" s="13"/>
      <c r="C773" s="5"/>
    </row>
    <row r="774" spans="1:3" ht="15.75" customHeight="1">
      <c r="A774" s="13"/>
      <c r="C774" s="5"/>
    </row>
    <row r="775" spans="1:3" ht="15.75" customHeight="1">
      <c r="A775" s="13"/>
      <c r="C775" s="5"/>
    </row>
    <row r="776" spans="1:3" ht="15.75" customHeight="1">
      <c r="A776" s="13"/>
      <c r="C776" s="5"/>
    </row>
    <row r="777" spans="1:3" ht="15.75" customHeight="1">
      <c r="A777" s="13"/>
      <c r="C777" s="5"/>
    </row>
    <row r="778" spans="1:3" ht="15.75" customHeight="1">
      <c r="A778" s="13"/>
      <c r="C778" s="5"/>
    </row>
    <row r="779" spans="1:3" ht="15.75" customHeight="1">
      <c r="A779" s="13"/>
      <c r="C779" s="5"/>
    </row>
    <row r="780" spans="1:3" ht="15.75" customHeight="1">
      <c r="A780" s="13"/>
      <c r="C780" s="5"/>
    </row>
    <row r="781" spans="1:3" ht="15.75" customHeight="1">
      <c r="A781" s="13"/>
      <c r="C781" s="5"/>
    </row>
    <row r="782" spans="1:3" ht="15.75" customHeight="1">
      <c r="A782" s="13"/>
      <c r="C782" s="5"/>
    </row>
    <row r="783" spans="1:3" ht="15.75" customHeight="1">
      <c r="A783" s="13"/>
      <c r="C783" s="5"/>
    </row>
    <row r="784" spans="1:3" ht="15.75" customHeight="1">
      <c r="A784" s="13"/>
      <c r="C784" s="5"/>
    </row>
    <row r="785" spans="1:3" ht="15.75" customHeight="1">
      <c r="A785" s="13"/>
      <c r="C785" s="5"/>
    </row>
    <row r="786" spans="1:3" ht="15.75" customHeight="1">
      <c r="A786" s="13"/>
      <c r="C786" s="5"/>
    </row>
    <row r="787" spans="1:3" ht="15.75" customHeight="1">
      <c r="A787" s="13"/>
      <c r="C787" s="5"/>
    </row>
    <row r="788" spans="1:3" ht="15.75" customHeight="1">
      <c r="A788" s="13"/>
      <c r="C788" s="5"/>
    </row>
    <row r="789" spans="1:3" ht="15.75" customHeight="1">
      <c r="A789" s="13"/>
      <c r="C789" s="5"/>
    </row>
    <row r="790" spans="1:3" ht="15.75" customHeight="1">
      <c r="A790" s="13"/>
      <c r="C790" s="5"/>
    </row>
    <row r="791" spans="1:3" ht="15.75" customHeight="1">
      <c r="A791" s="13"/>
      <c r="C791" s="5"/>
    </row>
    <row r="792" spans="1:3" ht="15.75" customHeight="1">
      <c r="A792" s="13"/>
      <c r="C792" s="5"/>
    </row>
    <row r="793" spans="1:3" ht="15.75" customHeight="1">
      <c r="A793" s="13"/>
      <c r="C793" s="5"/>
    </row>
    <row r="794" spans="1:3" ht="15.75" customHeight="1">
      <c r="A794" s="13"/>
      <c r="C794" s="5"/>
    </row>
    <row r="795" spans="1:3" ht="15.75" customHeight="1">
      <c r="A795" s="13"/>
      <c r="C795" s="5"/>
    </row>
    <row r="796" spans="1:3" ht="15.75" customHeight="1">
      <c r="A796" s="13"/>
      <c r="C796" s="5"/>
    </row>
    <row r="797" spans="1:3" ht="15.75" customHeight="1">
      <c r="A797" s="13"/>
      <c r="C797" s="5"/>
    </row>
    <row r="798" spans="1:3" ht="15.75" customHeight="1">
      <c r="A798" s="13"/>
      <c r="C798" s="5"/>
    </row>
    <row r="799" spans="1:3" ht="15.75" customHeight="1">
      <c r="A799" s="13"/>
      <c r="C799" s="5"/>
    </row>
    <row r="800" spans="1:3" ht="15.75" customHeight="1">
      <c r="A800" s="13"/>
      <c r="C800" s="5"/>
    </row>
    <row r="801" spans="1:3" ht="15.75" customHeight="1">
      <c r="A801" s="13"/>
      <c r="C801" s="5"/>
    </row>
    <row r="802" spans="1:3" ht="15.75" customHeight="1">
      <c r="A802" s="13"/>
      <c r="C802" s="5"/>
    </row>
    <row r="803" spans="1:3" ht="15.75" customHeight="1">
      <c r="A803" s="13"/>
      <c r="C803" s="5"/>
    </row>
    <row r="804" spans="1:3" ht="15.75" customHeight="1">
      <c r="A804" s="13"/>
      <c r="C804" s="5"/>
    </row>
    <row r="805" spans="1:3" ht="15.75" customHeight="1">
      <c r="A805" s="13"/>
      <c r="C805" s="5"/>
    </row>
    <row r="806" spans="1:3" ht="15.75" customHeight="1">
      <c r="A806" s="13"/>
      <c r="C806" s="5"/>
    </row>
    <row r="807" spans="1:3" ht="15.75" customHeight="1">
      <c r="A807" s="13"/>
      <c r="C807" s="5"/>
    </row>
    <row r="808" spans="1:3" ht="15.75" customHeight="1">
      <c r="A808" s="13"/>
      <c r="C808" s="5"/>
    </row>
    <row r="809" spans="1:3" ht="15.75" customHeight="1">
      <c r="A809" s="13"/>
      <c r="C809" s="5"/>
    </row>
    <row r="810" spans="1:3" ht="15.75" customHeight="1">
      <c r="A810" s="13"/>
      <c r="C810" s="5"/>
    </row>
    <row r="811" spans="1:3" ht="15.75" customHeight="1">
      <c r="A811" s="13"/>
      <c r="C811" s="5"/>
    </row>
    <row r="812" spans="1:3" ht="15.75" customHeight="1">
      <c r="A812" s="13"/>
      <c r="C812" s="5"/>
    </row>
    <row r="813" spans="1:3" ht="15.75" customHeight="1">
      <c r="A813" s="13"/>
      <c r="C813" s="5"/>
    </row>
    <row r="814" spans="1:3" ht="15.75" customHeight="1">
      <c r="A814" s="13"/>
      <c r="C814" s="5"/>
    </row>
    <row r="815" spans="1:3" ht="15.75" customHeight="1">
      <c r="A815" s="13"/>
      <c r="C815" s="5"/>
    </row>
    <row r="816" spans="1:3" ht="15.75" customHeight="1">
      <c r="A816" s="13"/>
      <c r="C816" s="5"/>
    </row>
    <row r="817" spans="1:3" ht="15.75" customHeight="1">
      <c r="A817" s="13"/>
      <c r="C817" s="5"/>
    </row>
    <row r="818" spans="1:3" ht="15.75" customHeight="1">
      <c r="A818" s="13"/>
      <c r="C818" s="5"/>
    </row>
    <row r="819" spans="1:3" ht="15.75" customHeight="1">
      <c r="A819" s="13"/>
      <c r="C819" s="5"/>
    </row>
    <row r="820" spans="1:3" ht="15.75" customHeight="1">
      <c r="A820" s="13"/>
      <c r="C820" s="5"/>
    </row>
    <row r="821" spans="1:3" ht="15.75" customHeight="1">
      <c r="A821" s="13"/>
      <c r="C821" s="5"/>
    </row>
    <row r="822" spans="1:3" ht="15.75" customHeight="1">
      <c r="A822" s="13"/>
      <c r="C822" s="5"/>
    </row>
    <row r="823" spans="1:3" ht="15.75" customHeight="1">
      <c r="A823" s="13"/>
      <c r="C823" s="5"/>
    </row>
    <row r="824" spans="1:3" ht="15.75" customHeight="1">
      <c r="A824" s="13"/>
      <c r="C824" s="5"/>
    </row>
    <row r="825" spans="1:3" ht="15.75" customHeight="1">
      <c r="A825" s="13"/>
      <c r="C825" s="5"/>
    </row>
    <row r="826" spans="1:3" ht="15.75" customHeight="1">
      <c r="A826" s="13"/>
      <c r="C826" s="5"/>
    </row>
    <row r="827" spans="1:3" ht="15.75" customHeight="1">
      <c r="A827" s="13"/>
      <c r="C827" s="5"/>
    </row>
    <row r="828" spans="1:3" ht="15.75" customHeight="1">
      <c r="A828" s="13"/>
      <c r="C828" s="5"/>
    </row>
    <row r="829" spans="1:3" ht="15.75" customHeight="1">
      <c r="A829" s="13"/>
      <c r="C829" s="5"/>
    </row>
    <row r="830" spans="1:3" ht="15.75" customHeight="1">
      <c r="A830" s="13"/>
      <c r="C830" s="5"/>
    </row>
    <row r="831" spans="1:3" ht="15.75" customHeight="1">
      <c r="A831" s="13"/>
      <c r="C831" s="5"/>
    </row>
    <row r="832" spans="1:3" ht="15.75" customHeight="1">
      <c r="A832" s="13"/>
      <c r="C832" s="5"/>
    </row>
    <row r="833" spans="1:3" ht="15.75" customHeight="1">
      <c r="A833" s="13"/>
      <c r="C833" s="5"/>
    </row>
    <row r="834" spans="1:3" ht="15.75" customHeight="1">
      <c r="A834" s="13"/>
      <c r="C834" s="5"/>
    </row>
    <row r="835" spans="1:3" ht="15.75" customHeight="1">
      <c r="A835" s="13"/>
      <c r="C835" s="5"/>
    </row>
    <row r="836" spans="1:3" ht="15.75" customHeight="1">
      <c r="A836" s="13"/>
      <c r="C836" s="5"/>
    </row>
    <row r="837" spans="1:3" ht="15.75" customHeight="1">
      <c r="A837" s="13"/>
      <c r="C837" s="5"/>
    </row>
    <row r="838" spans="1:3" ht="15.75" customHeight="1">
      <c r="A838" s="13"/>
      <c r="C838" s="5"/>
    </row>
    <row r="839" spans="1:3" ht="15.75" customHeight="1">
      <c r="A839" s="13"/>
      <c r="C839" s="5"/>
    </row>
    <row r="840" spans="1:3" ht="15.75" customHeight="1">
      <c r="A840" s="13"/>
      <c r="C840" s="5"/>
    </row>
    <row r="841" spans="1:3" ht="15.75" customHeight="1">
      <c r="A841" s="13"/>
      <c r="C841" s="5"/>
    </row>
    <row r="842" spans="1:3" ht="15.75" customHeight="1">
      <c r="A842" s="13"/>
      <c r="C842" s="5"/>
    </row>
    <row r="843" spans="1:3" ht="15.75" customHeight="1">
      <c r="A843" s="13"/>
      <c r="C843" s="5"/>
    </row>
    <row r="844" spans="1:3" ht="15.75" customHeight="1">
      <c r="A844" s="13"/>
      <c r="C844" s="5"/>
    </row>
    <row r="845" spans="1:3" ht="15.75" customHeight="1">
      <c r="A845" s="13"/>
      <c r="C845" s="5"/>
    </row>
    <row r="846" spans="1:3" ht="15.75" customHeight="1">
      <c r="A846" s="13"/>
      <c r="C846" s="5"/>
    </row>
    <row r="847" spans="1:3" ht="15.75" customHeight="1">
      <c r="A847" s="13"/>
      <c r="C847" s="5"/>
    </row>
    <row r="848" spans="1:3" ht="15.75" customHeight="1">
      <c r="A848" s="13"/>
      <c r="C848" s="5"/>
    </row>
    <row r="849" spans="1:3" ht="15.75" customHeight="1">
      <c r="A849" s="13"/>
      <c r="C849" s="5"/>
    </row>
    <row r="850" spans="1:3" ht="15.75" customHeight="1">
      <c r="A850" s="13"/>
      <c r="C850" s="5"/>
    </row>
    <row r="851" spans="1:3" ht="15.75" customHeight="1">
      <c r="A851" s="13"/>
      <c r="C851" s="5"/>
    </row>
    <row r="852" spans="1:3" ht="15.75" customHeight="1">
      <c r="A852" s="13"/>
      <c r="C852" s="5"/>
    </row>
    <row r="853" spans="1:3" ht="15.75" customHeight="1">
      <c r="A853" s="13"/>
      <c r="C853" s="5"/>
    </row>
    <row r="854" spans="1:3" ht="15.75" customHeight="1">
      <c r="A854" s="13"/>
      <c r="C854" s="5"/>
    </row>
    <row r="855" spans="1:3" ht="15.75" customHeight="1">
      <c r="A855" s="13"/>
      <c r="C855" s="5"/>
    </row>
    <row r="856" spans="1:3" ht="15.75" customHeight="1">
      <c r="A856" s="13"/>
      <c r="C856" s="5"/>
    </row>
    <row r="857" spans="1:3" ht="15.75" customHeight="1">
      <c r="A857" s="13"/>
      <c r="C857" s="5"/>
    </row>
    <row r="858" spans="1:3" ht="15.75" customHeight="1">
      <c r="A858" s="13"/>
      <c r="C858" s="5"/>
    </row>
    <row r="859" spans="1:3" ht="15.75" customHeight="1">
      <c r="A859" s="13"/>
      <c r="C859" s="5"/>
    </row>
    <row r="860" spans="1:3" ht="15.75" customHeight="1">
      <c r="A860" s="13"/>
      <c r="C860" s="5"/>
    </row>
    <row r="861" spans="1:3" ht="15.75" customHeight="1">
      <c r="A861" s="13"/>
      <c r="C861" s="5"/>
    </row>
    <row r="862" spans="1:3" ht="15.75" customHeight="1">
      <c r="A862" s="13"/>
      <c r="C862" s="5"/>
    </row>
    <row r="863" spans="1:3" ht="15.75" customHeight="1">
      <c r="A863" s="13"/>
      <c r="C863" s="5"/>
    </row>
    <row r="864" spans="1:3" ht="15.75" customHeight="1">
      <c r="A864" s="13"/>
      <c r="C864" s="5"/>
    </row>
    <row r="865" spans="1:3" ht="15.75" customHeight="1">
      <c r="A865" s="13"/>
      <c r="C865" s="5"/>
    </row>
    <row r="866" spans="1:3" ht="15.75" customHeight="1">
      <c r="A866" s="13"/>
      <c r="C866" s="5"/>
    </row>
    <row r="867" spans="1:3" ht="15.75" customHeight="1">
      <c r="A867" s="13"/>
      <c r="C867" s="5"/>
    </row>
    <row r="868" spans="1:3" ht="15.75" customHeight="1">
      <c r="A868" s="13"/>
      <c r="C868" s="5"/>
    </row>
    <row r="869" spans="1:3" ht="15.75" customHeight="1">
      <c r="A869" s="13"/>
      <c r="C869" s="5"/>
    </row>
    <row r="870" spans="1:3" ht="15.75" customHeight="1">
      <c r="A870" s="13"/>
      <c r="C870" s="5"/>
    </row>
    <row r="871" spans="1:3" ht="15.75" customHeight="1">
      <c r="A871" s="13"/>
      <c r="C871" s="5"/>
    </row>
    <row r="872" spans="1:3" ht="15.75" customHeight="1">
      <c r="A872" s="13"/>
      <c r="C872" s="5"/>
    </row>
    <row r="873" spans="1:3" ht="15.75" customHeight="1">
      <c r="A873" s="13"/>
      <c r="C873" s="5"/>
    </row>
    <row r="874" spans="1:3" ht="15.75" customHeight="1">
      <c r="A874" s="13"/>
      <c r="C874" s="5"/>
    </row>
    <row r="875" spans="1:3" ht="15.75" customHeight="1">
      <c r="A875" s="13"/>
      <c r="C875" s="5"/>
    </row>
    <row r="876" spans="1:3" ht="15.75" customHeight="1">
      <c r="A876" s="13"/>
      <c r="C876" s="5"/>
    </row>
    <row r="877" spans="1:3" ht="15.75" customHeight="1">
      <c r="A877" s="13"/>
      <c r="C877" s="5"/>
    </row>
    <row r="878" spans="1:3" ht="15.75" customHeight="1">
      <c r="A878" s="13"/>
      <c r="C878" s="5"/>
    </row>
    <row r="879" spans="1:3" ht="15.75" customHeight="1">
      <c r="A879" s="13"/>
      <c r="C879" s="5"/>
    </row>
    <row r="880" spans="1:3" ht="15.75" customHeight="1">
      <c r="A880" s="13"/>
      <c r="C880" s="5"/>
    </row>
    <row r="881" spans="1:3" ht="15.75" customHeight="1">
      <c r="A881" s="13"/>
      <c r="C881" s="5"/>
    </row>
    <row r="882" spans="1:3" ht="15.75" customHeight="1">
      <c r="A882" s="13"/>
      <c r="C882" s="5"/>
    </row>
    <row r="883" spans="1:3" ht="15.75" customHeight="1">
      <c r="A883" s="13"/>
      <c r="C883" s="5"/>
    </row>
    <row r="884" spans="1:3" ht="15.75" customHeight="1">
      <c r="A884" s="13"/>
      <c r="C884" s="5"/>
    </row>
    <row r="885" spans="1:3" ht="15.75" customHeight="1">
      <c r="A885" s="13"/>
      <c r="C885" s="5"/>
    </row>
    <row r="886" spans="1:3" ht="15.75" customHeight="1">
      <c r="A886" s="13"/>
      <c r="C886" s="5"/>
    </row>
    <row r="887" spans="1:3" ht="15.75" customHeight="1">
      <c r="A887" s="13"/>
      <c r="C887" s="5"/>
    </row>
    <row r="888" spans="1:3" ht="15.75" customHeight="1">
      <c r="A888" s="13"/>
      <c r="C888" s="5"/>
    </row>
    <row r="889" spans="1:3" ht="15.75" customHeight="1">
      <c r="A889" s="13"/>
      <c r="C889" s="5"/>
    </row>
    <row r="890" spans="1:3" ht="15.75" customHeight="1">
      <c r="A890" s="13"/>
      <c r="C890" s="5"/>
    </row>
    <row r="891" spans="1:3" ht="15.75" customHeight="1">
      <c r="A891" s="13"/>
      <c r="C891" s="5"/>
    </row>
    <row r="892" spans="1:3" ht="15.75" customHeight="1">
      <c r="A892" s="13"/>
      <c r="C892" s="5"/>
    </row>
    <row r="893" spans="1:3" ht="15.75" customHeight="1">
      <c r="A893" s="13"/>
      <c r="C893" s="5"/>
    </row>
    <row r="894" spans="1:3" ht="15.75" customHeight="1">
      <c r="A894" s="13"/>
      <c r="C894" s="5"/>
    </row>
    <row r="895" spans="1:3" ht="15.75" customHeight="1">
      <c r="A895" s="13"/>
      <c r="C895" s="5"/>
    </row>
    <row r="896" spans="1:3" ht="15.75" customHeight="1">
      <c r="A896" s="13"/>
      <c r="C896" s="5"/>
    </row>
    <row r="897" spans="1:3" ht="15.75" customHeight="1">
      <c r="A897" s="13"/>
      <c r="C897" s="5"/>
    </row>
    <row r="898" spans="1:3" ht="15.75" customHeight="1">
      <c r="A898" s="13"/>
      <c r="C898" s="5"/>
    </row>
    <row r="899" spans="1:3" ht="15.75" customHeight="1">
      <c r="A899" s="13"/>
      <c r="C899" s="5"/>
    </row>
    <row r="900" spans="1:3" ht="15.75" customHeight="1">
      <c r="A900" s="13"/>
      <c r="C900" s="5"/>
    </row>
    <row r="901" spans="1:3" ht="15.75" customHeight="1">
      <c r="A901" s="13"/>
      <c r="C901" s="5"/>
    </row>
    <row r="902" spans="1:3" ht="15.75" customHeight="1">
      <c r="A902" s="13"/>
      <c r="C902" s="5"/>
    </row>
    <row r="903" spans="1:3" ht="15.75" customHeight="1">
      <c r="A903" s="13"/>
      <c r="C903" s="5"/>
    </row>
    <row r="904" spans="1:3" ht="15.75" customHeight="1">
      <c r="A904" s="13"/>
      <c r="C904" s="5"/>
    </row>
    <row r="905" spans="1:3" ht="15.75" customHeight="1">
      <c r="A905" s="13"/>
      <c r="C905" s="5"/>
    </row>
    <row r="906" spans="1:3" ht="15.75" customHeight="1">
      <c r="A906" s="13"/>
      <c r="C906" s="5"/>
    </row>
    <row r="907" spans="1:3" ht="15.75" customHeight="1">
      <c r="A907" s="13"/>
      <c r="C907" s="5"/>
    </row>
    <row r="908" spans="1:3" ht="15.75" customHeight="1">
      <c r="A908" s="13"/>
      <c r="C908" s="5"/>
    </row>
    <row r="909" spans="1:3" ht="15.75" customHeight="1">
      <c r="A909" s="13"/>
      <c r="C909" s="5"/>
    </row>
    <row r="910" spans="1:3" ht="15.75" customHeight="1">
      <c r="A910" s="13"/>
      <c r="C910" s="5"/>
    </row>
    <row r="911" spans="1:3" ht="15.75" customHeight="1">
      <c r="A911" s="13"/>
      <c r="C911" s="5"/>
    </row>
    <row r="912" spans="1:3" ht="15.75" customHeight="1">
      <c r="A912" s="13"/>
      <c r="C912" s="5"/>
    </row>
    <row r="913" spans="1:3" ht="15.75" customHeight="1">
      <c r="A913" s="13"/>
      <c r="C913" s="5"/>
    </row>
    <row r="914" spans="1:3" ht="15.75" customHeight="1">
      <c r="A914" s="13"/>
      <c r="C914" s="5"/>
    </row>
    <row r="915" spans="1:3" ht="15.75" customHeight="1">
      <c r="A915" s="13"/>
      <c r="C915" s="5"/>
    </row>
    <row r="916" spans="1:3" ht="15.75" customHeight="1">
      <c r="A916" s="13"/>
      <c r="C916" s="5"/>
    </row>
    <row r="917" spans="1:3" ht="15.75" customHeight="1">
      <c r="A917" s="13"/>
      <c r="C917" s="5"/>
    </row>
    <row r="918" spans="1:3" ht="15.75" customHeight="1">
      <c r="A918" s="13"/>
      <c r="C918" s="5"/>
    </row>
    <row r="919" spans="1:3" ht="15.75" customHeight="1">
      <c r="A919" s="13"/>
      <c r="C919" s="5"/>
    </row>
    <row r="920" spans="1:3" ht="15.75" customHeight="1">
      <c r="A920" s="13"/>
      <c r="C920" s="5"/>
    </row>
    <row r="921" spans="1:3" ht="15.75" customHeight="1">
      <c r="A921" s="13"/>
      <c r="C921" s="5"/>
    </row>
    <row r="922" spans="1:3" ht="15.75" customHeight="1">
      <c r="A922" s="13"/>
      <c r="C922" s="5"/>
    </row>
    <row r="923" spans="1:3" ht="15.75" customHeight="1">
      <c r="A923" s="13"/>
      <c r="C923" s="5"/>
    </row>
    <row r="924" spans="1:3" ht="15.75" customHeight="1">
      <c r="A924" s="13"/>
      <c r="C924" s="5"/>
    </row>
    <row r="925" spans="1:3" ht="15.75" customHeight="1">
      <c r="A925" s="13"/>
      <c r="C925" s="5"/>
    </row>
    <row r="926" spans="1:3" ht="15.75" customHeight="1">
      <c r="A926" s="13"/>
      <c r="C926" s="5"/>
    </row>
    <row r="927" spans="1:3" ht="15.75" customHeight="1">
      <c r="A927" s="13"/>
      <c r="C927" s="5"/>
    </row>
    <row r="928" spans="1:3" ht="15.75" customHeight="1">
      <c r="A928" s="13"/>
      <c r="C928" s="5"/>
    </row>
    <row r="929" spans="1:3" ht="15.75" customHeight="1">
      <c r="A929" s="13"/>
      <c r="C929" s="5"/>
    </row>
    <row r="930" spans="1:3" ht="15.75" customHeight="1">
      <c r="A930" s="13"/>
      <c r="C930" s="5"/>
    </row>
    <row r="931" spans="1:3" ht="15.75" customHeight="1">
      <c r="A931" s="13"/>
      <c r="C931" s="5"/>
    </row>
    <row r="932" spans="1:3" ht="15.75" customHeight="1">
      <c r="A932" s="13"/>
      <c r="C932" s="5"/>
    </row>
    <row r="933" spans="1:3" ht="15.75" customHeight="1">
      <c r="A933" s="13"/>
      <c r="C933" s="5"/>
    </row>
    <row r="934" spans="1:3" ht="15.75" customHeight="1">
      <c r="A934" s="13"/>
      <c r="C934" s="5"/>
    </row>
    <row r="935" spans="1:3" ht="15.75" customHeight="1">
      <c r="A935" s="13"/>
      <c r="C935" s="5"/>
    </row>
    <row r="936" spans="1:3" ht="15.75" customHeight="1">
      <c r="A936" s="13"/>
      <c r="C936" s="5"/>
    </row>
    <row r="937" spans="1:3" ht="15.75" customHeight="1">
      <c r="A937" s="13"/>
      <c r="C937" s="5"/>
    </row>
    <row r="938" spans="1:3" ht="15.75" customHeight="1">
      <c r="A938" s="13"/>
      <c r="C938" s="5"/>
    </row>
    <row r="939" spans="1:3" ht="15.75" customHeight="1">
      <c r="A939" s="13"/>
      <c r="C939" s="5"/>
    </row>
    <row r="940" spans="1:3" ht="15.75" customHeight="1">
      <c r="A940" s="13"/>
      <c r="C940" s="5"/>
    </row>
    <row r="941" spans="1:3" ht="15.75" customHeight="1">
      <c r="A941" s="13"/>
      <c r="C941" s="5"/>
    </row>
    <row r="942" spans="1:3" ht="15.75" customHeight="1">
      <c r="A942" s="13"/>
      <c r="C942" s="5"/>
    </row>
    <row r="943" spans="1:3" ht="15.75" customHeight="1">
      <c r="A943" s="13"/>
      <c r="C943" s="5"/>
    </row>
    <row r="944" spans="1:3" ht="15.75" customHeight="1">
      <c r="A944" s="13"/>
      <c r="C944" s="5"/>
    </row>
    <row r="945" spans="1:3" ht="15.75" customHeight="1">
      <c r="A945" s="13"/>
      <c r="C945" s="5"/>
    </row>
    <row r="946" spans="1:3" ht="15.75" customHeight="1">
      <c r="A946" s="13"/>
      <c r="C946" s="5"/>
    </row>
    <row r="947" spans="1:3" ht="15.75" customHeight="1">
      <c r="A947" s="13"/>
      <c r="C947" s="5"/>
    </row>
    <row r="948" spans="1:3" ht="15.75" customHeight="1">
      <c r="A948" s="13"/>
      <c r="C948" s="5"/>
    </row>
    <row r="949" spans="1:3" ht="15.75" customHeight="1">
      <c r="A949" s="13"/>
      <c r="C949" s="5"/>
    </row>
    <row r="950" spans="1:3" ht="15.75" customHeight="1">
      <c r="A950" s="13"/>
      <c r="C950" s="5"/>
    </row>
    <row r="951" spans="1:3" ht="15.75" customHeight="1">
      <c r="A951" s="13"/>
      <c r="C951" s="5"/>
    </row>
    <row r="952" spans="1:3" ht="15.75" customHeight="1">
      <c r="A952" s="13"/>
      <c r="C952" s="5"/>
    </row>
    <row r="953" spans="1:3" ht="15.75" customHeight="1">
      <c r="A953" s="13"/>
      <c r="C953" s="5"/>
    </row>
    <row r="954" spans="1:3" ht="15.75" customHeight="1">
      <c r="A954" s="13"/>
      <c r="C954" s="5"/>
    </row>
    <row r="955" spans="1:3" ht="15.75" customHeight="1">
      <c r="A955" s="13"/>
      <c r="C955" s="5"/>
    </row>
    <row r="956" spans="1:3" ht="15.75" customHeight="1">
      <c r="A956" s="13"/>
      <c r="C956" s="5"/>
    </row>
    <row r="957" spans="1:3" ht="15.75" customHeight="1">
      <c r="A957" s="13"/>
      <c r="C957" s="5"/>
    </row>
    <row r="958" spans="1:3" ht="15.75" customHeight="1">
      <c r="A958" s="13"/>
      <c r="C958" s="5"/>
    </row>
    <row r="959" spans="1:3" ht="15.75" customHeight="1">
      <c r="A959" s="13"/>
      <c r="C959" s="5"/>
    </row>
    <row r="960" spans="1:3" ht="15.75" customHeight="1">
      <c r="A960" s="13"/>
      <c r="C960" s="5"/>
    </row>
    <row r="961" spans="1:3" ht="15.75" customHeight="1">
      <c r="A961" s="13"/>
      <c r="C961" s="5"/>
    </row>
    <row r="962" spans="1:3" ht="15.75" customHeight="1">
      <c r="A962" s="13"/>
      <c r="C962" s="5"/>
    </row>
    <row r="963" spans="1:3" ht="15.75" customHeight="1">
      <c r="A963" s="13"/>
      <c r="C963" s="5"/>
    </row>
    <row r="964" spans="1:3" ht="15.75" customHeight="1">
      <c r="A964" s="13"/>
      <c r="C964" s="5"/>
    </row>
    <row r="965" spans="1:3" ht="15.75" customHeight="1">
      <c r="A965" s="13"/>
      <c r="C965" s="5"/>
    </row>
    <row r="966" spans="1:3" ht="15.75" customHeight="1">
      <c r="A966" s="13"/>
      <c r="C966" s="5"/>
    </row>
    <row r="967" spans="1:3" ht="15.75" customHeight="1">
      <c r="A967" s="13"/>
      <c r="C967" s="5"/>
    </row>
    <row r="968" spans="1:3" ht="15.75" customHeight="1">
      <c r="A968" s="13"/>
      <c r="C968" s="5"/>
    </row>
    <row r="969" spans="1:3" ht="15.75" customHeight="1">
      <c r="A969" s="13"/>
      <c r="C969" s="5"/>
    </row>
    <row r="970" spans="1:3" ht="15.75" customHeight="1">
      <c r="A970" s="13"/>
      <c r="C970" s="5"/>
    </row>
    <row r="971" spans="1:3" ht="15.75" customHeight="1">
      <c r="A971" s="13"/>
      <c r="C971" s="5"/>
    </row>
    <row r="972" spans="1:3" ht="15.75" customHeight="1">
      <c r="A972" s="13"/>
      <c r="C972" s="5"/>
    </row>
    <row r="973" spans="1:3" ht="15.75" customHeight="1">
      <c r="A973" s="13"/>
      <c r="C973" s="5"/>
    </row>
    <row r="974" spans="1:3" ht="15.75" customHeight="1">
      <c r="A974" s="13"/>
      <c r="C974" s="5"/>
    </row>
    <row r="975" spans="1:3" ht="15.75" customHeight="1">
      <c r="A975" s="13"/>
      <c r="C975" s="5"/>
    </row>
    <row r="976" spans="1:3" ht="15.75" customHeight="1">
      <c r="A976" s="13"/>
      <c r="C976" s="5"/>
    </row>
    <row r="977" spans="1:3" ht="15.75" customHeight="1">
      <c r="A977" s="13"/>
      <c r="C977" s="5"/>
    </row>
    <row r="978" spans="1:3" ht="15.75" customHeight="1">
      <c r="A978" s="13"/>
      <c r="C978" s="5"/>
    </row>
    <row r="979" spans="1:3" ht="15.75" customHeight="1">
      <c r="A979" s="13"/>
      <c r="C979" s="5"/>
    </row>
    <row r="980" spans="1:3" ht="15.75" customHeight="1">
      <c r="A980" s="13"/>
      <c r="C980" s="5"/>
    </row>
    <row r="981" spans="1:3" ht="15.75" customHeight="1">
      <c r="A981" s="13"/>
      <c r="C981" s="5"/>
    </row>
    <row r="982" spans="1:3" ht="15.75" customHeight="1">
      <c r="A982" s="13"/>
      <c r="C982" s="5"/>
    </row>
    <row r="983" spans="1:3" ht="15.75" customHeight="1">
      <c r="A983" s="13"/>
      <c r="C983" s="5"/>
    </row>
    <row r="984" spans="1:3" ht="15.75" customHeight="1">
      <c r="A984" s="13"/>
      <c r="C984" s="5"/>
    </row>
    <row r="985" spans="1:3" ht="15.75" customHeight="1">
      <c r="A985" s="13"/>
      <c r="C985" s="5"/>
    </row>
    <row r="986" spans="1:3" ht="15.75" customHeight="1">
      <c r="A986" s="13"/>
      <c r="C986" s="5"/>
    </row>
    <row r="987" spans="1:3" ht="15.75" customHeight="1">
      <c r="A987" s="13"/>
      <c r="C987" s="5"/>
    </row>
    <row r="988" spans="1:3" ht="15.75" customHeight="1">
      <c r="A988" s="13"/>
      <c r="C988" s="5"/>
    </row>
    <row r="989" spans="1:3" ht="15.75" customHeight="1">
      <c r="A989" s="13"/>
      <c r="C989" s="5"/>
    </row>
    <row r="990" spans="1:3" ht="15.75" customHeight="1">
      <c r="A990" s="13"/>
      <c r="C990" s="5"/>
    </row>
    <row r="991" spans="1:3" ht="15.75" customHeight="1">
      <c r="A991" s="13"/>
      <c r="C991" s="5"/>
    </row>
    <row r="992" spans="1:3" ht="15.75" customHeight="1">
      <c r="A992" s="13"/>
      <c r="C992" s="5"/>
    </row>
    <row r="993" spans="1:3" ht="15.75" customHeight="1">
      <c r="A993" s="13"/>
      <c r="C993" s="5"/>
    </row>
    <row r="994" spans="1:3" ht="15.75" customHeight="1">
      <c r="A994" s="13"/>
      <c r="C994" s="5"/>
    </row>
    <row r="995" spans="1:3" ht="15.75" customHeight="1">
      <c r="A995" s="13"/>
      <c r="C995" s="5"/>
    </row>
    <row r="996" spans="1:3" ht="15.75" customHeight="1">
      <c r="A996" s="13"/>
      <c r="C996" s="5"/>
    </row>
    <row r="997" spans="1:3" ht="15.75" customHeight="1">
      <c r="A997" s="13"/>
      <c r="C997" s="5"/>
    </row>
    <row r="998" spans="1:3" ht="15.75" customHeight="1">
      <c r="A998" s="13"/>
      <c r="C998" s="5"/>
    </row>
    <row r="999" spans="1:3" ht="15.75" customHeight="1">
      <c r="A999" s="13"/>
      <c r="C999" s="5"/>
    </row>
    <row r="1000" spans="1:3" ht="15.75" customHeight="1">
      <c r="A1000" s="13"/>
      <c r="C1000" s="5"/>
    </row>
    <row r="1001" spans="1:3" ht="15.75" customHeight="1">
      <c r="A1001" s="13"/>
      <c r="C1001" s="5"/>
    </row>
    <row r="1002" spans="1:3" ht="15.75" customHeight="1">
      <c r="A1002" s="13"/>
      <c r="C1002" s="5"/>
    </row>
    <row r="1003" spans="1:3" ht="15.75" customHeight="1">
      <c r="A1003" s="13"/>
      <c r="C1003" s="5"/>
    </row>
    <row r="1004" spans="1:3" ht="15.75" customHeight="1">
      <c r="A1004" s="13"/>
      <c r="C1004" s="5"/>
    </row>
    <row r="1005" spans="1:3" ht="15.75" customHeight="1">
      <c r="A1005" s="13"/>
      <c r="C1005" s="5"/>
    </row>
    <row r="1006" spans="1:3" ht="15.75" customHeight="1">
      <c r="A1006" s="13"/>
      <c r="C1006" s="5"/>
    </row>
    <row r="1007" spans="1:3" ht="15.75" customHeight="1">
      <c r="A1007" s="13"/>
      <c r="C1007" s="5"/>
    </row>
    <row r="1008" spans="1:3" ht="15.75" customHeight="1">
      <c r="A1008" s="13"/>
      <c r="C1008" s="5"/>
    </row>
    <row r="1009" spans="1:3" ht="15.75" customHeight="1">
      <c r="A1009" s="13"/>
      <c r="C1009" s="5"/>
    </row>
    <row r="1010" spans="1:3" ht="15.75" customHeight="1">
      <c r="A1010" s="13"/>
      <c r="C1010" s="5"/>
    </row>
    <row r="1011" spans="1:3" ht="15.75" customHeight="1">
      <c r="A1011" s="13"/>
      <c r="C1011" s="5"/>
    </row>
    <row r="1012" spans="1:3" ht="15.75" customHeight="1">
      <c r="A1012" s="13"/>
      <c r="C1012" s="5"/>
    </row>
    <row r="1013" spans="1:3" ht="15.75" customHeight="1">
      <c r="A1013" s="13"/>
      <c r="C1013" s="5"/>
    </row>
    <row r="1014" spans="1:3" ht="15.75" customHeight="1">
      <c r="A1014" s="13"/>
      <c r="C1014" s="5"/>
    </row>
    <row r="1015" spans="1:3" ht="15.75" customHeight="1">
      <c r="A1015" s="13"/>
      <c r="C1015" s="5"/>
    </row>
    <row r="1016" spans="1:3" ht="15.75" customHeight="1">
      <c r="A1016" s="13"/>
      <c r="C1016" s="5"/>
    </row>
    <row r="1017" spans="1:3" ht="15.75" customHeight="1">
      <c r="A1017" s="13"/>
      <c r="C1017" s="5"/>
    </row>
    <row r="1018" spans="1:3" ht="15.75" customHeight="1">
      <c r="A1018" s="13"/>
      <c r="C1018" s="5"/>
    </row>
    <row r="1019" spans="1:3" ht="15.75" customHeight="1">
      <c r="A1019" s="13"/>
      <c r="C1019" s="5"/>
    </row>
    <row r="1020" spans="1:3" ht="15.75" customHeight="1">
      <c r="A1020" s="13"/>
      <c r="C1020" s="5"/>
    </row>
    <row r="1021" spans="1:3" ht="15.75" customHeight="1">
      <c r="A1021" s="13"/>
      <c r="C1021" s="5"/>
    </row>
    <row r="1022" spans="1:3" ht="15.75" customHeight="1">
      <c r="A1022" s="13"/>
      <c r="C1022" s="5"/>
    </row>
    <row r="1023" spans="1:3" ht="15.75" customHeight="1">
      <c r="A1023" s="13"/>
      <c r="C1023" s="5"/>
    </row>
    <row r="1024" spans="1:3" ht="15.75" customHeight="1">
      <c r="A1024" s="13"/>
      <c r="C1024" s="5"/>
    </row>
    <row r="1025" spans="1:3" ht="15.75" customHeight="1">
      <c r="A1025" s="13"/>
      <c r="C1025" s="5"/>
    </row>
    <row r="1026" spans="1:3" ht="15.75" customHeight="1">
      <c r="A1026" s="13"/>
      <c r="C1026" s="5"/>
    </row>
    <row r="1027" spans="1:3" ht="15.75" customHeight="1">
      <c r="A1027" s="13"/>
      <c r="C1027" s="5"/>
    </row>
    <row r="1028" spans="1:3" ht="15.75" customHeight="1">
      <c r="A1028" s="13"/>
      <c r="C1028" s="5"/>
    </row>
    <row r="1029" spans="1:3" ht="15.75" customHeight="1">
      <c r="A1029" s="13"/>
      <c r="C1029" s="5"/>
    </row>
    <row r="1030" spans="1:3" ht="15.75" customHeight="1">
      <c r="A1030" s="13"/>
      <c r="C1030" s="5"/>
    </row>
    <row r="1031" spans="1:3" ht="15.75" customHeight="1">
      <c r="A1031" s="13"/>
      <c r="C1031" s="5"/>
    </row>
    <row r="1032" spans="1:3" ht="15.75" customHeight="1">
      <c r="A1032" s="13"/>
      <c r="C1032" s="5"/>
    </row>
    <row r="1033" spans="1:3" ht="15.75" customHeight="1">
      <c r="A1033" s="13"/>
      <c r="C1033" s="5"/>
    </row>
    <row r="1034" spans="1:3" ht="15.75" customHeight="1">
      <c r="A1034" s="13"/>
      <c r="C1034" s="5"/>
    </row>
    <row r="1035" spans="1:3" ht="15.75" customHeight="1">
      <c r="A1035" s="13"/>
      <c r="C1035" s="5"/>
    </row>
    <row r="1036" spans="1:3" ht="15.75" customHeight="1">
      <c r="A1036" s="13"/>
      <c r="C1036" s="5"/>
    </row>
    <row r="1037" spans="1:3" ht="15.75" customHeight="1">
      <c r="A1037" s="13"/>
      <c r="C1037" s="5"/>
    </row>
    <row r="1038" spans="1:3" ht="15.75" customHeight="1">
      <c r="A1038" s="13"/>
      <c r="C1038" s="5"/>
    </row>
    <row r="1039" spans="1:3" ht="15.75" customHeight="1">
      <c r="A1039" s="13"/>
      <c r="C1039" s="5"/>
    </row>
    <row r="1040" spans="1:3" ht="15.75" customHeight="1">
      <c r="A1040" s="13"/>
      <c r="C1040" s="5"/>
    </row>
    <row r="1041" spans="1:3" ht="15.75" customHeight="1">
      <c r="A1041" s="13"/>
      <c r="C1041" s="5"/>
    </row>
    <row r="1042" spans="1:3" ht="15.75" customHeight="1">
      <c r="A1042" s="13"/>
      <c r="C1042" s="5"/>
    </row>
    <row r="1043" spans="1:3" ht="15.75" customHeight="1">
      <c r="A1043" s="13"/>
      <c r="C1043" s="5"/>
    </row>
    <row r="1044" spans="1:3" ht="15.75" customHeight="1">
      <c r="A1044" s="13"/>
      <c r="C1044" s="5"/>
    </row>
    <row r="1045" spans="1:3" ht="15.75" customHeight="1">
      <c r="A1045" s="13"/>
      <c r="C1045" s="5"/>
    </row>
    <row r="1046" spans="1:3" ht="15.75" customHeight="1">
      <c r="A1046" s="13"/>
      <c r="C1046" s="5"/>
    </row>
    <row r="1047" spans="1:3" ht="15.75" customHeight="1">
      <c r="A1047" s="13"/>
      <c r="C1047" s="5"/>
    </row>
    <row r="1048" spans="1:3" ht="15.75" customHeight="1">
      <c r="A1048" s="13"/>
      <c r="C1048" s="5"/>
    </row>
    <row r="1049" spans="1:3" ht="15.75" customHeight="1">
      <c r="A1049" s="13"/>
      <c r="C1049" s="5"/>
    </row>
    <row r="1050" spans="1:3" ht="15.75" customHeight="1">
      <c r="A1050" s="13"/>
      <c r="C1050" s="5"/>
    </row>
    <row r="1051" spans="1:3" ht="15.75" customHeight="1">
      <c r="A1051" s="13"/>
      <c r="C1051" s="5"/>
    </row>
    <row r="1052" spans="1:3" ht="15.75" customHeight="1">
      <c r="A1052" s="13"/>
      <c r="C1052" s="5"/>
    </row>
    <row r="1053" spans="1:3" ht="15.75" customHeight="1">
      <c r="A1053" s="13"/>
      <c r="C1053" s="5"/>
    </row>
    <row r="1054" spans="1:3" ht="15.75" customHeight="1">
      <c r="A1054" s="13"/>
      <c r="C1054" s="5"/>
    </row>
    <row r="1055" spans="1:3" ht="15.75" customHeight="1">
      <c r="A1055" s="13"/>
      <c r="C1055" s="5"/>
    </row>
    <row r="1056" spans="1:3" ht="15.75" customHeight="1">
      <c r="A1056" s="13"/>
      <c r="C1056" s="5"/>
    </row>
    <row r="1057" spans="1:3" ht="15.75" customHeight="1">
      <c r="A1057" s="13"/>
      <c r="C1057" s="5"/>
    </row>
    <row r="1058" spans="1:3" ht="15.75" customHeight="1">
      <c r="A1058" s="13"/>
      <c r="C1058" s="5"/>
    </row>
    <row r="1059" spans="1:3" ht="15.75" customHeight="1">
      <c r="A1059" s="13"/>
      <c r="C1059" s="5"/>
    </row>
    <row r="1060" spans="1:3" ht="15.75" customHeight="1">
      <c r="A1060" s="13"/>
      <c r="C1060" s="5"/>
    </row>
    <row r="1061" spans="1:3" ht="15.75" customHeight="1">
      <c r="A1061" s="13"/>
      <c r="C1061" s="5"/>
    </row>
    <row r="1062" spans="1:3" ht="15.75" customHeight="1">
      <c r="A1062" s="13"/>
      <c r="C1062" s="5"/>
    </row>
    <row r="1063" spans="1:3" ht="15.75" customHeight="1">
      <c r="A1063" s="13"/>
      <c r="C1063" s="5"/>
    </row>
    <row r="1064" spans="1:3" ht="15.75" customHeight="1">
      <c r="A1064" s="13"/>
      <c r="C1064" s="5"/>
    </row>
    <row r="1065" spans="1:3" ht="15.75" customHeight="1">
      <c r="A1065" s="13"/>
      <c r="C1065" s="5"/>
    </row>
    <row r="1066" spans="1:3" ht="15.75" customHeight="1">
      <c r="A1066" s="13"/>
      <c r="C1066" s="5"/>
    </row>
    <row r="1067" spans="1:3" ht="15.75" customHeight="1">
      <c r="A1067" s="13"/>
      <c r="C1067" s="5"/>
    </row>
    <row r="1068" spans="1:3" ht="15.75" customHeight="1">
      <c r="A1068" s="13"/>
      <c r="C1068" s="5"/>
    </row>
    <row r="1069" spans="1:3" ht="15.75" customHeight="1">
      <c r="A1069" s="13"/>
      <c r="C1069" s="5"/>
    </row>
    <row r="1070" spans="1:3" ht="15.75" customHeight="1">
      <c r="A1070" s="13"/>
      <c r="C1070" s="5"/>
    </row>
    <row r="1071" spans="1:3" ht="15.75" customHeight="1">
      <c r="A1071" s="13"/>
      <c r="C1071" s="5"/>
    </row>
    <row r="1072" spans="1:3" ht="15.75" customHeight="1">
      <c r="A1072" s="13"/>
      <c r="C1072" s="5"/>
    </row>
    <row r="1073" spans="1:3" ht="15.75" customHeight="1">
      <c r="A1073" s="13"/>
      <c r="C1073" s="5"/>
    </row>
    <row r="1074" spans="1:3" ht="15.75" customHeight="1">
      <c r="A1074" s="13"/>
      <c r="C1074" s="5"/>
    </row>
    <row r="1075" spans="1:3" ht="15.75" customHeight="1">
      <c r="A1075" s="13"/>
      <c r="C1075" s="5"/>
    </row>
    <row r="1076" spans="1:3" ht="15.75" customHeight="1">
      <c r="A1076" s="13"/>
      <c r="C1076" s="5"/>
    </row>
    <row r="1077" spans="1:3" ht="15.75" customHeight="1">
      <c r="A1077" s="13"/>
      <c r="C1077" s="5"/>
    </row>
    <row r="1078" spans="1:3" ht="15.75" customHeight="1">
      <c r="A1078" s="13"/>
      <c r="C1078" s="5"/>
    </row>
    <row r="1079" spans="1:3" ht="15.75" customHeight="1">
      <c r="A1079" s="13"/>
      <c r="C1079" s="5"/>
    </row>
    <row r="1080" spans="1:3" ht="15.75" customHeight="1">
      <c r="A1080" s="13"/>
      <c r="C1080" s="5"/>
    </row>
    <row r="1081" spans="1:3" ht="15.75" customHeight="1">
      <c r="A1081" s="13"/>
      <c r="C1081" s="5"/>
    </row>
    <row r="1082" spans="1:3" ht="15.75" customHeight="1">
      <c r="A1082" s="13"/>
      <c r="C1082" s="5"/>
    </row>
    <row r="1083" spans="1:3" ht="15.75" customHeight="1">
      <c r="A1083" s="13"/>
      <c r="C1083" s="5"/>
    </row>
    <row r="1084" spans="1:3" ht="15.75" customHeight="1">
      <c r="A1084" s="13"/>
      <c r="C1084" s="5"/>
    </row>
    <row r="1085" spans="1:3" ht="15.75" customHeight="1">
      <c r="A1085" s="13"/>
      <c r="C1085" s="5"/>
    </row>
    <row r="1086" spans="1:3" ht="15.75" customHeight="1">
      <c r="A1086" s="13"/>
      <c r="C1086" s="5"/>
    </row>
    <row r="1087" spans="1:3" ht="15.75" customHeight="1">
      <c r="A1087" s="13"/>
      <c r="C1087" s="5"/>
    </row>
    <row r="1088" spans="1:3" ht="15.75" customHeight="1">
      <c r="A1088" s="13"/>
      <c r="C1088" s="5"/>
    </row>
    <row r="1089" spans="1:3" ht="15.75" customHeight="1">
      <c r="A1089" s="13"/>
      <c r="C1089" s="5"/>
    </row>
    <row r="1090" spans="1:3" ht="15.75" customHeight="1">
      <c r="A1090" s="13"/>
      <c r="C1090" s="5"/>
    </row>
    <row r="1091" spans="1:3" ht="15.75" customHeight="1">
      <c r="A1091" s="13"/>
      <c r="C1091" s="5"/>
    </row>
    <row r="1092" spans="1:3" ht="15.75" customHeight="1">
      <c r="A1092" s="13"/>
      <c r="C1092" s="5"/>
    </row>
    <row r="1093" spans="1:3" ht="15.75" customHeight="1">
      <c r="A1093" s="13"/>
      <c r="C1093" s="5"/>
    </row>
    <row r="1094" spans="1:3" ht="15.75" customHeight="1">
      <c r="A1094" s="13"/>
      <c r="C1094" s="5"/>
    </row>
    <row r="1095" spans="1:3" ht="15.75" customHeight="1">
      <c r="A1095" s="13"/>
      <c r="C1095" s="5"/>
    </row>
    <row r="1096" spans="1:3" ht="15.75" customHeight="1">
      <c r="A1096" s="13"/>
      <c r="C1096" s="5"/>
    </row>
    <row r="1097" spans="1:3" ht="15.75" customHeight="1">
      <c r="A1097" s="13"/>
      <c r="C1097" s="5"/>
    </row>
    <row r="1098" spans="1:3" ht="15.75" customHeight="1">
      <c r="A1098" s="13"/>
      <c r="C1098" s="5"/>
    </row>
    <row r="1099" spans="1:3" ht="15.75" customHeight="1">
      <c r="A1099" s="13"/>
      <c r="C1099" s="5"/>
    </row>
    <row r="1100" spans="1:3" ht="15.75" customHeight="1">
      <c r="A1100" s="13"/>
      <c r="C1100" s="5"/>
    </row>
    <row r="1101" spans="1:3" ht="15.75" customHeight="1">
      <c r="A1101" s="13"/>
      <c r="C1101" s="5"/>
    </row>
    <row r="1102" spans="1:3" ht="15.75" customHeight="1">
      <c r="A1102" s="13"/>
      <c r="C1102" s="5"/>
    </row>
    <row r="1103" spans="1:3" ht="15.75" customHeight="1">
      <c r="A1103" s="13"/>
      <c r="C1103" s="5"/>
    </row>
    <row r="1104" spans="1:3" ht="15.75" customHeight="1">
      <c r="A1104" s="13"/>
      <c r="C1104" s="5"/>
    </row>
    <row r="1105" spans="1:3" ht="15.75" customHeight="1">
      <c r="A1105" s="13"/>
      <c r="C1105" s="5"/>
    </row>
    <row r="1106" spans="1:3" ht="15.75" customHeight="1">
      <c r="A1106" s="13"/>
      <c r="C1106" s="5"/>
    </row>
    <row r="1107" spans="1:3" ht="15.75" customHeight="1">
      <c r="A1107" s="13"/>
      <c r="C1107" s="5"/>
    </row>
    <row r="1108" spans="1:3" ht="15.75" customHeight="1">
      <c r="A1108" s="13"/>
      <c r="C1108" s="5"/>
    </row>
    <row r="1109" spans="1:3" ht="15.75" customHeight="1">
      <c r="A1109" s="13"/>
      <c r="C1109" s="5"/>
    </row>
    <row r="1110" spans="1:3" ht="15.75" customHeight="1">
      <c r="A1110" s="13"/>
      <c r="C1110" s="5"/>
    </row>
    <row r="1111" spans="1:3" ht="15.75" customHeight="1">
      <c r="A1111" s="13"/>
      <c r="C1111" s="5"/>
    </row>
    <row r="1112" spans="1:3" ht="15.75" customHeight="1">
      <c r="A1112" s="13"/>
      <c r="C1112" s="5"/>
    </row>
    <row r="1113" spans="1:3" ht="15.75" customHeight="1">
      <c r="A1113" s="13"/>
      <c r="C1113" s="5"/>
    </row>
    <row r="1114" spans="1:3" ht="15.75" customHeight="1">
      <c r="A1114" s="13"/>
      <c r="C1114" s="5"/>
    </row>
  </sheetData>
  <sheetProtection sheet="1" objects="1" scenarios="1"/>
  <mergeCells count="24">
    <mergeCell ref="C43:E43"/>
    <mergeCell ref="A46:E46"/>
    <mergeCell ref="C35:E35"/>
    <mergeCell ref="C36:E36"/>
    <mergeCell ref="C37:E37"/>
    <mergeCell ref="C38:E38"/>
    <mergeCell ref="C39:E39"/>
    <mergeCell ref="C40:E40"/>
    <mergeCell ref="C41:E41"/>
    <mergeCell ref="C29:E29"/>
    <mergeCell ref="C30:E30"/>
    <mergeCell ref="A33:E33"/>
    <mergeCell ref="C34:E34"/>
    <mergeCell ref="C42:E42"/>
    <mergeCell ref="C6:E6"/>
    <mergeCell ref="C7:E7"/>
    <mergeCell ref="C8:E8"/>
    <mergeCell ref="C9:E9"/>
    <mergeCell ref="C28:E28"/>
    <mergeCell ref="A1:E1"/>
    <mergeCell ref="C2:E2"/>
    <mergeCell ref="C3:E3"/>
    <mergeCell ref="C4:E4"/>
    <mergeCell ref="C5:E5"/>
  </mergeCells>
  <dataValidations count="4">
    <dataValidation type="list" allowBlank="1" showInputMessage="1" showErrorMessage="1" sqref="C2:E9" xr:uid="{B8A1C27E-FC83-4B25-9943-C556A921B8F2}">
      <formula1>INDIRECT("FILAMENT[FILAMENT DROPDOWN]")</formula1>
    </dataValidation>
    <dataValidation type="list" allowBlank="1" showInputMessage="1" showErrorMessage="1" sqref="C34:E34" xr:uid="{EB2BB161-F034-4B7B-9B09-62743270FC2D}">
      <formula1>INDIRECT("PRINTERS[PRINTER DROPDOWN]")</formula1>
    </dataValidation>
    <dataValidation type="list" allowBlank="1" showInputMessage="1" showErrorMessage="1" sqref="C35:E35" xr:uid="{63EE8E50-D48B-43B1-8C4B-83174EEFFF47}">
      <formula1>INDIRECT("PLATES[PLATE DROPDOWN]")</formula1>
    </dataValidation>
    <dataValidation type="list" allowBlank="1" showInputMessage="1" showErrorMessage="1" sqref="C36:E43" xr:uid="{E525A4F2-C10B-46A9-A276-7CB6682A531A}">
      <formula1>INDIRECT("NOZZLES[NOZZLE DROPDOWN]")</formula1>
    </dataValidation>
  </dataValidations>
  <hyperlinks>
    <hyperlink ref="G2" location="FILAMENT!A1" display="Add Filament Option" xr:uid="{00000000-0004-0000-0100-000000000000}"/>
    <hyperlink ref="G34" location="PRINTERS!A1" display="Add Printer Option" xr:uid="{00000000-0004-0000-0100-000001000000}"/>
    <hyperlink ref="G35" location="PLATES!A1" display="Add Plate Option" xr:uid="{00000000-0004-0000-0100-000002000000}"/>
    <hyperlink ref="G36" location="NOZZLES!A1" display="Add Nozzle Option" xr:uid="{00000000-0004-0000-0100-000003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11"/>
  <sheetViews>
    <sheetView showGridLines="0" workbookViewId="0">
      <selection activeCell="B3" sqref="B3"/>
    </sheetView>
  </sheetViews>
  <sheetFormatPr defaultColWidth="12.5703125" defaultRowHeight="15" customHeight="1"/>
  <cols>
    <col min="1" max="1" width="1.42578125" style="14" customWidth="1"/>
    <col min="2" max="2" width="22.7109375" style="14" customWidth="1"/>
    <col min="3" max="3" width="1.7109375" style="14" customWidth="1"/>
    <col min="4" max="4" width="9.140625" style="14" customWidth="1"/>
    <col min="5" max="5" width="0.85546875" style="14" customWidth="1"/>
    <col min="6" max="6" width="20.7109375" style="14" customWidth="1"/>
    <col min="7" max="7" width="9.140625" style="14" customWidth="1"/>
    <col min="8" max="8" width="27.28515625" style="14" customWidth="1"/>
    <col min="9" max="9" width="15.5703125" style="14" customWidth="1"/>
    <col min="10" max="10" width="12.7109375" style="14" customWidth="1"/>
    <col min="11" max="27" width="8.5703125" style="14" customWidth="1"/>
    <col min="28" max="16384" width="12.5703125" style="14"/>
  </cols>
  <sheetData>
    <row r="1" spans="1:10" ht="7.5" customHeight="1">
      <c r="A1" s="13"/>
      <c r="B1" s="29"/>
      <c r="C1" s="29"/>
      <c r="D1" s="30"/>
      <c r="E1" s="30"/>
      <c r="F1" s="31"/>
      <c r="G1" s="31"/>
      <c r="H1" s="31"/>
      <c r="I1" s="31"/>
      <c r="J1" s="31"/>
    </row>
    <row r="2" spans="1:10" ht="3.75" customHeight="1">
      <c r="A2" s="13"/>
      <c r="B2" s="13"/>
      <c r="C2" s="13"/>
      <c r="D2" s="20"/>
      <c r="E2" s="20"/>
      <c r="F2" s="20"/>
    </row>
    <row r="3" spans="1:10">
      <c r="A3" s="13"/>
      <c r="B3" s="13" t="s">
        <v>8</v>
      </c>
      <c r="C3" s="13"/>
      <c r="D3" s="32" t="str">
        <f>IF(jobName &lt;&gt; "", jobName, "")</f>
        <v/>
      </c>
      <c r="E3" s="33"/>
      <c r="F3" s="33"/>
    </row>
    <row r="4" spans="1:10">
      <c r="A4" s="13"/>
      <c r="B4" s="13" t="s">
        <v>14</v>
      </c>
      <c r="C4" s="13"/>
      <c r="D4" s="32" t="str">
        <f>IF(clientName &lt;&gt; "", jobName, "")</f>
        <v/>
      </c>
      <c r="E4" s="33"/>
      <c r="F4" s="33"/>
    </row>
    <row r="5" spans="1:10">
      <c r="A5" s="13"/>
      <c r="B5" s="13" t="s">
        <v>16</v>
      </c>
      <c r="C5" s="13"/>
      <c r="D5" s="34" t="str">
        <f>IF(printDate &lt;&gt; "", jobName, "")</f>
        <v/>
      </c>
      <c r="E5" s="33"/>
      <c r="F5" s="33"/>
      <c r="G5" s="31"/>
      <c r="H5" s="31"/>
      <c r="I5" s="31"/>
      <c r="J5" s="31"/>
    </row>
    <row r="6" spans="1:10" ht="3.75" customHeight="1">
      <c r="A6" s="13"/>
      <c r="B6" s="35"/>
      <c r="C6" s="35"/>
      <c r="D6" s="36"/>
      <c r="E6" s="36"/>
      <c r="F6" s="37"/>
    </row>
    <row r="7" spans="1:10">
      <c r="A7" s="13"/>
      <c r="B7" s="13" t="s">
        <v>21</v>
      </c>
      <c r="C7" s="13"/>
      <c r="D7" s="38">
        <f>numPrints</f>
        <v>0</v>
      </c>
      <c r="E7" s="26"/>
    </row>
    <row r="8" spans="1:10">
      <c r="A8" s="13"/>
      <c r="B8" s="13" t="s">
        <v>25</v>
      </c>
      <c r="C8" s="13"/>
      <c r="D8" s="39">
        <f>totPrintTimeHrs</f>
        <v>0</v>
      </c>
      <c r="E8" s="20"/>
      <c r="F8" s="14" t="str">
        <f>IF(D8=0, "", "hrs")</f>
        <v/>
      </c>
    </row>
    <row r="9" spans="1:10">
      <c r="A9" s="13"/>
      <c r="B9" s="13" t="s">
        <v>35</v>
      </c>
      <c r="C9" s="13"/>
      <c r="D9" s="23">
        <f ca="1">IF(noCharge = FALSE, totFilamentCost, 0)</f>
        <v>0</v>
      </c>
      <c r="E9" s="23"/>
      <c r="F9" s="19" t="str">
        <f ca="1">IF(D9=0, "", "Includes shipping and tax")</f>
        <v/>
      </c>
    </row>
    <row r="10" spans="1:10">
      <c r="A10" s="13"/>
      <c r="B10" s="13" t="s">
        <v>47</v>
      </c>
      <c r="C10" s="13"/>
      <c r="D10" s="23">
        <f ca="1">IF(noCharge = FALSE, totDepr, 0)</f>
        <v>0</v>
      </c>
      <c r="E10" s="23"/>
      <c r="F10" s="19" t="str">
        <f ca="1">IF(D10=0, "", "Accounts for wear and tear on the printer, plate, and nozzles")</f>
        <v/>
      </c>
    </row>
    <row r="11" spans="1:10">
      <c r="A11" s="13"/>
      <c r="B11" s="13" t="s">
        <v>63</v>
      </c>
      <c r="C11" s="13"/>
      <c r="D11" s="40">
        <f ca="1">IF(noCharge = FALSE, totOverheadCost, 0)</f>
        <v>0</v>
      </c>
      <c r="E11" s="23"/>
      <c r="F11" s="19" t="str">
        <f ca="1">IF(D11 = 0, "", "Accounts for electricity useage (" &amp; ROUND(printerPower * totPrintTimeHrs, 2) &amp; " KwH at $" &amp; ROUND(elecCost, 2) &amp; " per KwH)")</f>
        <v/>
      </c>
    </row>
    <row r="12" spans="1:10">
      <c r="A12" s="13"/>
      <c r="B12" s="13" t="s">
        <v>83</v>
      </c>
      <c r="C12" s="13"/>
      <c r="D12" s="40">
        <f>IF(noCharge = FALSE, totLaborCost, 0)</f>
        <v>0</v>
      </c>
      <c r="E12" s="23"/>
      <c r="F12" s="19" t="str">
        <f>IF(D12 = 0, "", "Accounts for " &amp; ROUND(laborHrs, 2) &amp; " hours of labor")</f>
        <v/>
      </c>
    </row>
    <row r="13" spans="1:10">
      <c r="A13" s="13"/>
      <c r="B13" s="13" t="s">
        <v>93</v>
      </c>
      <c r="C13" s="13"/>
      <c r="D13" s="40">
        <f ca="1">IF(noCharge = FALSE, (totCont) * (totFilamentCost + totDepr + totOverheadCost + totLaborCost), 0)</f>
        <v>0</v>
      </c>
      <c r="E13" s="23"/>
      <c r="F13" s="19" t="str">
        <f ca="1">IF(D13=0, "", "Accounts for failure risk (" &amp; ROUND(failCont * 100, 2) &amp; "%) and maintenance costs (" &amp; ROUND(maintCont * 100, 2) &amp; "%)")</f>
        <v/>
      </c>
    </row>
    <row r="14" spans="1:10">
      <c r="A14" s="13"/>
      <c r="B14" s="13" t="s">
        <v>101</v>
      </c>
      <c r="C14" s="13"/>
      <c r="D14" s="40">
        <f ca="1">IF(noCharge = FALSE, profit, 0)</f>
        <v>0</v>
      </c>
      <c r="E14" s="23"/>
      <c r="F14" s="19" t="str">
        <f ca="1">IF(D14=0, "", "The profit the seller earns from the job (" &amp; ROUND(profitPct * 100, 2) &amp; "%)")</f>
        <v/>
      </c>
    </row>
    <row r="15" spans="1:10">
      <c r="A15" s="13"/>
      <c r="B15" s="13" t="s">
        <v>106</v>
      </c>
      <c r="C15" s="13"/>
      <c r="D15" s="40">
        <f ca="1">IF(noCharge = FALSE, transactionFee, 0)</f>
        <v>0</v>
      </c>
      <c r="E15" s="23"/>
      <c r="F15" s="19" t="str">
        <f ca="1">IF(D15=0, "", "Fees from e-commerce site and payment processing (" &amp; ROUND(transactionFeePct * 100, 2) &amp; "%)")</f>
        <v/>
      </c>
    </row>
    <row r="16" spans="1:10">
      <c r="A16" s="13"/>
      <c r="B16" s="13" t="s">
        <v>54</v>
      </c>
      <c r="C16" s="13"/>
      <c r="D16" s="40">
        <f ca="1">IF(noCharge = FALSE, salesTax, 0)</f>
        <v>0</v>
      </c>
      <c r="E16" s="23"/>
      <c r="F16" s="19" t="str">
        <f ca="1">IF(D16=0, "", "State sales tax (" &amp; ROUND(salesTaxPct * 100, 2) &amp; "%)")</f>
        <v/>
      </c>
    </row>
    <row r="17" spans="1:10">
      <c r="A17" s="13"/>
      <c r="B17" s="13" t="s">
        <v>77</v>
      </c>
      <c r="C17" s="13"/>
      <c r="D17" s="40">
        <f>shippingCost</f>
        <v>0</v>
      </c>
      <c r="E17" s="23"/>
      <c r="F17" s="19" t="str">
        <f>IF(D17=0, "", "Cost to ship product")</f>
        <v/>
      </c>
    </row>
    <row r="18" spans="1:10" ht="3.75" customHeight="1">
      <c r="A18" s="13"/>
      <c r="B18" s="35"/>
      <c r="C18" s="35"/>
      <c r="D18" s="41"/>
      <c r="E18" s="42"/>
      <c r="F18" s="37"/>
      <c r="G18" s="37"/>
      <c r="H18" s="37"/>
      <c r="I18" s="37"/>
      <c r="J18" s="37"/>
    </row>
    <row r="19" spans="1:10">
      <c r="A19" s="13"/>
      <c r="B19" s="13" t="s">
        <v>78</v>
      </c>
      <c r="C19" s="13"/>
      <c r="D19" s="43">
        <f ca="1">IF(noCharge = FALSE, totCost, 0)</f>
        <v>0</v>
      </c>
      <c r="E19" s="23"/>
    </row>
    <row r="20" spans="1:10" ht="14.25">
      <c r="D20" s="26"/>
      <c r="E20" s="26"/>
    </row>
    <row r="21" spans="1:10">
      <c r="B21" s="29" t="s">
        <v>115</v>
      </c>
      <c r="C21" s="31"/>
      <c r="D21" s="44"/>
      <c r="E21" s="44"/>
      <c r="F21" s="31"/>
      <c r="G21" s="31"/>
      <c r="H21" s="31"/>
      <c r="I21" s="31"/>
      <c r="J21" s="31"/>
    </row>
    <row r="22" spans="1:10" ht="3.75" customHeight="1">
      <c r="B22" s="45"/>
      <c r="C22" s="45"/>
      <c r="D22" s="45"/>
      <c r="E22" s="45"/>
      <c r="F22" s="45"/>
      <c r="G22" s="45"/>
      <c r="H22" s="45"/>
      <c r="I22" s="45"/>
      <c r="J22" s="45"/>
    </row>
    <row r="23" spans="1:10">
      <c r="B23" s="46" t="s">
        <v>67</v>
      </c>
      <c r="C23" s="47" t="s">
        <v>59</v>
      </c>
      <c r="D23" s="16"/>
      <c r="E23" s="46"/>
      <c r="F23" s="46" t="s">
        <v>64</v>
      </c>
      <c r="G23" s="46" t="s">
        <v>61</v>
      </c>
      <c r="H23" s="46" t="s">
        <v>66</v>
      </c>
      <c r="I23" s="46" t="s">
        <v>122</v>
      </c>
      <c r="J23" s="46" t="s">
        <v>74</v>
      </c>
    </row>
    <row r="24" spans="1:10" ht="3.75" customHeight="1">
      <c r="B24" s="38"/>
      <c r="C24" s="38"/>
      <c r="D24" s="38"/>
      <c r="E24" s="38"/>
      <c r="F24" s="38"/>
      <c r="G24" s="38"/>
      <c r="H24" s="38"/>
      <c r="I24" s="48"/>
      <c r="J24" s="49"/>
    </row>
    <row r="25" spans="1:10" ht="14.25">
      <c r="B25" s="50" t="str">
        <f>IF(AND(LEFT(INDEX(roll1, 1), 3) &lt;&gt; "000", INDEX(roll1, 1) &lt;&gt; ""), INDEX(FILAMENT[MANUFACTURER], MATCH(LEFT(INDEX(roll1, 1), 3), FILAMENT[ID], 0)), "")</f>
        <v/>
      </c>
      <c r="C25" s="51" t="str">
        <f>IF(AND(LEFT(INDEX(roll1, 1), 3) &lt;&gt; "000", INDEX(roll1, 1) &lt;&gt; ""), INDEX(FILAMENT[TYPE], MATCH(LEFT(INDEX(roll1, 1), 3), FILAMENT[ID], 0)), "")</f>
        <v/>
      </c>
      <c r="D25" s="52"/>
      <c r="E25" s="50"/>
      <c r="F25" s="50" t="str">
        <f>IF(AND(LEFT(INDEX(roll1, 1), 3) &lt;&gt; "000", INDEX(roll1, 1) &lt;&gt; ""), INDEX(FILAMENT[PRODUCT], MATCH(LEFT(INDEX(roll1, 1), 3), FILAMENT[ID], 0)), "")</f>
        <v/>
      </c>
      <c r="G25" s="50" t="str">
        <f>IF(AND(LEFT(INDEX(roll1, 1), 3) &lt;&gt; "000", INDEX(roll1, 1) &lt;&gt; ""), INDEX(FILAMENT[FINISH], MATCH(LEFT(INDEX(roll1, 1), 3), FILAMENT[ID], 0)), "")</f>
        <v/>
      </c>
      <c r="H25" s="50" t="str">
        <f>IF(AND(LEFT(INDEX(roll1, 1), 3) &lt;&gt; "000", INDEX(roll1, 1) &lt;&gt; ""), INDEX(FILAMENT[COLOR], MATCH(LEFT(INDEX(roll1, 1), 3), FILAMENT[ID], 0)), "")</f>
        <v/>
      </c>
      <c r="I25" s="48" t="str">
        <f>IF(printSize1 &lt;&gt; 0, printSize1 * numPrints, "")</f>
        <v/>
      </c>
      <c r="J25" s="49" t="str">
        <f ca="1">IF(noCharge = FALSE, IF((rollCost1 * rollPct1) &lt;&gt; 0, rollCost1 * rollPct1, ""), "")</f>
        <v/>
      </c>
    </row>
    <row r="26" spans="1:10" ht="14.25">
      <c r="B26" s="50" t="str">
        <f>IF(AND(LEFT(INDEX(roll2, 1), 3) &lt;&gt; "000", INDEX(roll2, 1) &lt;&gt; ""), INDEX(FILAMENT[MANUFACTURER], MATCH(LEFT(INDEX(roll2, 1), 3), FILAMENT[ID], 0)), "")</f>
        <v/>
      </c>
      <c r="C26" s="51" t="str">
        <f>IF(AND(LEFT(INDEX(roll2, 1), 3) &lt;&gt; "000", INDEX(roll2, 1) &lt;&gt; ""), INDEX(FILAMENT[TYPE], MATCH(LEFT(INDEX(roll2, 1), 3), FILAMENT[ID], 0)), "")</f>
        <v/>
      </c>
      <c r="D26" s="52"/>
      <c r="E26" s="50"/>
      <c r="F26" s="50" t="str">
        <f>IF(AND(LEFT(INDEX(roll2, 1), 3) &lt;&gt; "000",INDEX(roll2, 1) &lt;&gt; ""), INDEX(FILAMENT[PRODUCT], MATCH(LEFT(INDEX(roll2, 1), 3), FILAMENT[ID], 0)), "")</f>
        <v/>
      </c>
      <c r="G26" s="50" t="str">
        <f>IF(AND(LEFT(INDEX(roll2, 1), 3) &lt;&gt; "000", INDEX(roll2, 1) &lt;&gt; ""), INDEX(FILAMENT[FINISH], MATCH(LEFT(INDEX(roll2, 1), 3), FILAMENT[ID], 0)), "")</f>
        <v/>
      </c>
      <c r="H26" s="50" t="str">
        <f>IF(AND(LEFT(INDEX(roll2, 1), 3) &lt;&gt; "000", INDEX(roll2, 1) &lt;&gt; ""), INDEX(FILAMENT[COLOR], MATCH(LEFT(INDEX(roll2, 1), 3), FILAMENT[ID], 0)), "")</f>
        <v/>
      </c>
      <c r="I26" s="48" t="str">
        <f>IF(printSize2 &lt;&gt; 0, printSize2 * numPrints, "")</f>
        <v/>
      </c>
      <c r="J26" s="49" t="str">
        <f ca="1">IF(noCharge = FALSE, IF((rollCost2 * rollPct2) &lt;&gt; 0, rollCost2 * rollPct2, ""), "")</f>
        <v/>
      </c>
    </row>
    <row r="27" spans="1:10" ht="14.25">
      <c r="B27" s="50" t="str">
        <f>IF(AND(LEFT(INDEX(roll3, 1), 3) &lt;&gt; "000", INDEX(roll3, 1) &lt;&gt; ""), INDEX(FILAMENT[MANUFACTURER], MATCH(LEFT(INDEX(roll3, 1), 3), FILAMENT[ID], 0)), "")</f>
        <v/>
      </c>
      <c r="C27" s="51" t="str">
        <f>IF(AND(LEFT(INDEX(roll3, 1), 3) &lt;&gt; "000", INDEX(roll3, 1) &lt;&gt; ""), INDEX(FILAMENT[TYPE], MATCH(LEFT(INDEX(roll3, 1), 3), FILAMENT[ID], 0)), "")</f>
        <v/>
      </c>
      <c r="D27" s="52"/>
      <c r="E27" s="50"/>
      <c r="F27" s="50" t="str">
        <f>IF(AND(LEFT(INDEX(roll3, 1), 3) &lt;&gt; "000", INDEX(roll3, 1) &lt;&gt; ""), INDEX(FILAMENT[PRODUCT], MATCH(LEFT(INDEX(roll3, 1), 3), FILAMENT[ID], 0)), "")</f>
        <v/>
      </c>
      <c r="G27" s="50" t="str">
        <f>IF(AND(LEFT(INDEX(roll3, 1), 3) &lt;&gt; "000", INDEX(roll3, 1) &lt;&gt; ""), INDEX(FILAMENT[FINISH], MATCH(LEFT(INDEX(roll3, 1), 3), FILAMENT[ID], 0)), "")</f>
        <v/>
      </c>
      <c r="H27" s="50" t="str">
        <f>IF(AND(LEFT(INDEX(roll3, 1), 3) &lt;&gt; "000", INDEX(roll3, 1) &lt;&gt; ""), INDEX(FILAMENT[COLOR], MATCH(LEFT(INDEX(roll3, 1), 3), FILAMENT[ID], 0)), "")</f>
        <v/>
      </c>
      <c r="I27" s="48" t="str">
        <f>IF(printSize3 &lt;&gt; 0, printSize3 * numPrints, "")</f>
        <v/>
      </c>
      <c r="J27" s="49" t="str">
        <f ca="1">IF(noCharge = FALSE, IF((rollCost3 * rollPct3) &lt;&gt; 0, rollCost3 * rollPct3, ""), "")</f>
        <v/>
      </c>
    </row>
    <row r="28" spans="1:10" ht="14.25">
      <c r="B28" s="50" t="str">
        <f>IF(AND(LEFT(INDEX(roll4, 1), 3) &lt;&gt; "000", INDEX(roll4, 1) &lt;&gt; ""), INDEX(FILAMENT[MANUFACTURER], MATCH(LEFT(INDEX(roll4, 1), 3), FILAMENT[ID], 0)), "")</f>
        <v/>
      </c>
      <c r="C28" s="51" t="str">
        <f>IF(AND(LEFT(INDEX(roll4, 1), 3) &lt;&gt; "000", INDEX(roll4, 1) &lt;&gt; ""), INDEX(FILAMENT[TYPE], MATCH(LEFT(INDEX(roll4, 1), 3), FILAMENT[ID], 0)), "")</f>
        <v/>
      </c>
      <c r="D28" s="52"/>
      <c r="E28" s="50"/>
      <c r="F28" s="50" t="str">
        <f>IF(AND(LEFT(INDEX(roll4, 1), 3) &lt;&gt; "000", INDEX(roll4, 1) &lt;&gt; ""), INDEX(FILAMENT[PRODUCT], MATCH(LEFT(INDEX(roll4, 1), 3), FILAMENT[ID], 0)), "")</f>
        <v/>
      </c>
      <c r="G28" s="50" t="str">
        <f>IF(AND(LEFT(INDEX(roll4, 1), 3) &lt;&gt; "000", INDEX(roll4, 1) &lt;&gt; ""), INDEX(FILAMENT[FINISH], MATCH(LEFT(INDEX(roll4, 1), 3), FILAMENT[ID], 0)), "")</f>
        <v/>
      </c>
      <c r="H28" s="50" t="str">
        <f>IF(AND(LEFT(INDEX(roll4, 1), 3) &lt;&gt; "000", INDEX(roll4, 1) &lt;&gt; ""), INDEX(FILAMENT[COLOR], MATCH(LEFT(INDEX(roll4, 1), 3), FILAMENT[ID], 0)), "")</f>
        <v/>
      </c>
      <c r="I28" s="48" t="str">
        <f>IF(printSize4 &lt;&gt; 0, printSize4 * numPrints, "")</f>
        <v/>
      </c>
      <c r="J28" s="49" t="str">
        <f ca="1">IF(noCharge = FALSE, IF((rollCost4 * rollPct4) &lt;&gt; 0, rollCost4 * rollPct4, ""), "")</f>
        <v/>
      </c>
    </row>
    <row r="29" spans="1:10" ht="14.25">
      <c r="B29" s="50" t="str">
        <f>IF(AND(LEFT(INDEX(roll5, 1), 3) &lt;&gt; "000", INDEX(roll5, 1) &lt;&gt; ""), INDEX(FILAMENT[MANUFACTURER], MATCH(LEFT(INDEX(roll5, 1), 3), FILAMENT[ID], 0)), "")</f>
        <v/>
      </c>
      <c r="C29" s="51" t="str">
        <f>IF(AND(LEFT(INDEX(roll5, 1), 3) &lt;&gt; "000", INDEX(roll5, 1) &lt;&gt; ""), INDEX(FILAMENT[TYPE], MATCH(LEFT(INDEX(roll5, 1), 3), FILAMENT[ID], 0)), "")</f>
        <v/>
      </c>
      <c r="D29" s="52"/>
      <c r="E29" s="50"/>
      <c r="F29" s="50" t="str">
        <f>IF(AND(LEFT(INDEX(roll5, 1), 3) &lt;&gt; "000", INDEX(roll5, 1) &lt;&gt; ""), INDEX(FILAMENT[PRODUCT], MATCH(LEFT(INDEX(roll5, 1), 3), FILAMENT[ID], 0)), "")</f>
        <v/>
      </c>
      <c r="G29" s="50" t="str">
        <f>IF(AND(LEFT(INDEX(roll5, 1), 3) &lt;&gt; "000", INDEX(roll5, 1) &lt;&gt; ""), INDEX(FILAMENT[FINISH], MATCH(LEFT(INDEX(roll5, 1), 3), FILAMENT[ID], 0)), "")</f>
        <v/>
      </c>
      <c r="H29" s="50" t="str">
        <f>IF(AND(LEFT(INDEX(roll5, 1), 3) &lt;&gt; "000", INDEX(roll5, 1) &lt;&gt; ""), INDEX(FILAMENT[COLOR], MATCH(LEFT(INDEX(roll5, 1), 3), FILAMENT[ID], 0)), "")</f>
        <v/>
      </c>
      <c r="I29" s="48" t="str">
        <f>IF(printSize5 &lt;&gt; 0, printSize5 * numPrints, "")</f>
        <v/>
      </c>
      <c r="J29" s="49" t="str">
        <f ca="1">IF(noCharge = FALSE, IF((rollCost5 * rollPct5) &lt;&gt; 0, rollCost5 * rollPct5, ""), "")</f>
        <v/>
      </c>
    </row>
    <row r="30" spans="1:10" ht="14.25">
      <c r="B30" s="50" t="str">
        <f>IF(AND(LEFT(INDEX(roll6, 1), 3) &lt;&gt; "000", INDEX(roll6, 1) &lt;&gt; ""), INDEX(FILAMENT[MANUFACTURER], MATCH(LEFT(INDEX(roll6, 1), 3), FILAMENT[ID], 0)), "")</f>
        <v/>
      </c>
      <c r="C30" s="51" t="str">
        <f>IF(AND(LEFT(INDEX(roll6, 1), 3) &lt;&gt; "000", INDEX(roll6, 1) &lt;&gt; ""), INDEX(FILAMENT[TYPE], MATCH(LEFT(INDEX(roll6, 1), 3), FILAMENT[ID], 0)), "")</f>
        <v/>
      </c>
      <c r="D30" s="52"/>
      <c r="E30" s="50"/>
      <c r="F30" s="50" t="str">
        <f>IF(AND(LEFT(INDEX(roll6, 1), 3) &lt;&gt; "000", INDEX(roll6, 1) &lt;&gt; ""), INDEX(FILAMENT[PRODUCT], MATCH(LEFT(INDEX(roll6, 1), 3), FILAMENT[ID], 0)), "")</f>
        <v/>
      </c>
      <c r="G30" s="50" t="str">
        <f>IF(AND(LEFT(INDEX(roll6, 1), 3) &lt;&gt; "000", INDEX(roll6, 1) &lt;&gt; ""), INDEX(FILAMENT[FINISH], MATCH(LEFT(INDEX(roll6, 1), 3), FILAMENT[ID], 0)), "")</f>
        <v/>
      </c>
      <c r="H30" s="50" t="str">
        <f>IF(AND(LEFT(INDEX(roll6, 1), 3) &lt;&gt; "000", INDEX(roll6, 1) &lt;&gt; ""), INDEX(FILAMENT[COLOR], MATCH(LEFT(INDEX(roll6, 1), 3), FILAMENT[ID], 0)), "")</f>
        <v/>
      </c>
      <c r="I30" s="48" t="str">
        <f>IF(printSize6 &lt;&gt; 0, printSize6 * numPrints, "")</f>
        <v/>
      </c>
      <c r="J30" s="49" t="str">
        <f ca="1">IF(noCharge = FALSE, IF((rollCost6 * rollPct6) &lt;&gt; 0, rollCost6 * rollPct6, ""), "")</f>
        <v/>
      </c>
    </row>
    <row r="31" spans="1:10" ht="14.25">
      <c r="B31" s="50" t="str">
        <f>IF(AND(LEFT(INDEX(roll7, 1), 3) &lt;&gt; "000", INDEX(roll7, 1) &lt;&gt; ""), INDEX(FILAMENT[MANUFACTURER], MATCH(LEFT(INDEX(roll7, 1), 3), FILAMENT[ID], 0)), "")</f>
        <v/>
      </c>
      <c r="C31" s="51" t="str">
        <f>IF(AND(LEFT(INDEX(roll7, 1), 3) &lt;&gt; "000", INDEX(roll7, 1) &lt;&gt; ""), INDEX(FILAMENT[TYPE], MATCH(LEFT(INDEX(roll7, 1), 3), FILAMENT[ID], 0)), "")</f>
        <v/>
      </c>
      <c r="D31" s="52"/>
      <c r="E31" s="50"/>
      <c r="F31" s="50" t="str">
        <f>IF(AND(LEFT(INDEX(roll7, 1), 3) &lt;&gt; "000", INDEX(roll7, 1) &lt;&gt; ""), INDEX(FILAMENT[PRODUCT], MATCH(LEFT(INDEX(roll7, 1), 3), FILAMENT[ID], 0)), "")</f>
        <v/>
      </c>
      <c r="G31" s="50" t="str">
        <f>IF(AND(LEFT(INDEX(roll7, 1), 3) &lt;&gt; "000", INDEX(roll7, 1) &lt;&gt; ""), INDEX(FILAMENT[FINISH], MATCH(LEFT(INDEX(roll7, 1), 3), FILAMENT[ID], 0)), "")</f>
        <v/>
      </c>
      <c r="H31" s="50" t="str">
        <f>IF(AND(LEFT(INDEX(roll7, 1), 3) &lt;&gt; "000", INDEX(roll7, 1) &lt;&gt; ""), INDEX(FILAMENT[COLOR], MATCH(LEFT(INDEX(roll7, 1), 3), FILAMENT[ID], 0)), "")</f>
        <v/>
      </c>
      <c r="I31" s="48" t="str">
        <f>IF(printSize7 &lt;&gt; 0, printSize7 * numPrints, "")</f>
        <v/>
      </c>
      <c r="J31" s="49" t="str">
        <f ca="1">IF(noCharge = FALSE, IF((rollCost7 * rollPct7) &lt;&gt; 0, rollCost7 * rollPct7, ""), "")</f>
        <v/>
      </c>
    </row>
    <row r="32" spans="1:10" ht="15.75" customHeight="1">
      <c r="B32" s="53" t="str">
        <f>IF(AND(LEFT(INDEX(roll8, 1), 3) &lt;&gt; "000", INDEX(roll8, 1) &lt;&gt; ""), INDEX(FILAMENT[MANUFACTURER], MATCH(LEFT(INDEX(roll8, 1), 3), FILAMENT[ID], 0)), "")</f>
        <v/>
      </c>
      <c r="C32" s="54" t="str">
        <f>IF(AND(LEFT(INDEX(roll8, 1), 3) &lt;&gt; "000", INDEX(roll8, 1) &lt;&gt; ""), INDEX(FILAMENT[TYPE], MATCH(LEFT(INDEX(roll8, 1), 3), FILAMENT[ID], 0)), "")</f>
        <v/>
      </c>
      <c r="D32" s="55"/>
      <c r="E32" s="53"/>
      <c r="F32" s="53" t="str">
        <f>IF(AND(LEFT(INDEX(roll8, 1), 3) &lt;&gt; "000", INDEX(roll8, 1) &lt;&gt; ""), INDEX(FILAMENT[PRODUCT], MATCH(LEFT(INDEX(roll8, 1), 3), FILAMENT[ID], 0)), "")</f>
        <v/>
      </c>
      <c r="G32" s="53" t="str">
        <f>IF(AND(LEFT(INDEX(roll8, 1), 3) &lt;&gt; "000", INDEX(roll8, 1) &lt;&gt; ""), INDEX(FILAMENT[FINISH], MATCH(LEFT(INDEX(roll8, 1), 3), FILAMENT[ID], 0)), "")</f>
        <v/>
      </c>
      <c r="H32" s="53" t="str">
        <f>IF(AND(LEFT(INDEX(roll8, 1), 3) &lt;&gt; "000", INDEX(roll8, 1) &lt;&gt; ""), INDEX(FILAMENT[COLOR], MATCH(LEFT(INDEX(roll8, 1), 3), FILAMENT[ID], 0)), "")</f>
        <v/>
      </c>
      <c r="I32" s="56" t="str">
        <f>IF(printSize8 &lt;&gt; 0, printSize8 * numPrints, "")</f>
        <v/>
      </c>
      <c r="J32" s="57" t="str">
        <f ca="1">IF(noCharge = FALSE, IF((rollCost8 * rollPct8) &lt;&gt; 0, rollCost8 * rollPct8, ""), "")</f>
        <v/>
      </c>
    </row>
    <row r="33" spans="4:10" ht="15.75" customHeight="1">
      <c r="D33" s="26"/>
      <c r="E33" s="26"/>
      <c r="I33" s="48" t="str">
        <f>IF(totFilamentUsed &lt;&gt; 0, totFilamentUsed, "")</f>
        <v/>
      </c>
      <c r="J33" s="49" t="str">
        <f ca="1">IF(noCharge = FALSE, IF(totFilamentCost &lt;&gt; 0, totFilamentCost, ""), "")</f>
        <v/>
      </c>
    </row>
    <row r="34" spans="4:10" ht="15.75" customHeight="1">
      <c r="D34" s="26"/>
      <c r="E34" s="26"/>
    </row>
    <row r="35" spans="4:10" ht="15.75" customHeight="1">
      <c r="D35" s="26"/>
      <c r="E35" s="26"/>
    </row>
    <row r="36" spans="4:10" ht="15.75" customHeight="1">
      <c r="D36" s="26"/>
      <c r="E36" s="26"/>
    </row>
    <row r="37" spans="4:10" ht="15.75" customHeight="1">
      <c r="D37" s="26"/>
      <c r="E37" s="26"/>
    </row>
    <row r="38" spans="4:10" ht="15.75" customHeight="1">
      <c r="D38" s="26"/>
      <c r="E38" s="26"/>
    </row>
    <row r="39" spans="4:10" ht="15.75" customHeight="1">
      <c r="D39" s="26"/>
      <c r="E39" s="26"/>
    </row>
    <row r="40" spans="4:10" ht="15.75" customHeight="1">
      <c r="D40" s="26"/>
      <c r="E40" s="26"/>
    </row>
    <row r="41" spans="4:10" ht="15.75" customHeight="1">
      <c r="D41" s="26"/>
      <c r="E41" s="26"/>
    </row>
    <row r="42" spans="4:10" ht="15.75" customHeight="1">
      <c r="D42" s="26"/>
      <c r="E42" s="26"/>
    </row>
    <row r="43" spans="4:10" ht="15.75" customHeight="1">
      <c r="D43" s="26"/>
      <c r="E43" s="26"/>
    </row>
    <row r="44" spans="4:10" ht="15.75" customHeight="1">
      <c r="D44" s="26"/>
      <c r="E44" s="26"/>
    </row>
    <row r="45" spans="4:10" ht="15.75" customHeight="1">
      <c r="D45" s="26"/>
      <c r="E45" s="26"/>
    </row>
    <row r="46" spans="4:10" ht="15.75" customHeight="1">
      <c r="D46" s="26"/>
      <c r="E46" s="26"/>
    </row>
    <row r="47" spans="4:10" ht="15.75" customHeight="1">
      <c r="D47" s="26"/>
      <c r="E47" s="26"/>
    </row>
    <row r="48" spans="4:10" ht="15.75" customHeight="1">
      <c r="D48" s="26"/>
      <c r="E48" s="26"/>
    </row>
    <row r="49" spans="4:5" ht="15.75" customHeight="1">
      <c r="D49" s="26"/>
      <c r="E49" s="26"/>
    </row>
    <row r="50" spans="4:5" ht="15.75" customHeight="1">
      <c r="D50" s="26"/>
      <c r="E50" s="26"/>
    </row>
    <row r="51" spans="4:5" ht="15.75" customHeight="1">
      <c r="D51" s="26"/>
      <c r="E51" s="26"/>
    </row>
    <row r="52" spans="4:5" ht="15.75" customHeight="1">
      <c r="D52" s="26"/>
      <c r="E52" s="26"/>
    </row>
    <row r="53" spans="4:5" ht="15.75" customHeight="1">
      <c r="D53" s="26"/>
      <c r="E53" s="26"/>
    </row>
    <row r="54" spans="4:5" ht="15.75" customHeight="1">
      <c r="D54" s="26"/>
      <c r="E54" s="26"/>
    </row>
    <row r="55" spans="4:5" ht="15.75" customHeight="1">
      <c r="D55" s="26"/>
      <c r="E55" s="26"/>
    </row>
    <row r="56" spans="4:5" ht="15.75" customHeight="1">
      <c r="D56" s="26"/>
      <c r="E56" s="26"/>
    </row>
    <row r="57" spans="4:5" ht="15.75" customHeight="1">
      <c r="D57" s="26"/>
      <c r="E57" s="26"/>
    </row>
    <row r="58" spans="4:5" ht="15.75" customHeight="1">
      <c r="D58" s="26"/>
      <c r="E58" s="26"/>
    </row>
    <row r="59" spans="4:5" ht="15.75" customHeight="1">
      <c r="D59" s="26"/>
      <c r="E59" s="26"/>
    </row>
    <row r="60" spans="4:5" ht="15.75" customHeight="1">
      <c r="D60" s="26"/>
      <c r="E60" s="26"/>
    </row>
    <row r="61" spans="4:5" ht="15.75" customHeight="1">
      <c r="D61" s="26"/>
      <c r="E61" s="26"/>
    </row>
    <row r="62" spans="4:5" ht="15.75" customHeight="1">
      <c r="D62" s="26"/>
      <c r="E62" s="26"/>
    </row>
    <row r="63" spans="4:5" ht="15.75" customHeight="1">
      <c r="D63" s="26"/>
      <c r="E63" s="26"/>
    </row>
    <row r="64" spans="4:5" ht="15.75" customHeight="1">
      <c r="D64" s="26"/>
      <c r="E64" s="26"/>
    </row>
    <row r="65" spans="4:5" ht="15.75" customHeight="1">
      <c r="D65" s="26"/>
      <c r="E65" s="26"/>
    </row>
    <row r="66" spans="4:5" ht="15.75" customHeight="1">
      <c r="D66" s="26"/>
      <c r="E66" s="26"/>
    </row>
    <row r="67" spans="4:5" ht="15.75" customHeight="1">
      <c r="D67" s="26"/>
      <c r="E67" s="26"/>
    </row>
    <row r="68" spans="4:5" ht="15.75" customHeight="1">
      <c r="D68" s="26"/>
      <c r="E68" s="26"/>
    </row>
    <row r="69" spans="4:5" ht="15.75" customHeight="1">
      <c r="D69" s="26"/>
      <c r="E69" s="26"/>
    </row>
    <row r="70" spans="4:5" ht="15.75" customHeight="1">
      <c r="D70" s="26"/>
      <c r="E70" s="26"/>
    </row>
    <row r="71" spans="4:5" ht="15.75" customHeight="1">
      <c r="D71" s="26"/>
      <c r="E71" s="26"/>
    </row>
    <row r="72" spans="4:5" ht="15.75" customHeight="1">
      <c r="D72" s="26"/>
      <c r="E72" s="26"/>
    </row>
    <row r="73" spans="4:5" ht="15.75" customHeight="1">
      <c r="D73" s="26"/>
      <c r="E73" s="26"/>
    </row>
    <row r="74" spans="4:5" ht="15.75" customHeight="1">
      <c r="D74" s="26"/>
      <c r="E74" s="26"/>
    </row>
    <row r="75" spans="4:5" ht="15.75" customHeight="1">
      <c r="D75" s="26"/>
      <c r="E75" s="26"/>
    </row>
    <row r="76" spans="4:5" ht="15.75" customHeight="1">
      <c r="D76" s="26"/>
      <c r="E76" s="26"/>
    </row>
    <row r="77" spans="4:5" ht="15.75" customHeight="1">
      <c r="D77" s="26"/>
      <c r="E77" s="26"/>
    </row>
    <row r="78" spans="4:5" ht="15.75" customHeight="1">
      <c r="D78" s="26"/>
      <c r="E78" s="26"/>
    </row>
    <row r="79" spans="4:5" ht="15.75" customHeight="1">
      <c r="D79" s="26"/>
      <c r="E79" s="26"/>
    </row>
    <row r="80" spans="4:5" ht="15.75" customHeight="1">
      <c r="D80" s="26"/>
      <c r="E80" s="26"/>
    </row>
    <row r="81" spans="4:5" ht="15.75" customHeight="1">
      <c r="D81" s="26"/>
      <c r="E81" s="26"/>
    </row>
    <row r="82" spans="4:5" ht="15.75" customHeight="1">
      <c r="D82" s="26"/>
      <c r="E82" s="26"/>
    </row>
    <row r="83" spans="4:5" ht="15.75" customHeight="1">
      <c r="D83" s="26"/>
      <c r="E83" s="26"/>
    </row>
    <row r="84" spans="4:5" ht="15.75" customHeight="1">
      <c r="D84" s="26"/>
      <c r="E84" s="26"/>
    </row>
    <row r="85" spans="4:5" ht="15.75" customHeight="1">
      <c r="D85" s="26"/>
      <c r="E85" s="26"/>
    </row>
    <row r="86" spans="4:5" ht="15.75" customHeight="1">
      <c r="D86" s="26"/>
      <c r="E86" s="26"/>
    </row>
    <row r="87" spans="4:5" ht="15.75" customHeight="1">
      <c r="D87" s="26"/>
      <c r="E87" s="26"/>
    </row>
    <row r="88" spans="4:5" ht="15.75" customHeight="1">
      <c r="D88" s="26"/>
      <c r="E88" s="26"/>
    </row>
    <row r="89" spans="4:5" ht="15.75" customHeight="1">
      <c r="D89" s="26"/>
      <c r="E89" s="26"/>
    </row>
    <row r="90" spans="4:5" ht="15.75" customHeight="1">
      <c r="D90" s="26"/>
      <c r="E90" s="26"/>
    </row>
    <row r="91" spans="4:5" ht="15.75" customHeight="1">
      <c r="D91" s="26"/>
      <c r="E91" s="26"/>
    </row>
    <row r="92" spans="4:5" ht="15.75" customHeight="1">
      <c r="D92" s="26"/>
      <c r="E92" s="26"/>
    </row>
    <row r="93" spans="4:5" ht="15.75" customHeight="1">
      <c r="D93" s="26"/>
      <c r="E93" s="26"/>
    </row>
    <row r="94" spans="4:5" ht="15.75" customHeight="1">
      <c r="D94" s="26"/>
      <c r="E94" s="26"/>
    </row>
    <row r="95" spans="4:5" ht="15.75" customHeight="1">
      <c r="D95" s="26"/>
      <c r="E95" s="26"/>
    </row>
    <row r="96" spans="4:5" ht="15.75" customHeight="1">
      <c r="D96" s="26"/>
      <c r="E96" s="26"/>
    </row>
    <row r="97" spans="4:5" ht="15.75" customHeight="1">
      <c r="D97" s="26"/>
      <c r="E97" s="26"/>
    </row>
    <row r="98" spans="4:5" ht="15.75" customHeight="1">
      <c r="D98" s="26"/>
      <c r="E98" s="26"/>
    </row>
    <row r="99" spans="4:5" ht="15.75" customHeight="1">
      <c r="D99" s="26"/>
      <c r="E99" s="26"/>
    </row>
    <row r="100" spans="4:5" ht="15.75" customHeight="1">
      <c r="D100" s="26"/>
      <c r="E100" s="26"/>
    </row>
    <row r="101" spans="4:5" ht="15.75" customHeight="1">
      <c r="D101" s="26"/>
      <c r="E101" s="26"/>
    </row>
    <row r="102" spans="4:5" ht="15.75" customHeight="1">
      <c r="D102" s="26"/>
      <c r="E102" s="26"/>
    </row>
    <row r="103" spans="4:5" ht="15.75" customHeight="1">
      <c r="D103" s="26"/>
      <c r="E103" s="26"/>
    </row>
    <row r="104" spans="4:5" ht="15.75" customHeight="1">
      <c r="D104" s="26"/>
      <c r="E104" s="26"/>
    </row>
    <row r="105" spans="4:5" ht="15.75" customHeight="1">
      <c r="D105" s="26"/>
      <c r="E105" s="26"/>
    </row>
    <row r="106" spans="4:5" ht="15.75" customHeight="1">
      <c r="D106" s="26"/>
      <c r="E106" s="26"/>
    </row>
    <row r="107" spans="4:5" ht="15.75" customHeight="1">
      <c r="D107" s="26"/>
      <c r="E107" s="26"/>
    </row>
    <row r="108" spans="4:5" ht="15.75" customHeight="1">
      <c r="D108" s="26"/>
      <c r="E108" s="26"/>
    </row>
    <row r="109" spans="4:5" ht="15.75" customHeight="1">
      <c r="D109" s="26"/>
      <c r="E109" s="26"/>
    </row>
    <row r="110" spans="4:5" ht="15.75" customHeight="1">
      <c r="D110" s="26"/>
      <c r="E110" s="26"/>
    </row>
    <row r="111" spans="4:5" ht="15.75" customHeight="1">
      <c r="D111" s="26"/>
      <c r="E111" s="26"/>
    </row>
    <row r="112" spans="4:5" ht="15.75" customHeight="1">
      <c r="D112" s="26"/>
      <c r="E112" s="26"/>
    </row>
    <row r="113" spans="4:5" ht="15.75" customHeight="1">
      <c r="D113" s="26"/>
      <c r="E113" s="26"/>
    </row>
    <row r="114" spans="4:5" ht="15.75" customHeight="1">
      <c r="D114" s="26"/>
      <c r="E114" s="26"/>
    </row>
    <row r="115" spans="4:5" ht="15.75" customHeight="1">
      <c r="D115" s="26"/>
      <c r="E115" s="26"/>
    </row>
    <row r="116" spans="4:5" ht="15.75" customHeight="1">
      <c r="D116" s="26"/>
      <c r="E116" s="26"/>
    </row>
    <row r="117" spans="4:5" ht="15.75" customHeight="1">
      <c r="D117" s="26"/>
      <c r="E117" s="26"/>
    </row>
    <row r="118" spans="4:5" ht="15.75" customHeight="1">
      <c r="D118" s="26"/>
      <c r="E118" s="26"/>
    </row>
    <row r="119" spans="4:5" ht="15.75" customHeight="1">
      <c r="D119" s="26"/>
      <c r="E119" s="26"/>
    </row>
    <row r="120" spans="4:5" ht="15.75" customHeight="1">
      <c r="D120" s="26"/>
      <c r="E120" s="26"/>
    </row>
    <row r="121" spans="4:5" ht="15.75" customHeight="1">
      <c r="D121" s="26"/>
      <c r="E121" s="26"/>
    </row>
    <row r="122" spans="4:5" ht="15.75" customHeight="1">
      <c r="D122" s="26"/>
      <c r="E122" s="26"/>
    </row>
    <row r="123" spans="4:5" ht="15.75" customHeight="1">
      <c r="D123" s="26"/>
      <c r="E123" s="26"/>
    </row>
    <row r="124" spans="4:5" ht="15.75" customHeight="1">
      <c r="D124" s="26"/>
      <c r="E124" s="26"/>
    </row>
    <row r="125" spans="4:5" ht="15.75" customHeight="1">
      <c r="D125" s="26"/>
      <c r="E125" s="26"/>
    </row>
    <row r="126" spans="4:5" ht="15.75" customHeight="1">
      <c r="D126" s="26"/>
      <c r="E126" s="26"/>
    </row>
    <row r="127" spans="4:5" ht="15.75" customHeight="1">
      <c r="D127" s="26"/>
      <c r="E127" s="26"/>
    </row>
    <row r="128" spans="4:5" ht="15.75" customHeight="1">
      <c r="D128" s="26"/>
      <c r="E128" s="26"/>
    </row>
    <row r="129" spans="4:5" ht="15.75" customHeight="1">
      <c r="D129" s="26"/>
      <c r="E129" s="26"/>
    </row>
    <row r="130" spans="4:5" ht="15.75" customHeight="1">
      <c r="D130" s="26"/>
      <c r="E130" s="26"/>
    </row>
    <row r="131" spans="4:5" ht="15.75" customHeight="1">
      <c r="D131" s="26"/>
      <c r="E131" s="26"/>
    </row>
    <row r="132" spans="4:5" ht="15.75" customHeight="1">
      <c r="D132" s="26"/>
      <c r="E132" s="26"/>
    </row>
    <row r="133" spans="4:5" ht="15.75" customHeight="1">
      <c r="D133" s="26"/>
      <c r="E133" s="26"/>
    </row>
    <row r="134" spans="4:5" ht="15.75" customHeight="1">
      <c r="D134" s="26"/>
      <c r="E134" s="26"/>
    </row>
    <row r="135" spans="4:5" ht="15.75" customHeight="1">
      <c r="D135" s="26"/>
      <c r="E135" s="26"/>
    </row>
    <row r="136" spans="4:5" ht="15.75" customHeight="1">
      <c r="D136" s="26"/>
      <c r="E136" s="26"/>
    </row>
    <row r="137" spans="4:5" ht="15.75" customHeight="1">
      <c r="D137" s="26"/>
      <c r="E137" s="26"/>
    </row>
    <row r="138" spans="4:5" ht="15.75" customHeight="1">
      <c r="D138" s="26"/>
      <c r="E138" s="26"/>
    </row>
    <row r="139" spans="4:5" ht="15.75" customHeight="1">
      <c r="D139" s="26"/>
      <c r="E139" s="26"/>
    </row>
    <row r="140" spans="4:5" ht="15.75" customHeight="1">
      <c r="D140" s="26"/>
      <c r="E140" s="26"/>
    </row>
    <row r="141" spans="4:5" ht="15.75" customHeight="1">
      <c r="D141" s="26"/>
      <c r="E141" s="26"/>
    </row>
    <row r="142" spans="4:5" ht="15.75" customHeight="1">
      <c r="D142" s="26"/>
      <c r="E142" s="26"/>
    </row>
    <row r="143" spans="4:5" ht="15.75" customHeight="1">
      <c r="D143" s="26"/>
      <c r="E143" s="26"/>
    </row>
    <row r="144" spans="4:5" ht="15.75" customHeight="1">
      <c r="D144" s="26"/>
      <c r="E144" s="26"/>
    </row>
    <row r="145" spans="4:5" ht="15.75" customHeight="1">
      <c r="D145" s="26"/>
      <c r="E145" s="26"/>
    </row>
    <row r="146" spans="4:5" ht="15.75" customHeight="1">
      <c r="D146" s="26"/>
      <c r="E146" s="26"/>
    </row>
    <row r="147" spans="4:5" ht="15.75" customHeight="1">
      <c r="D147" s="26"/>
      <c r="E147" s="26"/>
    </row>
    <row r="148" spans="4:5" ht="15.75" customHeight="1">
      <c r="D148" s="26"/>
      <c r="E148" s="26"/>
    </row>
    <row r="149" spans="4:5" ht="15.75" customHeight="1">
      <c r="D149" s="26"/>
      <c r="E149" s="26"/>
    </row>
    <row r="150" spans="4:5" ht="15.75" customHeight="1">
      <c r="D150" s="26"/>
      <c r="E150" s="26"/>
    </row>
    <row r="151" spans="4:5" ht="15.75" customHeight="1">
      <c r="D151" s="26"/>
      <c r="E151" s="26"/>
    </row>
    <row r="152" spans="4:5" ht="15.75" customHeight="1">
      <c r="D152" s="26"/>
      <c r="E152" s="26"/>
    </row>
    <row r="153" spans="4:5" ht="15.75" customHeight="1">
      <c r="D153" s="26"/>
      <c r="E153" s="26"/>
    </row>
    <row r="154" spans="4:5" ht="15.75" customHeight="1">
      <c r="D154" s="26"/>
      <c r="E154" s="26"/>
    </row>
    <row r="155" spans="4:5" ht="15.75" customHeight="1">
      <c r="D155" s="26"/>
      <c r="E155" s="26"/>
    </row>
    <row r="156" spans="4:5" ht="15.75" customHeight="1">
      <c r="D156" s="26"/>
      <c r="E156" s="26"/>
    </row>
    <row r="157" spans="4:5" ht="15.75" customHeight="1">
      <c r="D157" s="26"/>
      <c r="E157" s="26"/>
    </row>
    <row r="158" spans="4:5" ht="15.75" customHeight="1">
      <c r="D158" s="26"/>
      <c r="E158" s="26"/>
    </row>
    <row r="159" spans="4:5" ht="15.75" customHeight="1">
      <c r="D159" s="26"/>
      <c r="E159" s="26"/>
    </row>
    <row r="160" spans="4:5" ht="15.75" customHeight="1">
      <c r="D160" s="26"/>
      <c r="E160" s="26"/>
    </row>
    <row r="161" spans="4:5" ht="15.75" customHeight="1">
      <c r="D161" s="26"/>
      <c r="E161" s="26"/>
    </row>
    <row r="162" spans="4:5" ht="15.75" customHeight="1">
      <c r="D162" s="26"/>
      <c r="E162" s="26"/>
    </row>
    <row r="163" spans="4:5" ht="15.75" customHeight="1">
      <c r="D163" s="26"/>
      <c r="E163" s="26"/>
    </row>
    <row r="164" spans="4:5" ht="15.75" customHeight="1">
      <c r="D164" s="26"/>
      <c r="E164" s="26"/>
    </row>
    <row r="165" spans="4:5" ht="15.75" customHeight="1">
      <c r="D165" s="26"/>
      <c r="E165" s="26"/>
    </row>
    <row r="166" spans="4:5" ht="15.75" customHeight="1">
      <c r="D166" s="26"/>
      <c r="E166" s="26"/>
    </row>
    <row r="167" spans="4:5" ht="15.75" customHeight="1">
      <c r="D167" s="26"/>
      <c r="E167" s="26"/>
    </row>
    <row r="168" spans="4:5" ht="15.75" customHeight="1">
      <c r="D168" s="26"/>
      <c r="E168" s="26"/>
    </row>
    <row r="169" spans="4:5" ht="15.75" customHeight="1">
      <c r="D169" s="26"/>
      <c r="E169" s="26"/>
    </row>
    <row r="170" spans="4:5" ht="15.75" customHeight="1">
      <c r="D170" s="26"/>
      <c r="E170" s="26"/>
    </row>
    <row r="171" spans="4:5" ht="15.75" customHeight="1">
      <c r="D171" s="26"/>
      <c r="E171" s="26"/>
    </row>
    <row r="172" spans="4:5" ht="15.75" customHeight="1">
      <c r="D172" s="26"/>
      <c r="E172" s="26"/>
    </row>
    <row r="173" spans="4:5" ht="15.75" customHeight="1">
      <c r="D173" s="26"/>
      <c r="E173" s="26"/>
    </row>
    <row r="174" spans="4:5" ht="15.75" customHeight="1">
      <c r="D174" s="26"/>
      <c r="E174" s="26"/>
    </row>
    <row r="175" spans="4:5" ht="15.75" customHeight="1">
      <c r="D175" s="26"/>
      <c r="E175" s="26"/>
    </row>
    <row r="176" spans="4:5" ht="15.75" customHeight="1">
      <c r="D176" s="26"/>
      <c r="E176" s="26"/>
    </row>
    <row r="177" spans="4:5" ht="15.75" customHeight="1">
      <c r="D177" s="26"/>
      <c r="E177" s="26"/>
    </row>
    <row r="178" spans="4:5" ht="15.75" customHeight="1">
      <c r="D178" s="26"/>
      <c r="E178" s="26"/>
    </row>
    <row r="179" spans="4:5" ht="15.75" customHeight="1">
      <c r="D179" s="26"/>
      <c r="E179" s="26"/>
    </row>
    <row r="180" spans="4:5" ht="15.75" customHeight="1">
      <c r="D180" s="26"/>
      <c r="E180" s="26"/>
    </row>
    <row r="181" spans="4:5" ht="15.75" customHeight="1">
      <c r="D181" s="26"/>
      <c r="E181" s="26"/>
    </row>
    <row r="182" spans="4:5" ht="15.75" customHeight="1">
      <c r="D182" s="26"/>
      <c r="E182" s="26"/>
    </row>
    <row r="183" spans="4:5" ht="15.75" customHeight="1">
      <c r="D183" s="26"/>
      <c r="E183" s="26"/>
    </row>
    <row r="184" spans="4:5" ht="15.75" customHeight="1">
      <c r="D184" s="26"/>
      <c r="E184" s="26"/>
    </row>
    <row r="185" spans="4:5" ht="15.75" customHeight="1">
      <c r="D185" s="26"/>
      <c r="E185" s="26"/>
    </row>
    <row r="186" spans="4:5" ht="15.75" customHeight="1">
      <c r="D186" s="26"/>
      <c r="E186" s="26"/>
    </row>
    <row r="187" spans="4:5" ht="15.75" customHeight="1">
      <c r="D187" s="26"/>
      <c r="E187" s="26"/>
    </row>
    <row r="188" spans="4:5" ht="15.75" customHeight="1">
      <c r="D188" s="26"/>
      <c r="E188" s="26"/>
    </row>
    <row r="189" spans="4:5" ht="15.75" customHeight="1">
      <c r="D189" s="26"/>
      <c r="E189" s="26"/>
    </row>
    <row r="190" spans="4:5" ht="15.75" customHeight="1">
      <c r="D190" s="26"/>
      <c r="E190" s="26"/>
    </row>
    <row r="191" spans="4:5" ht="15.75" customHeight="1">
      <c r="D191" s="26"/>
      <c r="E191" s="26"/>
    </row>
    <row r="192" spans="4:5" ht="15.75" customHeight="1">
      <c r="D192" s="26"/>
      <c r="E192" s="26"/>
    </row>
    <row r="193" spans="4:5" ht="15.75" customHeight="1">
      <c r="D193" s="26"/>
      <c r="E193" s="26"/>
    </row>
    <row r="194" spans="4:5" ht="15.75" customHeight="1">
      <c r="D194" s="26"/>
      <c r="E194" s="26"/>
    </row>
    <row r="195" spans="4:5" ht="15.75" customHeight="1">
      <c r="D195" s="26"/>
      <c r="E195" s="26"/>
    </row>
    <row r="196" spans="4:5" ht="15.75" customHeight="1">
      <c r="D196" s="26"/>
      <c r="E196" s="26"/>
    </row>
    <row r="197" spans="4:5" ht="15.75" customHeight="1">
      <c r="D197" s="26"/>
      <c r="E197" s="26"/>
    </row>
    <row r="198" spans="4:5" ht="15.75" customHeight="1">
      <c r="D198" s="26"/>
      <c r="E198" s="26"/>
    </row>
    <row r="199" spans="4:5" ht="15.75" customHeight="1">
      <c r="D199" s="26"/>
      <c r="E199" s="26"/>
    </row>
    <row r="200" spans="4:5" ht="15.75" customHeight="1">
      <c r="D200" s="26"/>
      <c r="E200" s="26"/>
    </row>
    <row r="201" spans="4:5" ht="15.75" customHeight="1">
      <c r="D201" s="26"/>
      <c r="E201" s="26"/>
    </row>
    <row r="202" spans="4:5" ht="15.75" customHeight="1">
      <c r="D202" s="26"/>
      <c r="E202" s="26"/>
    </row>
    <row r="203" spans="4:5" ht="15.75" customHeight="1">
      <c r="D203" s="26"/>
      <c r="E203" s="26"/>
    </row>
    <row r="204" spans="4:5" ht="15.75" customHeight="1">
      <c r="D204" s="26"/>
      <c r="E204" s="26"/>
    </row>
    <row r="205" spans="4:5" ht="15.75" customHeight="1">
      <c r="D205" s="26"/>
      <c r="E205" s="26"/>
    </row>
    <row r="206" spans="4:5" ht="15.75" customHeight="1">
      <c r="D206" s="26"/>
      <c r="E206" s="26"/>
    </row>
    <row r="207" spans="4:5" ht="15.75" customHeight="1">
      <c r="D207" s="26"/>
      <c r="E207" s="26"/>
    </row>
    <row r="208" spans="4:5" ht="15.75" customHeight="1">
      <c r="D208" s="26"/>
      <c r="E208" s="26"/>
    </row>
    <row r="209" spans="4:5" ht="15.75" customHeight="1">
      <c r="D209" s="26"/>
      <c r="E209" s="26"/>
    </row>
    <row r="210" spans="4:5" ht="15.75" customHeight="1">
      <c r="D210" s="26"/>
      <c r="E210" s="26"/>
    </row>
    <row r="211" spans="4:5" ht="15.75" customHeight="1">
      <c r="D211" s="26"/>
      <c r="E211" s="26"/>
    </row>
    <row r="212" spans="4:5" ht="15.75" customHeight="1">
      <c r="D212" s="26"/>
      <c r="E212" s="26"/>
    </row>
    <row r="213" spans="4:5" ht="15.75" customHeight="1">
      <c r="D213" s="26"/>
      <c r="E213" s="26"/>
    </row>
    <row r="214" spans="4:5" ht="15.75" customHeight="1">
      <c r="D214" s="26"/>
      <c r="E214" s="26"/>
    </row>
    <row r="215" spans="4:5" ht="15.75" customHeight="1">
      <c r="D215" s="26"/>
      <c r="E215" s="26"/>
    </row>
    <row r="216" spans="4:5" ht="15.75" customHeight="1">
      <c r="D216" s="26"/>
      <c r="E216" s="26"/>
    </row>
    <row r="217" spans="4:5" ht="15.75" customHeight="1">
      <c r="D217" s="26"/>
      <c r="E217" s="26"/>
    </row>
    <row r="218" spans="4:5" ht="15.75" customHeight="1">
      <c r="D218" s="26"/>
      <c r="E218" s="26"/>
    </row>
    <row r="219" spans="4:5" ht="15.75" customHeight="1">
      <c r="D219" s="26"/>
      <c r="E219" s="26"/>
    </row>
    <row r="220" spans="4:5" ht="15.75" customHeight="1">
      <c r="D220" s="26"/>
      <c r="E220" s="26"/>
    </row>
    <row r="221" spans="4:5" ht="15.75" customHeight="1">
      <c r="D221" s="26"/>
      <c r="E221" s="26"/>
    </row>
    <row r="222" spans="4:5" ht="15.75" customHeight="1">
      <c r="D222" s="26"/>
      <c r="E222" s="26"/>
    </row>
    <row r="223" spans="4:5" ht="15.75" customHeight="1">
      <c r="D223" s="26"/>
      <c r="E223" s="26"/>
    </row>
    <row r="224" spans="4:5" ht="15.75" customHeight="1">
      <c r="D224" s="26"/>
      <c r="E224" s="26"/>
    </row>
    <row r="225" spans="4:5" ht="15.75" customHeight="1">
      <c r="D225" s="26"/>
      <c r="E225" s="26"/>
    </row>
    <row r="226" spans="4:5" ht="15.75" customHeight="1">
      <c r="D226" s="26"/>
      <c r="E226" s="26"/>
    </row>
    <row r="227" spans="4:5" ht="15.75" customHeight="1">
      <c r="D227" s="26"/>
      <c r="E227" s="26"/>
    </row>
    <row r="228" spans="4:5" ht="15.75" customHeight="1">
      <c r="D228" s="26"/>
      <c r="E228" s="26"/>
    </row>
    <row r="229" spans="4:5" ht="15.75" customHeight="1">
      <c r="D229" s="26"/>
      <c r="E229" s="26"/>
    </row>
    <row r="230" spans="4:5" ht="15.75" customHeight="1">
      <c r="D230" s="26"/>
      <c r="E230" s="26"/>
    </row>
    <row r="231" spans="4:5" ht="15.75" customHeight="1">
      <c r="D231" s="26"/>
      <c r="E231" s="26"/>
    </row>
    <row r="232" spans="4:5" ht="15.75" customHeight="1">
      <c r="D232" s="26"/>
      <c r="E232" s="26"/>
    </row>
    <row r="233" spans="4:5" ht="15.75" customHeight="1">
      <c r="D233" s="26"/>
      <c r="E233" s="26"/>
    </row>
    <row r="234" spans="4:5" ht="15.75" customHeight="1">
      <c r="D234" s="26"/>
      <c r="E234" s="26"/>
    </row>
    <row r="235" spans="4:5" ht="15.75" customHeight="1">
      <c r="D235" s="26"/>
      <c r="E235" s="26"/>
    </row>
    <row r="236" spans="4:5" ht="15.75" customHeight="1">
      <c r="D236" s="26"/>
      <c r="E236" s="26"/>
    </row>
    <row r="237" spans="4:5" ht="15.75" customHeight="1">
      <c r="D237" s="26"/>
      <c r="E237" s="26"/>
    </row>
    <row r="238" spans="4:5" ht="15.75" customHeight="1">
      <c r="D238" s="26"/>
      <c r="E238" s="26"/>
    </row>
    <row r="239" spans="4:5" ht="15.75" customHeight="1">
      <c r="D239" s="26"/>
      <c r="E239" s="26"/>
    </row>
    <row r="240" spans="4:5" ht="15.75" customHeight="1">
      <c r="D240" s="26"/>
      <c r="E240" s="26"/>
    </row>
    <row r="241" spans="4:5" ht="15.75" customHeight="1">
      <c r="D241" s="26"/>
      <c r="E241" s="26"/>
    </row>
    <row r="242" spans="4:5" ht="15.75" customHeight="1">
      <c r="D242" s="26"/>
      <c r="E242" s="26"/>
    </row>
    <row r="243" spans="4:5" ht="15.75" customHeight="1">
      <c r="D243" s="26"/>
      <c r="E243" s="26"/>
    </row>
    <row r="244" spans="4:5" ht="15.75" customHeight="1">
      <c r="D244" s="26"/>
      <c r="E244" s="26"/>
    </row>
    <row r="245" spans="4:5" ht="15.75" customHeight="1">
      <c r="D245" s="26"/>
      <c r="E245" s="26"/>
    </row>
    <row r="246" spans="4:5" ht="15.75" customHeight="1">
      <c r="D246" s="26"/>
      <c r="E246" s="26"/>
    </row>
    <row r="247" spans="4:5" ht="15.75" customHeight="1">
      <c r="D247" s="26"/>
      <c r="E247" s="26"/>
    </row>
    <row r="248" spans="4:5" ht="15.75" customHeight="1">
      <c r="D248" s="26"/>
      <c r="E248" s="26"/>
    </row>
    <row r="249" spans="4:5" ht="15.75" customHeight="1">
      <c r="D249" s="26"/>
      <c r="E249" s="26"/>
    </row>
    <row r="250" spans="4:5" ht="15.75" customHeight="1">
      <c r="D250" s="26"/>
      <c r="E250" s="26"/>
    </row>
    <row r="251" spans="4:5" ht="15.75" customHeight="1">
      <c r="D251" s="26"/>
      <c r="E251" s="26"/>
    </row>
    <row r="252" spans="4:5" ht="15.75" customHeight="1">
      <c r="D252" s="26"/>
      <c r="E252" s="26"/>
    </row>
    <row r="253" spans="4:5" ht="15.75" customHeight="1">
      <c r="D253" s="26"/>
      <c r="E253" s="26"/>
    </row>
    <row r="254" spans="4:5" ht="15.75" customHeight="1">
      <c r="D254" s="26"/>
      <c r="E254" s="26"/>
    </row>
    <row r="255" spans="4:5" ht="15.75" customHeight="1">
      <c r="D255" s="26"/>
      <c r="E255" s="26"/>
    </row>
    <row r="256" spans="4:5" ht="15.75" customHeight="1">
      <c r="D256" s="26"/>
      <c r="E256" s="26"/>
    </row>
    <row r="257" spans="4:5" ht="15.75" customHeight="1">
      <c r="D257" s="26"/>
      <c r="E257" s="26"/>
    </row>
    <row r="258" spans="4:5" ht="15.75" customHeight="1">
      <c r="D258" s="26"/>
      <c r="E258" s="26"/>
    </row>
    <row r="259" spans="4:5" ht="15.75" customHeight="1">
      <c r="D259" s="26"/>
      <c r="E259" s="26"/>
    </row>
    <row r="260" spans="4:5" ht="15.75" customHeight="1">
      <c r="D260" s="26"/>
      <c r="E260" s="26"/>
    </row>
    <row r="261" spans="4:5" ht="15.75" customHeight="1">
      <c r="D261" s="26"/>
      <c r="E261" s="26"/>
    </row>
    <row r="262" spans="4:5" ht="15.75" customHeight="1">
      <c r="D262" s="26"/>
      <c r="E262" s="26"/>
    </row>
    <row r="263" spans="4:5" ht="15.75" customHeight="1">
      <c r="D263" s="26"/>
      <c r="E263" s="26"/>
    </row>
    <row r="264" spans="4:5" ht="15.75" customHeight="1">
      <c r="D264" s="26"/>
      <c r="E264" s="26"/>
    </row>
    <row r="265" spans="4:5" ht="15.75" customHeight="1">
      <c r="D265" s="26"/>
      <c r="E265" s="26"/>
    </row>
    <row r="266" spans="4:5" ht="15.75" customHeight="1">
      <c r="D266" s="26"/>
      <c r="E266" s="26"/>
    </row>
    <row r="267" spans="4:5" ht="15.75" customHeight="1">
      <c r="D267" s="26"/>
      <c r="E267" s="26"/>
    </row>
    <row r="268" spans="4:5" ht="15.75" customHeight="1">
      <c r="D268" s="26"/>
      <c r="E268" s="26"/>
    </row>
    <row r="269" spans="4:5" ht="15.75" customHeight="1">
      <c r="D269" s="26"/>
      <c r="E269" s="26"/>
    </row>
    <row r="270" spans="4:5" ht="15.75" customHeight="1">
      <c r="D270" s="26"/>
      <c r="E270" s="26"/>
    </row>
    <row r="271" spans="4:5" ht="15.75" customHeight="1">
      <c r="D271" s="26"/>
      <c r="E271" s="26"/>
    </row>
    <row r="272" spans="4:5" ht="15.75" customHeight="1">
      <c r="D272" s="26"/>
      <c r="E272" s="26"/>
    </row>
    <row r="273" spans="4:5" ht="15.75" customHeight="1">
      <c r="D273" s="26"/>
      <c r="E273" s="26"/>
    </row>
    <row r="274" spans="4:5" ht="15.75" customHeight="1">
      <c r="D274" s="26"/>
      <c r="E274" s="26"/>
    </row>
    <row r="275" spans="4:5" ht="15.75" customHeight="1">
      <c r="D275" s="26"/>
      <c r="E275" s="26"/>
    </row>
    <row r="276" spans="4:5" ht="15.75" customHeight="1">
      <c r="D276" s="26"/>
      <c r="E276" s="26"/>
    </row>
    <row r="277" spans="4:5" ht="15.75" customHeight="1">
      <c r="D277" s="26"/>
      <c r="E277" s="26"/>
    </row>
    <row r="278" spans="4:5" ht="15.75" customHeight="1">
      <c r="D278" s="26"/>
      <c r="E278" s="26"/>
    </row>
    <row r="279" spans="4:5" ht="15.75" customHeight="1">
      <c r="D279" s="26"/>
      <c r="E279" s="26"/>
    </row>
    <row r="280" spans="4:5" ht="15.75" customHeight="1">
      <c r="D280" s="26"/>
      <c r="E280" s="26"/>
    </row>
    <row r="281" spans="4:5" ht="15.75" customHeight="1">
      <c r="D281" s="26"/>
      <c r="E281" s="26"/>
    </row>
    <row r="282" spans="4:5" ht="15.75" customHeight="1">
      <c r="D282" s="26"/>
      <c r="E282" s="26"/>
    </row>
    <row r="283" spans="4:5" ht="15.75" customHeight="1">
      <c r="D283" s="26"/>
      <c r="E283" s="26"/>
    </row>
    <row r="284" spans="4:5" ht="15.75" customHeight="1">
      <c r="D284" s="26"/>
      <c r="E284" s="26"/>
    </row>
    <row r="285" spans="4:5" ht="15.75" customHeight="1">
      <c r="D285" s="26"/>
      <c r="E285" s="26"/>
    </row>
    <row r="286" spans="4:5" ht="15.75" customHeight="1">
      <c r="D286" s="26"/>
      <c r="E286" s="26"/>
    </row>
    <row r="287" spans="4:5" ht="15.75" customHeight="1">
      <c r="D287" s="26"/>
      <c r="E287" s="26"/>
    </row>
    <row r="288" spans="4:5" ht="15.75" customHeight="1">
      <c r="D288" s="26"/>
      <c r="E288" s="26"/>
    </row>
    <row r="289" spans="4:5" ht="15.75" customHeight="1">
      <c r="D289" s="26"/>
      <c r="E289" s="26"/>
    </row>
    <row r="290" spans="4:5" ht="15.75" customHeight="1">
      <c r="D290" s="26"/>
      <c r="E290" s="26"/>
    </row>
    <row r="291" spans="4:5" ht="15.75" customHeight="1">
      <c r="D291" s="26"/>
      <c r="E291" s="26"/>
    </row>
    <row r="292" spans="4:5" ht="15.75" customHeight="1">
      <c r="D292" s="26"/>
      <c r="E292" s="26"/>
    </row>
    <row r="293" spans="4:5" ht="15.75" customHeight="1">
      <c r="D293" s="26"/>
      <c r="E293" s="26"/>
    </row>
    <row r="294" spans="4:5" ht="15.75" customHeight="1">
      <c r="D294" s="26"/>
      <c r="E294" s="26"/>
    </row>
    <row r="295" spans="4:5" ht="15.75" customHeight="1">
      <c r="D295" s="26"/>
      <c r="E295" s="26"/>
    </row>
    <row r="296" spans="4:5" ht="15.75" customHeight="1">
      <c r="D296" s="26"/>
      <c r="E296" s="26"/>
    </row>
    <row r="297" spans="4:5" ht="15.75" customHeight="1">
      <c r="D297" s="26"/>
      <c r="E297" s="26"/>
    </row>
    <row r="298" spans="4:5" ht="15.75" customHeight="1">
      <c r="D298" s="26"/>
      <c r="E298" s="26"/>
    </row>
    <row r="299" spans="4:5" ht="15.75" customHeight="1">
      <c r="D299" s="26"/>
      <c r="E299" s="26"/>
    </row>
    <row r="300" spans="4:5" ht="15.75" customHeight="1">
      <c r="D300" s="26"/>
      <c r="E300" s="26"/>
    </row>
    <row r="301" spans="4:5" ht="15.75" customHeight="1">
      <c r="D301" s="26"/>
      <c r="E301" s="26"/>
    </row>
    <row r="302" spans="4:5" ht="15.75" customHeight="1">
      <c r="D302" s="26"/>
      <c r="E302" s="26"/>
    </row>
    <row r="303" spans="4:5" ht="15.75" customHeight="1">
      <c r="D303" s="26"/>
      <c r="E303" s="26"/>
    </row>
    <row r="304" spans="4:5" ht="15.75" customHeight="1">
      <c r="D304" s="26"/>
      <c r="E304" s="26"/>
    </row>
    <row r="305" spans="4:5" ht="15.75" customHeight="1">
      <c r="D305" s="26"/>
      <c r="E305" s="26"/>
    </row>
    <row r="306" spans="4:5" ht="15.75" customHeight="1">
      <c r="D306" s="26"/>
      <c r="E306" s="26"/>
    </row>
    <row r="307" spans="4:5" ht="15.75" customHeight="1">
      <c r="D307" s="26"/>
      <c r="E307" s="26"/>
    </row>
    <row r="308" spans="4:5" ht="15.75" customHeight="1">
      <c r="D308" s="26"/>
      <c r="E308" s="26"/>
    </row>
    <row r="309" spans="4:5" ht="15.75" customHeight="1">
      <c r="D309" s="26"/>
      <c r="E309" s="26"/>
    </row>
    <row r="310" spans="4:5" ht="15.75" customHeight="1">
      <c r="D310" s="26"/>
      <c r="E310" s="26"/>
    </row>
    <row r="311" spans="4:5" ht="15.75" customHeight="1">
      <c r="D311" s="26"/>
      <c r="E311" s="26"/>
    </row>
    <row r="312" spans="4:5" ht="15.75" customHeight="1">
      <c r="D312" s="26"/>
      <c r="E312" s="26"/>
    </row>
    <row r="313" spans="4:5" ht="15.75" customHeight="1">
      <c r="D313" s="26"/>
      <c r="E313" s="26"/>
    </row>
    <row r="314" spans="4:5" ht="15.75" customHeight="1">
      <c r="D314" s="26"/>
      <c r="E314" s="26"/>
    </row>
    <row r="315" spans="4:5" ht="15.75" customHeight="1">
      <c r="D315" s="26"/>
      <c r="E315" s="26"/>
    </row>
    <row r="316" spans="4:5" ht="15.75" customHeight="1">
      <c r="D316" s="26"/>
      <c r="E316" s="26"/>
    </row>
    <row r="317" spans="4:5" ht="15.75" customHeight="1">
      <c r="D317" s="26"/>
      <c r="E317" s="26"/>
    </row>
    <row r="318" spans="4:5" ht="15.75" customHeight="1">
      <c r="D318" s="26"/>
      <c r="E318" s="26"/>
    </row>
    <row r="319" spans="4:5" ht="15.75" customHeight="1">
      <c r="D319" s="26"/>
      <c r="E319" s="26"/>
    </row>
    <row r="320" spans="4:5" ht="15.75" customHeight="1">
      <c r="D320" s="26"/>
      <c r="E320" s="26"/>
    </row>
    <row r="321" spans="4:5" ht="15.75" customHeight="1">
      <c r="D321" s="26"/>
      <c r="E321" s="26"/>
    </row>
    <row r="322" spans="4:5" ht="15.75" customHeight="1">
      <c r="D322" s="26"/>
      <c r="E322" s="26"/>
    </row>
    <row r="323" spans="4:5" ht="15.75" customHeight="1">
      <c r="D323" s="26"/>
      <c r="E323" s="26"/>
    </row>
    <row r="324" spans="4:5" ht="15.75" customHeight="1">
      <c r="D324" s="26"/>
      <c r="E324" s="26"/>
    </row>
    <row r="325" spans="4:5" ht="15.75" customHeight="1">
      <c r="D325" s="26"/>
      <c r="E325" s="26"/>
    </row>
    <row r="326" spans="4:5" ht="15.75" customHeight="1">
      <c r="D326" s="26"/>
      <c r="E326" s="26"/>
    </row>
    <row r="327" spans="4:5" ht="15.75" customHeight="1">
      <c r="D327" s="26"/>
      <c r="E327" s="26"/>
    </row>
    <row r="328" spans="4:5" ht="15.75" customHeight="1">
      <c r="D328" s="26"/>
      <c r="E328" s="26"/>
    </row>
    <row r="329" spans="4:5" ht="15.75" customHeight="1">
      <c r="D329" s="26"/>
      <c r="E329" s="26"/>
    </row>
    <row r="330" spans="4:5" ht="15.75" customHeight="1">
      <c r="D330" s="26"/>
      <c r="E330" s="26"/>
    </row>
    <row r="331" spans="4:5" ht="15.75" customHeight="1">
      <c r="D331" s="26"/>
      <c r="E331" s="26"/>
    </row>
    <row r="332" spans="4:5" ht="15.75" customHeight="1">
      <c r="D332" s="26"/>
      <c r="E332" s="26"/>
    </row>
    <row r="333" spans="4:5" ht="15.75" customHeight="1">
      <c r="D333" s="26"/>
      <c r="E333" s="26"/>
    </row>
    <row r="334" spans="4:5" ht="15.75" customHeight="1">
      <c r="D334" s="26"/>
      <c r="E334" s="26"/>
    </row>
    <row r="335" spans="4:5" ht="15.75" customHeight="1">
      <c r="D335" s="26"/>
      <c r="E335" s="26"/>
    </row>
    <row r="336" spans="4:5" ht="15.75" customHeight="1">
      <c r="D336" s="26"/>
      <c r="E336" s="26"/>
    </row>
    <row r="337" spans="4:5" ht="15.75" customHeight="1">
      <c r="D337" s="26"/>
      <c r="E337" s="26"/>
    </row>
    <row r="338" spans="4:5" ht="15.75" customHeight="1">
      <c r="D338" s="26"/>
      <c r="E338" s="26"/>
    </row>
    <row r="339" spans="4:5" ht="15.75" customHeight="1">
      <c r="D339" s="26"/>
      <c r="E339" s="26"/>
    </row>
    <row r="340" spans="4:5" ht="15.75" customHeight="1">
      <c r="D340" s="26"/>
      <c r="E340" s="26"/>
    </row>
    <row r="341" spans="4:5" ht="15.75" customHeight="1">
      <c r="D341" s="26"/>
      <c r="E341" s="26"/>
    </row>
    <row r="342" spans="4:5" ht="15.75" customHeight="1">
      <c r="D342" s="26"/>
      <c r="E342" s="26"/>
    </row>
    <row r="343" spans="4:5" ht="15.75" customHeight="1">
      <c r="D343" s="26"/>
      <c r="E343" s="26"/>
    </row>
    <row r="344" spans="4:5" ht="15.75" customHeight="1">
      <c r="D344" s="26"/>
      <c r="E344" s="26"/>
    </row>
    <row r="345" spans="4:5" ht="15.75" customHeight="1">
      <c r="D345" s="26"/>
      <c r="E345" s="26"/>
    </row>
    <row r="346" spans="4:5" ht="15.75" customHeight="1">
      <c r="D346" s="26"/>
      <c r="E346" s="26"/>
    </row>
    <row r="347" spans="4:5" ht="15.75" customHeight="1">
      <c r="D347" s="26"/>
      <c r="E347" s="26"/>
    </row>
    <row r="348" spans="4:5" ht="15.75" customHeight="1">
      <c r="D348" s="26"/>
      <c r="E348" s="26"/>
    </row>
    <row r="349" spans="4:5" ht="15.75" customHeight="1">
      <c r="D349" s="26"/>
      <c r="E349" s="26"/>
    </row>
    <row r="350" spans="4:5" ht="15.75" customHeight="1">
      <c r="D350" s="26"/>
      <c r="E350" s="26"/>
    </row>
    <row r="351" spans="4:5" ht="15.75" customHeight="1">
      <c r="D351" s="26"/>
      <c r="E351" s="26"/>
    </row>
    <row r="352" spans="4:5" ht="15.75" customHeight="1">
      <c r="D352" s="26"/>
      <c r="E352" s="26"/>
    </row>
    <row r="353" spans="4:5" ht="15.75" customHeight="1">
      <c r="D353" s="26"/>
      <c r="E353" s="26"/>
    </row>
    <row r="354" spans="4:5" ht="15.75" customHeight="1">
      <c r="D354" s="26"/>
      <c r="E354" s="26"/>
    </row>
    <row r="355" spans="4:5" ht="15.75" customHeight="1">
      <c r="D355" s="26"/>
      <c r="E355" s="26"/>
    </row>
    <row r="356" spans="4:5" ht="15.75" customHeight="1">
      <c r="D356" s="26"/>
      <c r="E356" s="26"/>
    </row>
    <row r="357" spans="4:5" ht="15.75" customHeight="1">
      <c r="D357" s="26"/>
      <c r="E357" s="26"/>
    </row>
    <row r="358" spans="4:5" ht="15.75" customHeight="1">
      <c r="D358" s="26"/>
      <c r="E358" s="26"/>
    </row>
    <row r="359" spans="4:5" ht="15.75" customHeight="1">
      <c r="D359" s="26"/>
      <c r="E359" s="26"/>
    </row>
    <row r="360" spans="4:5" ht="15.75" customHeight="1">
      <c r="D360" s="26"/>
      <c r="E360" s="26"/>
    </row>
    <row r="361" spans="4:5" ht="15.75" customHeight="1">
      <c r="D361" s="26"/>
      <c r="E361" s="26"/>
    </row>
    <row r="362" spans="4:5" ht="15.75" customHeight="1">
      <c r="D362" s="26"/>
      <c r="E362" s="26"/>
    </row>
    <row r="363" spans="4:5" ht="15.75" customHeight="1">
      <c r="D363" s="26"/>
      <c r="E363" s="26"/>
    </row>
    <row r="364" spans="4:5" ht="15.75" customHeight="1">
      <c r="D364" s="26"/>
      <c r="E364" s="26"/>
    </row>
    <row r="365" spans="4:5" ht="15.75" customHeight="1">
      <c r="D365" s="26"/>
      <c r="E365" s="26"/>
    </row>
    <row r="366" spans="4:5" ht="15.75" customHeight="1">
      <c r="D366" s="26"/>
      <c r="E366" s="26"/>
    </row>
    <row r="367" spans="4:5" ht="15.75" customHeight="1">
      <c r="D367" s="26"/>
      <c r="E367" s="26"/>
    </row>
    <row r="368" spans="4:5" ht="15.75" customHeight="1">
      <c r="D368" s="26"/>
      <c r="E368" s="26"/>
    </row>
    <row r="369" spans="4:5" ht="15.75" customHeight="1">
      <c r="D369" s="26"/>
      <c r="E369" s="26"/>
    </row>
    <row r="370" spans="4:5" ht="15.75" customHeight="1">
      <c r="D370" s="26"/>
      <c r="E370" s="26"/>
    </row>
    <row r="371" spans="4:5" ht="15.75" customHeight="1">
      <c r="D371" s="26"/>
      <c r="E371" s="26"/>
    </row>
    <row r="372" spans="4:5" ht="15.75" customHeight="1">
      <c r="D372" s="26"/>
      <c r="E372" s="26"/>
    </row>
    <row r="373" spans="4:5" ht="15.75" customHeight="1">
      <c r="D373" s="26"/>
      <c r="E373" s="26"/>
    </row>
    <row r="374" spans="4:5" ht="15.75" customHeight="1">
      <c r="D374" s="26"/>
      <c r="E374" s="26"/>
    </row>
    <row r="375" spans="4:5" ht="15.75" customHeight="1">
      <c r="D375" s="26"/>
      <c r="E375" s="26"/>
    </row>
    <row r="376" spans="4:5" ht="15.75" customHeight="1">
      <c r="D376" s="26"/>
      <c r="E376" s="26"/>
    </row>
    <row r="377" spans="4:5" ht="15.75" customHeight="1">
      <c r="D377" s="26"/>
      <c r="E377" s="26"/>
    </row>
    <row r="378" spans="4:5" ht="15.75" customHeight="1">
      <c r="D378" s="26"/>
      <c r="E378" s="26"/>
    </row>
    <row r="379" spans="4:5" ht="15.75" customHeight="1">
      <c r="D379" s="26"/>
      <c r="E379" s="26"/>
    </row>
    <row r="380" spans="4:5" ht="15.75" customHeight="1">
      <c r="D380" s="26"/>
      <c r="E380" s="26"/>
    </row>
    <row r="381" spans="4:5" ht="15.75" customHeight="1">
      <c r="D381" s="26"/>
      <c r="E381" s="26"/>
    </row>
    <row r="382" spans="4:5" ht="15.75" customHeight="1">
      <c r="D382" s="26"/>
      <c r="E382" s="26"/>
    </row>
    <row r="383" spans="4:5" ht="15.75" customHeight="1">
      <c r="D383" s="26"/>
      <c r="E383" s="26"/>
    </row>
    <row r="384" spans="4:5" ht="15.75" customHeight="1">
      <c r="D384" s="26"/>
      <c r="E384" s="26"/>
    </row>
    <row r="385" spans="4:5" ht="15.75" customHeight="1">
      <c r="D385" s="26"/>
      <c r="E385" s="26"/>
    </row>
    <row r="386" spans="4:5" ht="15.75" customHeight="1">
      <c r="D386" s="26"/>
      <c r="E386" s="26"/>
    </row>
    <row r="387" spans="4:5" ht="15.75" customHeight="1">
      <c r="D387" s="26"/>
      <c r="E387" s="26"/>
    </row>
    <row r="388" spans="4:5" ht="15.75" customHeight="1">
      <c r="D388" s="26"/>
      <c r="E388" s="26"/>
    </row>
    <row r="389" spans="4:5" ht="15.75" customHeight="1">
      <c r="D389" s="26"/>
      <c r="E389" s="26"/>
    </row>
    <row r="390" spans="4:5" ht="15.75" customHeight="1">
      <c r="D390" s="26"/>
      <c r="E390" s="26"/>
    </row>
    <row r="391" spans="4:5" ht="15.75" customHeight="1">
      <c r="D391" s="26"/>
      <c r="E391" s="26"/>
    </row>
    <row r="392" spans="4:5" ht="15.75" customHeight="1">
      <c r="D392" s="26"/>
      <c r="E392" s="26"/>
    </row>
    <row r="393" spans="4:5" ht="15.75" customHeight="1">
      <c r="D393" s="26"/>
      <c r="E393" s="26"/>
    </row>
    <row r="394" spans="4:5" ht="15.75" customHeight="1">
      <c r="D394" s="26"/>
      <c r="E394" s="26"/>
    </row>
    <row r="395" spans="4:5" ht="15.75" customHeight="1">
      <c r="D395" s="26"/>
      <c r="E395" s="26"/>
    </row>
    <row r="396" spans="4:5" ht="15.75" customHeight="1">
      <c r="D396" s="26"/>
      <c r="E396" s="26"/>
    </row>
    <row r="397" spans="4:5" ht="15.75" customHeight="1">
      <c r="D397" s="26"/>
      <c r="E397" s="26"/>
    </row>
    <row r="398" spans="4:5" ht="15.75" customHeight="1">
      <c r="D398" s="26"/>
      <c r="E398" s="26"/>
    </row>
    <row r="399" spans="4:5" ht="15.75" customHeight="1">
      <c r="D399" s="26"/>
      <c r="E399" s="26"/>
    </row>
    <row r="400" spans="4:5" ht="15.75" customHeight="1">
      <c r="D400" s="26"/>
      <c r="E400" s="26"/>
    </row>
    <row r="401" spans="4:5" ht="15.75" customHeight="1">
      <c r="D401" s="26"/>
      <c r="E401" s="26"/>
    </row>
    <row r="402" spans="4:5" ht="15.75" customHeight="1">
      <c r="D402" s="26"/>
      <c r="E402" s="26"/>
    </row>
    <row r="403" spans="4:5" ht="15.75" customHeight="1">
      <c r="D403" s="26"/>
      <c r="E403" s="26"/>
    </row>
    <row r="404" spans="4:5" ht="15.75" customHeight="1">
      <c r="D404" s="26"/>
      <c r="E404" s="26"/>
    </row>
    <row r="405" spans="4:5" ht="15.75" customHeight="1">
      <c r="D405" s="26"/>
      <c r="E405" s="26"/>
    </row>
    <row r="406" spans="4:5" ht="15.75" customHeight="1">
      <c r="D406" s="26"/>
      <c r="E406" s="26"/>
    </row>
    <row r="407" spans="4:5" ht="15.75" customHeight="1">
      <c r="D407" s="26"/>
      <c r="E407" s="26"/>
    </row>
    <row r="408" spans="4:5" ht="15.75" customHeight="1">
      <c r="D408" s="26"/>
      <c r="E408" s="26"/>
    </row>
    <row r="409" spans="4:5" ht="15.75" customHeight="1">
      <c r="D409" s="26"/>
      <c r="E409" s="26"/>
    </row>
    <row r="410" spans="4:5" ht="15.75" customHeight="1">
      <c r="D410" s="26"/>
      <c r="E410" s="26"/>
    </row>
    <row r="411" spans="4:5" ht="15.75" customHeight="1">
      <c r="D411" s="26"/>
      <c r="E411" s="26"/>
    </row>
    <row r="412" spans="4:5" ht="15.75" customHeight="1">
      <c r="D412" s="26"/>
      <c r="E412" s="26"/>
    </row>
    <row r="413" spans="4:5" ht="15.75" customHeight="1">
      <c r="D413" s="26"/>
      <c r="E413" s="26"/>
    </row>
    <row r="414" spans="4:5" ht="15.75" customHeight="1">
      <c r="D414" s="26"/>
      <c r="E414" s="26"/>
    </row>
    <row r="415" spans="4:5" ht="15.75" customHeight="1">
      <c r="D415" s="26"/>
      <c r="E415" s="26"/>
    </row>
    <row r="416" spans="4:5" ht="15.75" customHeight="1">
      <c r="D416" s="26"/>
      <c r="E416" s="26"/>
    </row>
    <row r="417" spans="4:5" ht="15.75" customHeight="1">
      <c r="D417" s="26"/>
      <c r="E417" s="26"/>
    </row>
    <row r="418" spans="4:5" ht="15.75" customHeight="1">
      <c r="D418" s="26"/>
      <c r="E418" s="26"/>
    </row>
    <row r="419" spans="4:5" ht="15.75" customHeight="1">
      <c r="D419" s="26"/>
      <c r="E419" s="26"/>
    </row>
    <row r="420" spans="4:5" ht="15.75" customHeight="1">
      <c r="D420" s="26"/>
      <c r="E420" s="26"/>
    </row>
    <row r="421" spans="4:5" ht="15.75" customHeight="1">
      <c r="D421" s="26"/>
      <c r="E421" s="26"/>
    </row>
    <row r="422" spans="4:5" ht="15.75" customHeight="1">
      <c r="D422" s="26"/>
      <c r="E422" s="26"/>
    </row>
    <row r="423" spans="4:5" ht="15.75" customHeight="1">
      <c r="D423" s="26"/>
      <c r="E423" s="26"/>
    </row>
    <row r="424" spans="4:5" ht="15.75" customHeight="1">
      <c r="D424" s="26"/>
      <c r="E424" s="26"/>
    </row>
    <row r="425" spans="4:5" ht="15.75" customHeight="1">
      <c r="D425" s="26"/>
      <c r="E425" s="26"/>
    </row>
    <row r="426" spans="4:5" ht="15.75" customHeight="1">
      <c r="D426" s="26"/>
      <c r="E426" s="26"/>
    </row>
    <row r="427" spans="4:5" ht="15.75" customHeight="1">
      <c r="D427" s="26"/>
      <c r="E427" s="26"/>
    </row>
    <row r="428" spans="4:5" ht="15.75" customHeight="1">
      <c r="D428" s="26"/>
      <c r="E428" s="26"/>
    </row>
    <row r="429" spans="4:5" ht="15.75" customHeight="1">
      <c r="D429" s="26"/>
      <c r="E429" s="26"/>
    </row>
    <row r="430" spans="4:5" ht="15.75" customHeight="1">
      <c r="D430" s="26"/>
      <c r="E430" s="26"/>
    </row>
    <row r="431" spans="4:5" ht="15.75" customHeight="1">
      <c r="D431" s="26"/>
      <c r="E431" s="26"/>
    </row>
    <row r="432" spans="4:5" ht="15.75" customHeight="1">
      <c r="D432" s="26"/>
      <c r="E432" s="26"/>
    </row>
    <row r="433" spans="4:5" ht="15.75" customHeight="1">
      <c r="D433" s="26"/>
      <c r="E433" s="26"/>
    </row>
    <row r="434" spans="4:5" ht="15.75" customHeight="1">
      <c r="D434" s="26"/>
      <c r="E434" s="26"/>
    </row>
    <row r="435" spans="4:5" ht="15.75" customHeight="1">
      <c r="D435" s="26"/>
      <c r="E435" s="26"/>
    </row>
    <row r="436" spans="4:5" ht="15.75" customHeight="1">
      <c r="D436" s="26"/>
      <c r="E436" s="26"/>
    </row>
    <row r="437" spans="4:5" ht="15.75" customHeight="1">
      <c r="D437" s="26"/>
      <c r="E437" s="26"/>
    </row>
    <row r="438" spans="4:5" ht="15.75" customHeight="1">
      <c r="D438" s="26"/>
      <c r="E438" s="26"/>
    </row>
    <row r="439" spans="4:5" ht="15.75" customHeight="1">
      <c r="D439" s="26"/>
      <c r="E439" s="26"/>
    </row>
    <row r="440" spans="4:5" ht="15.75" customHeight="1">
      <c r="D440" s="26"/>
      <c r="E440" s="26"/>
    </row>
    <row r="441" spans="4:5" ht="15.75" customHeight="1">
      <c r="D441" s="26"/>
      <c r="E441" s="26"/>
    </row>
    <row r="442" spans="4:5" ht="15.75" customHeight="1">
      <c r="D442" s="26"/>
      <c r="E442" s="26"/>
    </row>
    <row r="443" spans="4:5" ht="15.75" customHeight="1">
      <c r="D443" s="26"/>
      <c r="E443" s="26"/>
    </row>
    <row r="444" spans="4:5" ht="15.75" customHeight="1">
      <c r="D444" s="26"/>
      <c r="E444" s="26"/>
    </row>
    <row r="445" spans="4:5" ht="15.75" customHeight="1">
      <c r="D445" s="26"/>
      <c r="E445" s="26"/>
    </row>
    <row r="446" spans="4:5" ht="15.75" customHeight="1">
      <c r="D446" s="26"/>
      <c r="E446" s="26"/>
    </row>
    <row r="447" spans="4:5" ht="15.75" customHeight="1">
      <c r="D447" s="26"/>
      <c r="E447" s="26"/>
    </row>
    <row r="448" spans="4:5" ht="15.75" customHeight="1">
      <c r="D448" s="26"/>
      <c r="E448" s="26"/>
    </row>
    <row r="449" spans="4:5" ht="15.75" customHeight="1">
      <c r="D449" s="26"/>
      <c r="E449" s="26"/>
    </row>
    <row r="450" spans="4:5" ht="15.75" customHeight="1">
      <c r="D450" s="26"/>
      <c r="E450" s="26"/>
    </row>
    <row r="451" spans="4:5" ht="15.75" customHeight="1">
      <c r="D451" s="26"/>
      <c r="E451" s="26"/>
    </row>
    <row r="452" spans="4:5" ht="15.75" customHeight="1">
      <c r="D452" s="26"/>
      <c r="E452" s="26"/>
    </row>
    <row r="453" spans="4:5" ht="15.75" customHeight="1">
      <c r="D453" s="26"/>
      <c r="E453" s="26"/>
    </row>
    <row r="454" spans="4:5" ht="15.75" customHeight="1">
      <c r="D454" s="26"/>
      <c r="E454" s="26"/>
    </row>
    <row r="455" spans="4:5" ht="15.75" customHeight="1">
      <c r="D455" s="26"/>
      <c r="E455" s="26"/>
    </row>
    <row r="456" spans="4:5" ht="15.75" customHeight="1">
      <c r="D456" s="26"/>
      <c r="E456" s="26"/>
    </row>
    <row r="457" spans="4:5" ht="15.75" customHeight="1">
      <c r="D457" s="26"/>
      <c r="E457" s="26"/>
    </row>
    <row r="458" spans="4:5" ht="15.75" customHeight="1">
      <c r="D458" s="26"/>
      <c r="E458" s="26"/>
    </row>
    <row r="459" spans="4:5" ht="15.75" customHeight="1">
      <c r="D459" s="26"/>
      <c r="E459" s="26"/>
    </row>
    <row r="460" spans="4:5" ht="15.75" customHeight="1">
      <c r="D460" s="26"/>
      <c r="E460" s="26"/>
    </row>
    <row r="461" spans="4:5" ht="15.75" customHeight="1">
      <c r="D461" s="26"/>
      <c r="E461" s="26"/>
    </row>
    <row r="462" spans="4:5" ht="15.75" customHeight="1">
      <c r="D462" s="26"/>
      <c r="E462" s="26"/>
    </row>
    <row r="463" spans="4:5" ht="15.75" customHeight="1">
      <c r="D463" s="26"/>
      <c r="E463" s="26"/>
    </row>
    <row r="464" spans="4:5" ht="15.75" customHeight="1">
      <c r="D464" s="26"/>
      <c r="E464" s="26"/>
    </row>
    <row r="465" spans="4:5" ht="15.75" customHeight="1">
      <c r="D465" s="26"/>
      <c r="E465" s="26"/>
    </row>
    <row r="466" spans="4:5" ht="15.75" customHeight="1">
      <c r="D466" s="26"/>
      <c r="E466" s="26"/>
    </row>
    <row r="467" spans="4:5" ht="15.75" customHeight="1">
      <c r="D467" s="26"/>
      <c r="E467" s="26"/>
    </row>
    <row r="468" spans="4:5" ht="15.75" customHeight="1">
      <c r="D468" s="26"/>
      <c r="E468" s="26"/>
    </row>
    <row r="469" spans="4:5" ht="15.75" customHeight="1">
      <c r="D469" s="26"/>
      <c r="E469" s="26"/>
    </row>
    <row r="470" spans="4:5" ht="15.75" customHeight="1">
      <c r="D470" s="26"/>
      <c r="E470" s="26"/>
    </row>
    <row r="471" spans="4:5" ht="15.75" customHeight="1">
      <c r="D471" s="26"/>
      <c r="E471" s="26"/>
    </row>
    <row r="472" spans="4:5" ht="15.75" customHeight="1">
      <c r="D472" s="26"/>
      <c r="E472" s="26"/>
    </row>
    <row r="473" spans="4:5" ht="15.75" customHeight="1">
      <c r="D473" s="26"/>
      <c r="E473" s="26"/>
    </row>
    <row r="474" spans="4:5" ht="15.75" customHeight="1">
      <c r="D474" s="26"/>
      <c r="E474" s="26"/>
    </row>
    <row r="475" spans="4:5" ht="15.75" customHeight="1">
      <c r="D475" s="26"/>
      <c r="E475" s="26"/>
    </row>
    <row r="476" spans="4:5" ht="15.75" customHeight="1">
      <c r="D476" s="26"/>
      <c r="E476" s="26"/>
    </row>
    <row r="477" spans="4:5" ht="15.75" customHeight="1">
      <c r="D477" s="26"/>
      <c r="E477" s="26"/>
    </row>
    <row r="478" spans="4:5" ht="15.75" customHeight="1">
      <c r="D478" s="26"/>
      <c r="E478" s="26"/>
    </row>
    <row r="479" spans="4:5" ht="15.75" customHeight="1">
      <c r="D479" s="26"/>
      <c r="E479" s="26"/>
    </row>
    <row r="480" spans="4:5" ht="15.75" customHeight="1">
      <c r="D480" s="26"/>
      <c r="E480" s="26"/>
    </row>
    <row r="481" spans="4:5" ht="15.75" customHeight="1">
      <c r="D481" s="26"/>
      <c r="E481" s="26"/>
    </row>
    <row r="482" spans="4:5" ht="15.75" customHeight="1">
      <c r="D482" s="26"/>
      <c r="E482" s="26"/>
    </row>
    <row r="483" spans="4:5" ht="15.75" customHeight="1">
      <c r="D483" s="26"/>
      <c r="E483" s="26"/>
    </row>
    <row r="484" spans="4:5" ht="15.75" customHeight="1">
      <c r="D484" s="26"/>
      <c r="E484" s="26"/>
    </row>
    <row r="485" spans="4:5" ht="15.75" customHeight="1">
      <c r="D485" s="26"/>
      <c r="E485" s="26"/>
    </row>
    <row r="486" spans="4:5" ht="15.75" customHeight="1">
      <c r="D486" s="26"/>
      <c r="E486" s="26"/>
    </row>
    <row r="487" spans="4:5" ht="15.75" customHeight="1">
      <c r="D487" s="26"/>
      <c r="E487" s="26"/>
    </row>
    <row r="488" spans="4:5" ht="15.75" customHeight="1">
      <c r="D488" s="26"/>
      <c r="E488" s="26"/>
    </row>
    <row r="489" spans="4:5" ht="15.75" customHeight="1">
      <c r="D489" s="26"/>
      <c r="E489" s="26"/>
    </row>
    <row r="490" spans="4:5" ht="15.75" customHeight="1">
      <c r="D490" s="26"/>
      <c r="E490" s="26"/>
    </row>
    <row r="491" spans="4:5" ht="15.75" customHeight="1">
      <c r="D491" s="26"/>
      <c r="E491" s="26"/>
    </row>
    <row r="492" spans="4:5" ht="15.75" customHeight="1">
      <c r="D492" s="26"/>
      <c r="E492" s="26"/>
    </row>
    <row r="493" spans="4:5" ht="15.75" customHeight="1">
      <c r="D493" s="26"/>
      <c r="E493" s="26"/>
    </row>
    <row r="494" spans="4:5" ht="15.75" customHeight="1">
      <c r="D494" s="26"/>
      <c r="E494" s="26"/>
    </row>
    <row r="495" spans="4:5" ht="15.75" customHeight="1">
      <c r="D495" s="26"/>
      <c r="E495" s="26"/>
    </row>
    <row r="496" spans="4:5" ht="15.75" customHeight="1">
      <c r="D496" s="26"/>
      <c r="E496" s="26"/>
    </row>
    <row r="497" spans="4:5" ht="15.75" customHeight="1">
      <c r="D497" s="26"/>
      <c r="E497" s="26"/>
    </row>
    <row r="498" spans="4:5" ht="15.75" customHeight="1">
      <c r="D498" s="26"/>
      <c r="E498" s="26"/>
    </row>
    <row r="499" spans="4:5" ht="15.75" customHeight="1">
      <c r="D499" s="26"/>
      <c r="E499" s="26"/>
    </row>
    <row r="500" spans="4:5" ht="15.75" customHeight="1">
      <c r="D500" s="26"/>
      <c r="E500" s="26"/>
    </row>
    <row r="501" spans="4:5" ht="15.75" customHeight="1">
      <c r="D501" s="26"/>
      <c r="E501" s="26"/>
    </row>
    <row r="502" spans="4:5" ht="15.75" customHeight="1">
      <c r="D502" s="26"/>
      <c r="E502" s="26"/>
    </row>
    <row r="503" spans="4:5" ht="15.75" customHeight="1">
      <c r="D503" s="26"/>
      <c r="E503" s="26"/>
    </row>
    <row r="504" spans="4:5" ht="15.75" customHeight="1">
      <c r="D504" s="26"/>
      <c r="E504" s="26"/>
    </row>
    <row r="505" spans="4:5" ht="15.75" customHeight="1">
      <c r="D505" s="26"/>
      <c r="E505" s="26"/>
    </row>
    <row r="506" spans="4:5" ht="15.75" customHeight="1">
      <c r="D506" s="26"/>
      <c r="E506" s="26"/>
    </row>
    <row r="507" spans="4:5" ht="15.75" customHeight="1">
      <c r="D507" s="26"/>
      <c r="E507" s="26"/>
    </row>
    <row r="508" spans="4:5" ht="15.75" customHeight="1">
      <c r="D508" s="26"/>
      <c r="E508" s="26"/>
    </row>
    <row r="509" spans="4:5" ht="15.75" customHeight="1">
      <c r="D509" s="26"/>
      <c r="E509" s="26"/>
    </row>
    <row r="510" spans="4:5" ht="15.75" customHeight="1">
      <c r="D510" s="26"/>
      <c r="E510" s="26"/>
    </row>
    <row r="511" spans="4:5" ht="15.75" customHeight="1">
      <c r="D511" s="26"/>
      <c r="E511" s="26"/>
    </row>
    <row r="512" spans="4:5" ht="15.75" customHeight="1">
      <c r="D512" s="26"/>
      <c r="E512" s="26"/>
    </row>
    <row r="513" spans="4:5" ht="15.75" customHeight="1">
      <c r="D513" s="26"/>
      <c r="E513" s="26"/>
    </row>
    <row r="514" spans="4:5" ht="15.75" customHeight="1">
      <c r="D514" s="26"/>
      <c r="E514" s="26"/>
    </row>
    <row r="515" spans="4:5" ht="15.75" customHeight="1">
      <c r="D515" s="26"/>
      <c r="E515" s="26"/>
    </row>
    <row r="516" spans="4:5" ht="15.75" customHeight="1">
      <c r="D516" s="26"/>
      <c r="E516" s="26"/>
    </row>
    <row r="517" spans="4:5" ht="15.75" customHeight="1">
      <c r="D517" s="26"/>
      <c r="E517" s="26"/>
    </row>
    <row r="518" spans="4:5" ht="15.75" customHeight="1">
      <c r="D518" s="26"/>
      <c r="E518" s="26"/>
    </row>
    <row r="519" spans="4:5" ht="15.75" customHeight="1">
      <c r="D519" s="26"/>
      <c r="E519" s="26"/>
    </row>
    <row r="520" spans="4:5" ht="15.75" customHeight="1">
      <c r="D520" s="26"/>
      <c r="E520" s="26"/>
    </row>
    <row r="521" spans="4:5" ht="15.75" customHeight="1">
      <c r="D521" s="26"/>
      <c r="E521" s="26"/>
    </row>
    <row r="522" spans="4:5" ht="15.75" customHeight="1">
      <c r="D522" s="26"/>
      <c r="E522" s="26"/>
    </row>
    <row r="523" spans="4:5" ht="15.75" customHeight="1">
      <c r="D523" s="26"/>
      <c r="E523" s="26"/>
    </row>
    <row r="524" spans="4:5" ht="15.75" customHeight="1">
      <c r="D524" s="26"/>
      <c r="E524" s="26"/>
    </row>
    <row r="525" spans="4:5" ht="15.75" customHeight="1">
      <c r="D525" s="26"/>
      <c r="E525" s="26"/>
    </row>
    <row r="526" spans="4:5" ht="15.75" customHeight="1">
      <c r="D526" s="26"/>
      <c r="E526" s="26"/>
    </row>
    <row r="527" spans="4:5" ht="15.75" customHeight="1">
      <c r="D527" s="26"/>
      <c r="E527" s="26"/>
    </row>
    <row r="528" spans="4:5" ht="15.75" customHeight="1">
      <c r="D528" s="26"/>
      <c r="E528" s="26"/>
    </row>
    <row r="529" spans="4:5" ht="15.75" customHeight="1">
      <c r="D529" s="26"/>
      <c r="E529" s="26"/>
    </row>
    <row r="530" spans="4:5" ht="15.75" customHeight="1">
      <c r="D530" s="26"/>
      <c r="E530" s="26"/>
    </row>
    <row r="531" spans="4:5" ht="15.75" customHeight="1">
      <c r="D531" s="26"/>
      <c r="E531" s="26"/>
    </row>
    <row r="532" spans="4:5" ht="15.75" customHeight="1">
      <c r="D532" s="26"/>
      <c r="E532" s="26"/>
    </row>
    <row r="533" spans="4:5" ht="15.75" customHeight="1">
      <c r="D533" s="26"/>
      <c r="E533" s="26"/>
    </row>
    <row r="534" spans="4:5" ht="15.75" customHeight="1">
      <c r="D534" s="26"/>
      <c r="E534" s="26"/>
    </row>
    <row r="535" spans="4:5" ht="15.75" customHeight="1">
      <c r="D535" s="26"/>
      <c r="E535" s="26"/>
    </row>
    <row r="536" spans="4:5" ht="15.75" customHeight="1">
      <c r="D536" s="26"/>
      <c r="E536" s="26"/>
    </row>
    <row r="537" spans="4:5" ht="15.75" customHeight="1">
      <c r="D537" s="26"/>
      <c r="E537" s="26"/>
    </row>
    <row r="538" spans="4:5" ht="15.75" customHeight="1">
      <c r="D538" s="26"/>
      <c r="E538" s="26"/>
    </row>
    <row r="539" spans="4:5" ht="15.75" customHeight="1">
      <c r="D539" s="26"/>
      <c r="E539" s="26"/>
    </row>
    <row r="540" spans="4:5" ht="15.75" customHeight="1">
      <c r="D540" s="26"/>
      <c r="E540" s="26"/>
    </row>
    <row r="541" spans="4:5" ht="15.75" customHeight="1">
      <c r="D541" s="26"/>
      <c r="E541" s="26"/>
    </row>
    <row r="542" spans="4:5" ht="15.75" customHeight="1">
      <c r="D542" s="26"/>
      <c r="E542" s="26"/>
    </row>
    <row r="543" spans="4:5" ht="15.75" customHeight="1">
      <c r="D543" s="26"/>
      <c r="E543" s="26"/>
    </row>
    <row r="544" spans="4:5" ht="15.75" customHeight="1">
      <c r="D544" s="26"/>
      <c r="E544" s="26"/>
    </row>
    <row r="545" spans="4:5" ht="15.75" customHeight="1">
      <c r="D545" s="26"/>
      <c r="E545" s="26"/>
    </row>
    <row r="546" spans="4:5" ht="15.75" customHeight="1">
      <c r="D546" s="26"/>
      <c r="E546" s="26"/>
    </row>
    <row r="547" spans="4:5" ht="15.75" customHeight="1">
      <c r="D547" s="26"/>
      <c r="E547" s="26"/>
    </row>
    <row r="548" spans="4:5" ht="15.75" customHeight="1">
      <c r="D548" s="26"/>
      <c r="E548" s="26"/>
    </row>
    <row r="549" spans="4:5" ht="15.75" customHeight="1">
      <c r="D549" s="26"/>
      <c r="E549" s="26"/>
    </row>
    <row r="550" spans="4:5" ht="15.75" customHeight="1">
      <c r="D550" s="26"/>
      <c r="E550" s="26"/>
    </row>
    <row r="551" spans="4:5" ht="15.75" customHeight="1">
      <c r="D551" s="26"/>
      <c r="E551" s="26"/>
    </row>
    <row r="552" spans="4:5" ht="15.75" customHeight="1">
      <c r="D552" s="26"/>
      <c r="E552" s="26"/>
    </row>
    <row r="553" spans="4:5" ht="15.75" customHeight="1">
      <c r="D553" s="26"/>
      <c r="E553" s="26"/>
    </row>
    <row r="554" spans="4:5" ht="15.75" customHeight="1">
      <c r="D554" s="26"/>
      <c r="E554" s="26"/>
    </row>
    <row r="555" spans="4:5" ht="15.75" customHeight="1">
      <c r="D555" s="26"/>
      <c r="E555" s="26"/>
    </row>
    <row r="556" spans="4:5" ht="15.75" customHeight="1">
      <c r="D556" s="26"/>
      <c r="E556" s="26"/>
    </row>
    <row r="557" spans="4:5" ht="15.75" customHeight="1">
      <c r="D557" s="26"/>
      <c r="E557" s="26"/>
    </row>
    <row r="558" spans="4:5" ht="15.75" customHeight="1">
      <c r="D558" s="26"/>
      <c r="E558" s="26"/>
    </row>
    <row r="559" spans="4:5" ht="15.75" customHeight="1">
      <c r="D559" s="26"/>
      <c r="E559" s="26"/>
    </row>
    <row r="560" spans="4:5" ht="15.75" customHeight="1">
      <c r="D560" s="26"/>
      <c r="E560" s="26"/>
    </row>
    <row r="561" spans="4:5" ht="15.75" customHeight="1">
      <c r="D561" s="26"/>
      <c r="E561" s="26"/>
    </row>
    <row r="562" spans="4:5" ht="15.75" customHeight="1">
      <c r="D562" s="26"/>
      <c r="E562" s="26"/>
    </row>
    <row r="563" spans="4:5" ht="15.75" customHeight="1">
      <c r="D563" s="26"/>
      <c r="E563" s="26"/>
    </row>
    <row r="564" spans="4:5" ht="15.75" customHeight="1">
      <c r="D564" s="26"/>
      <c r="E564" s="26"/>
    </row>
    <row r="565" spans="4:5" ht="15.75" customHeight="1">
      <c r="D565" s="26"/>
      <c r="E565" s="26"/>
    </row>
    <row r="566" spans="4:5" ht="15.75" customHeight="1">
      <c r="D566" s="26"/>
      <c r="E566" s="26"/>
    </row>
    <row r="567" spans="4:5" ht="15.75" customHeight="1">
      <c r="D567" s="26"/>
      <c r="E567" s="26"/>
    </row>
    <row r="568" spans="4:5" ht="15.75" customHeight="1">
      <c r="D568" s="26"/>
      <c r="E568" s="26"/>
    </row>
    <row r="569" spans="4:5" ht="15.75" customHeight="1">
      <c r="D569" s="26"/>
      <c r="E569" s="26"/>
    </row>
    <row r="570" spans="4:5" ht="15.75" customHeight="1">
      <c r="D570" s="26"/>
      <c r="E570" s="26"/>
    </row>
    <row r="571" spans="4:5" ht="15.75" customHeight="1">
      <c r="D571" s="26"/>
      <c r="E571" s="26"/>
    </row>
    <row r="572" spans="4:5" ht="15.75" customHeight="1">
      <c r="D572" s="26"/>
      <c r="E572" s="26"/>
    </row>
    <row r="573" spans="4:5" ht="15.75" customHeight="1">
      <c r="D573" s="26"/>
      <c r="E573" s="26"/>
    </row>
    <row r="574" spans="4:5" ht="15.75" customHeight="1">
      <c r="D574" s="26"/>
      <c r="E574" s="26"/>
    </row>
    <row r="575" spans="4:5" ht="15.75" customHeight="1">
      <c r="D575" s="26"/>
      <c r="E575" s="26"/>
    </row>
    <row r="576" spans="4:5" ht="15.75" customHeight="1">
      <c r="D576" s="26"/>
      <c r="E576" s="26"/>
    </row>
    <row r="577" spans="4:5" ht="15.75" customHeight="1">
      <c r="D577" s="26"/>
      <c r="E577" s="26"/>
    </row>
    <row r="578" spans="4:5" ht="15.75" customHeight="1">
      <c r="D578" s="26"/>
      <c r="E578" s="26"/>
    </row>
    <row r="579" spans="4:5" ht="15.75" customHeight="1">
      <c r="D579" s="26"/>
      <c r="E579" s="26"/>
    </row>
    <row r="580" spans="4:5" ht="15.75" customHeight="1">
      <c r="D580" s="26"/>
      <c r="E580" s="26"/>
    </row>
    <row r="581" spans="4:5" ht="15.75" customHeight="1">
      <c r="D581" s="26"/>
      <c r="E581" s="26"/>
    </row>
    <row r="582" spans="4:5" ht="15.75" customHeight="1">
      <c r="D582" s="26"/>
      <c r="E582" s="26"/>
    </row>
    <row r="583" spans="4:5" ht="15.75" customHeight="1">
      <c r="D583" s="26"/>
      <c r="E583" s="26"/>
    </row>
    <row r="584" spans="4:5" ht="15.75" customHeight="1">
      <c r="D584" s="26"/>
      <c r="E584" s="26"/>
    </row>
    <row r="585" spans="4:5" ht="15.75" customHeight="1">
      <c r="D585" s="26"/>
      <c r="E585" s="26"/>
    </row>
    <row r="586" spans="4:5" ht="15.75" customHeight="1">
      <c r="D586" s="26"/>
      <c r="E586" s="26"/>
    </row>
    <row r="587" spans="4:5" ht="15.75" customHeight="1">
      <c r="D587" s="26"/>
      <c r="E587" s="26"/>
    </row>
    <row r="588" spans="4:5" ht="15.75" customHeight="1">
      <c r="D588" s="26"/>
      <c r="E588" s="26"/>
    </row>
    <row r="589" spans="4:5" ht="15.75" customHeight="1">
      <c r="D589" s="26"/>
      <c r="E589" s="26"/>
    </row>
    <row r="590" spans="4:5" ht="15.75" customHeight="1">
      <c r="D590" s="26"/>
      <c r="E590" s="26"/>
    </row>
    <row r="591" spans="4:5" ht="15.75" customHeight="1">
      <c r="D591" s="26"/>
      <c r="E591" s="26"/>
    </row>
    <row r="592" spans="4:5" ht="15.75" customHeight="1">
      <c r="D592" s="26"/>
      <c r="E592" s="26"/>
    </row>
    <row r="593" spans="4:5" ht="15.75" customHeight="1">
      <c r="D593" s="26"/>
      <c r="E593" s="26"/>
    </row>
    <row r="594" spans="4:5" ht="15.75" customHeight="1">
      <c r="D594" s="26"/>
      <c r="E594" s="26"/>
    </row>
    <row r="595" spans="4:5" ht="15.75" customHeight="1">
      <c r="D595" s="26"/>
      <c r="E595" s="26"/>
    </row>
    <row r="596" spans="4:5" ht="15.75" customHeight="1">
      <c r="D596" s="26"/>
      <c r="E596" s="26"/>
    </row>
    <row r="597" spans="4:5" ht="15.75" customHeight="1">
      <c r="D597" s="26"/>
      <c r="E597" s="26"/>
    </row>
    <row r="598" spans="4:5" ht="15.75" customHeight="1">
      <c r="D598" s="26"/>
      <c r="E598" s="26"/>
    </row>
    <row r="599" spans="4:5" ht="15.75" customHeight="1">
      <c r="D599" s="26"/>
      <c r="E599" s="26"/>
    </row>
    <row r="600" spans="4:5" ht="15.75" customHeight="1">
      <c r="D600" s="26"/>
      <c r="E600" s="26"/>
    </row>
    <row r="601" spans="4:5" ht="15.75" customHeight="1">
      <c r="D601" s="26"/>
      <c r="E601" s="26"/>
    </row>
    <row r="602" spans="4:5" ht="15.75" customHeight="1">
      <c r="D602" s="26"/>
      <c r="E602" s="26"/>
    </row>
    <row r="603" spans="4:5" ht="15.75" customHeight="1">
      <c r="D603" s="26"/>
      <c r="E603" s="26"/>
    </row>
    <row r="604" spans="4:5" ht="15.75" customHeight="1">
      <c r="D604" s="26"/>
      <c r="E604" s="26"/>
    </row>
    <row r="605" spans="4:5" ht="15.75" customHeight="1">
      <c r="D605" s="26"/>
      <c r="E605" s="26"/>
    </row>
    <row r="606" spans="4:5" ht="15.75" customHeight="1">
      <c r="D606" s="26"/>
      <c r="E606" s="26"/>
    </row>
    <row r="607" spans="4:5" ht="15.75" customHeight="1">
      <c r="D607" s="26"/>
      <c r="E607" s="26"/>
    </row>
    <row r="608" spans="4:5" ht="15.75" customHeight="1">
      <c r="D608" s="26"/>
      <c r="E608" s="26"/>
    </row>
    <row r="609" spans="4:5" ht="15.75" customHeight="1">
      <c r="D609" s="26"/>
      <c r="E609" s="26"/>
    </row>
    <row r="610" spans="4:5" ht="15.75" customHeight="1">
      <c r="D610" s="26"/>
      <c r="E610" s="26"/>
    </row>
    <row r="611" spans="4:5" ht="15.75" customHeight="1">
      <c r="D611" s="26"/>
      <c r="E611" s="26"/>
    </row>
    <row r="612" spans="4:5" ht="15.75" customHeight="1">
      <c r="D612" s="26"/>
      <c r="E612" s="26"/>
    </row>
    <row r="613" spans="4:5" ht="15.75" customHeight="1">
      <c r="D613" s="26"/>
      <c r="E613" s="26"/>
    </row>
    <row r="614" spans="4:5" ht="15.75" customHeight="1">
      <c r="D614" s="26"/>
      <c r="E614" s="26"/>
    </row>
    <row r="615" spans="4:5" ht="15.75" customHeight="1">
      <c r="D615" s="26"/>
      <c r="E615" s="26"/>
    </row>
    <row r="616" spans="4:5" ht="15.75" customHeight="1">
      <c r="D616" s="26"/>
      <c r="E616" s="26"/>
    </row>
    <row r="617" spans="4:5" ht="15.75" customHeight="1">
      <c r="D617" s="26"/>
      <c r="E617" s="26"/>
    </row>
    <row r="618" spans="4:5" ht="15.75" customHeight="1">
      <c r="D618" s="26"/>
      <c r="E618" s="26"/>
    </row>
    <row r="619" spans="4:5" ht="15.75" customHeight="1">
      <c r="D619" s="26"/>
      <c r="E619" s="26"/>
    </row>
    <row r="620" spans="4:5" ht="15.75" customHeight="1">
      <c r="D620" s="26"/>
      <c r="E620" s="26"/>
    </row>
    <row r="621" spans="4:5" ht="15.75" customHeight="1">
      <c r="D621" s="26"/>
      <c r="E621" s="26"/>
    </row>
    <row r="622" spans="4:5" ht="15.75" customHeight="1">
      <c r="D622" s="26"/>
      <c r="E622" s="26"/>
    </row>
    <row r="623" spans="4:5" ht="15.75" customHeight="1">
      <c r="D623" s="26"/>
      <c r="E623" s="26"/>
    </row>
    <row r="624" spans="4:5" ht="15.75" customHeight="1">
      <c r="D624" s="26"/>
      <c r="E624" s="26"/>
    </row>
    <row r="625" spans="4:5" ht="15.75" customHeight="1">
      <c r="D625" s="26"/>
      <c r="E625" s="26"/>
    </row>
    <row r="626" spans="4:5" ht="15.75" customHeight="1">
      <c r="D626" s="26"/>
      <c r="E626" s="26"/>
    </row>
    <row r="627" spans="4:5" ht="15.75" customHeight="1">
      <c r="D627" s="26"/>
      <c r="E627" s="26"/>
    </row>
    <row r="628" spans="4:5" ht="15.75" customHeight="1">
      <c r="D628" s="26"/>
      <c r="E628" s="26"/>
    </row>
    <row r="629" spans="4:5" ht="15.75" customHeight="1">
      <c r="D629" s="26"/>
      <c r="E629" s="26"/>
    </row>
    <row r="630" spans="4:5" ht="15.75" customHeight="1">
      <c r="D630" s="26"/>
      <c r="E630" s="26"/>
    </row>
    <row r="631" spans="4:5" ht="15.75" customHeight="1">
      <c r="D631" s="26"/>
      <c r="E631" s="26"/>
    </row>
    <row r="632" spans="4:5" ht="15.75" customHeight="1">
      <c r="D632" s="26"/>
      <c r="E632" s="26"/>
    </row>
    <row r="633" spans="4:5" ht="15.75" customHeight="1">
      <c r="D633" s="26"/>
      <c r="E633" s="26"/>
    </row>
    <row r="634" spans="4:5" ht="15.75" customHeight="1">
      <c r="D634" s="26"/>
      <c r="E634" s="26"/>
    </row>
    <row r="635" spans="4:5" ht="15.75" customHeight="1">
      <c r="D635" s="26"/>
      <c r="E635" s="26"/>
    </row>
    <row r="636" spans="4:5" ht="15.75" customHeight="1">
      <c r="D636" s="26"/>
      <c r="E636" s="26"/>
    </row>
    <row r="637" spans="4:5" ht="15.75" customHeight="1">
      <c r="D637" s="26"/>
      <c r="E637" s="26"/>
    </row>
    <row r="638" spans="4:5" ht="15.75" customHeight="1">
      <c r="D638" s="26"/>
      <c r="E638" s="26"/>
    </row>
    <row r="639" spans="4:5" ht="15.75" customHeight="1">
      <c r="D639" s="26"/>
      <c r="E639" s="26"/>
    </row>
    <row r="640" spans="4:5" ht="15.75" customHeight="1">
      <c r="D640" s="26"/>
      <c r="E640" s="26"/>
    </row>
    <row r="641" spans="4:5" ht="15.75" customHeight="1">
      <c r="D641" s="26"/>
      <c r="E641" s="26"/>
    </row>
    <row r="642" spans="4:5" ht="15.75" customHeight="1">
      <c r="D642" s="26"/>
      <c r="E642" s="26"/>
    </row>
    <row r="643" spans="4:5" ht="15.75" customHeight="1">
      <c r="D643" s="26"/>
      <c r="E643" s="26"/>
    </row>
    <row r="644" spans="4:5" ht="15.75" customHeight="1">
      <c r="D644" s="26"/>
      <c r="E644" s="26"/>
    </row>
    <row r="645" spans="4:5" ht="15.75" customHeight="1">
      <c r="D645" s="26"/>
      <c r="E645" s="26"/>
    </row>
    <row r="646" spans="4:5" ht="15.75" customHeight="1">
      <c r="D646" s="26"/>
      <c r="E646" s="26"/>
    </row>
    <row r="647" spans="4:5" ht="15.75" customHeight="1">
      <c r="D647" s="26"/>
      <c r="E647" s="26"/>
    </row>
    <row r="648" spans="4:5" ht="15.75" customHeight="1">
      <c r="D648" s="26"/>
      <c r="E648" s="26"/>
    </row>
    <row r="649" spans="4:5" ht="15.75" customHeight="1">
      <c r="D649" s="26"/>
      <c r="E649" s="26"/>
    </row>
    <row r="650" spans="4:5" ht="15.75" customHeight="1">
      <c r="D650" s="26"/>
      <c r="E650" s="26"/>
    </row>
    <row r="651" spans="4:5" ht="15.75" customHeight="1">
      <c r="D651" s="26"/>
      <c r="E651" s="26"/>
    </row>
    <row r="652" spans="4:5" ht="15.75" customHeight="1">
      <c r="D652" s="26"/>
      <c r="E652" s="26"/>
    </row>
    <row r="653" spans="4:5" ht="15.75" customHeight="1">
      <c r="D653" s="26"/>
      <c r="E653" s="26"/>
    </row>
    <row r="654" spans="4:5" ht="15.75" customHeight="1">
      <c r="D654" s="26"/>
      <c r="E654" s="26"/>
    </row>
    <row r="655" spans="4:5" ht="15.75" customHeight="1">
      <c r="D655" s="26"/>
      <c r="E655" s="26"/>
    </row>
    <row r="656" spans="4:5" ht="15.75" customHeight="1">
      <c r="D656" s="26"/>
      <c r="E656" s="26"/>
    </row>
    <row r="657" spans="4:5" ht="15.75" customHeight="1">
      <c r="D657" s="26"/>
      <c r="E657" s="26"/>
    </row>
    <row r="658" spans="4:5" ht="15.75" customHeight="1">
      <c r="D658" s="26"/>
      <c r="E658" s="26"/>
    </row>
    <row r="659" spans="4:5" ht="15.75" customHeight="1">
      <c r="D659" s="26"/>
      <c r="E659" s="26"/>
    </row>
    <row r="660" spans="4:5" ht="15.75" customHeight="1">
      <c r="D660" s="26"/>
      <c r="E660" s="26"/>
    </row>
    <row r="661" spans="4:5" ht="15.75" customHeight="1">
      <c r="D661" s="26"/>
      <c r="E661" s="26"/>
    </row>
    <row r="662" spans="4:5" ht="15.75" customHeight="1">
      <c r="D662" s="26"/>
      <c r="E662" s="26"/>
    </row>
    <row r="663" spans="4:5" ht="15.75" customHeight="1">
      <c r="D663" s="26"/>
      <c r="E663" s="26"/>
    </row>
    <row r="664" spans="4:5" ht="15.75" customHeight="1">
      <c r="D664" s="26"/>
      <c r="E664" s="26"/>
    </row>
    <row r="665" spans="4:5" ht="15.75" customHeight="1">
      <c r="D665" s="26"/>
      <c r="E665" s="26"/>
    </row>
    <row r="666" spans="4:5" ht="15.75" customHeight="1">
      <c r="D666" s="26"/>
      <c r="E666" s="26"/>
    </row>
    <row r="667" spans="4:5" ht="15.75" customHeight="1">
      <c r="D667" s="26"/>
      <c r="E667" s="26"/>
    </row>
    <row r="668" spans="4:5" ht="15.75" customHeight="1">
      <c r="D668" s="26"/>
      <c r="E668" s="26"/>
    </row>
    <row r="669" spans="4:5" ht="15.75" customHeight="1">
      <c r="D669" s="26"/>
      <c r="E669" s="26"/>
    </row>
    <row r="670" spans="4:5" ht="15.75" customHeight="1">
      <c r="D670" s="26"/>
      <c r="E670" s="26"/>
    </row>
    <row r="671" spans="4:5" ht="15.75" customHeight="1">
      <c r="D671" s="26"/>
      <c r="E671" s="26"/>
    </row>
    <row r="672" spans="4:5" ht="15.75" customHeight="1">
      <c r="D672" s="26"/>
      <c r="E672" s="26"/>
    </row>
    <row r="673" spans="4:5" ht="15.75" customHeight="1">
      <c r="D673" s="26"/>
      <c r="E673" s="26"/>
    </row>
    <row r="674" spans="4:5" ht="15.75" customHeight="1">
      <c r="D674" s="26"/>
      <c r="E674" s="26"/>
    </row>
    <row r="675" spans="4:5" ht="15.75" customHeight="1">
      <c r="D675" s="26"/>
      <c r="E675" s="26"/>
    </row>
    <row r="676" spans="4:5" ht="15.75" customHeight="1">
      <c r="D676" s="26"/>
      <c r="E676" s="26"/>
    </row>
    <row r="677" spans="4:5" ht="15.75" customHeight="1">
      <c r="D677" s="26"/>
      <c r="E677" s="26"/>
    </row>
    <row r="678" spans="4:5" ht="15.75" customHeight="1">
      <c r="D678" s="26"/>
      <c r="E678" s="26"/>
    </row>
    <row r="679" spans="4:5" ht="15.75" customHeight="1">
      <c r="D679" s="26"/>
      <c r="E679" s="26"/>
    </row>
    <row r="680" spans="4:5" ht="15.75" customHeight="1">
      <c r="D680" s="26"/>
      <c r="E680" s="26"/>
    </row>
    <row r="681" spans="4:5" ht="15.75" customHeight="1">
      <c r="D681" s="26"/>
      <c r="E681" s="26"/>
    </row>
    <row r="682" spans="4:5" ht="15.75" customHeight="1">
      <c r="D682" s="26"/>
      <c r="E682" s="26"/>
    </row>
    <row r="683" spans="4:5" ht="15.75" customHeight="1">
      <c r="D683" s="26"/>
      <c r="E683" s="26"/>
    </row>
    <row r="684" spans="4:5" ht="15.75" customHeight="1">
      <c r="D684" s="26"/>
      <c r="E684" s="26"/>
    </row>
    <row r="685" spans="4:5" ht="15.75" customHeight="1">
      <c r="D685" s="26"/>
      <c r="E685" s="26"/>
    </row>
    <row r="686" spans="4:5" ht="15.75" customHeight="1">
      <c r="D686" s="26"/>
      <c r="E686" s="26"/>
    </row>
    <row r="687" spans="4:5" ht="15.75" customHeight="1">
      <c r="D687" s="26"/>
      <c r="E687" s="26"/>
    </row>
    <row r="688" spans="4:5" ht="15.75" customHeight="1">
      <c r="D688" s="26"/>
      <c r="E688" s="26"/>
    </row>
    <row r="689" spans="4:5" ht="15.75" customHeight="1">
      <c r="D689" s="26"/>
      <c r="E689" s="26"/>
    </row>
    <row r="690" spans="4:5" ht="15.75" customHeight="1">
      <c r="D690" s="26"/>
      <c r="E690" s="26"/>
    </row>
    <row r="691" spans="4:5" ht="15.75" customHeight="1">
      <c r="D691" s="26"/>
      <c r="E691" s="26"/>
    </row>
    <row r="692" spans="4:5" ht="15.75" customHeight="1">
      <c r="D692" s="26"/>
      <c r="E692" s="26"/>
    </row>
    <row r="693" spans="4:5" ht="15.75" customHeight="1">
      <c r="D693" s="26"/>
      <c r="E693" s="26"/>
    </row>
    <row r="694" spans="4:5" ht="15.75" customHeight="1">
      <c r="D694" s="26"/>
      <c r="E694" s="26"/>
    </row>
    <row r="695" spans="4:5" ht="15.75" customHeight="1">
      <c r="D695" s="26"/>
      <c r="E695" s="26"/>
    </row>
    <row r="696" spans="4:5" ht="15.75" customHeight="1">
      <c r="D696" s="26"/>
      <c r="E696" s="26"/>
    </row>
    <row r="697" spans="4:5" ht="15.75" customHeight="1">
      <c r="D697" s="26"/>
      <c r="E697" s="26"/>
    </row>
    <row r="698" spans="4:5" ht="15.75" customHeight="1">
      <c r="D698" s="26"/>
      <c r="E698" s="26"/>
    </row>
    <row r="699" spans="4:5" ht="15.75" customHeight="1">
      <c r="D699" s="26"/>
      <c r="E699" s="26"/>
    </row>
    <row r="700" spans="4:5" ht="15.75" customHeight="1">
      <c r="D700" s="26"/>
      <c r="E700" s="26"/>
    </row>
    <row r="701" spans="4:5" ht="15.75" customHeight="1">
      <c r="D701" s="26"/>
      <c r="E701" s="26"/>
    </row>
    <row r="702" spans="4:5" ht="15.75" customHeight="1">
      <c r="D702" s="26"/>
      <c r="E702" s="26"/>
    </row>
    <row r="703" spans="4:5" ht="15.75" customHeight="1">
      <c r="D703" s="26"/>
      <c r="E703" s="26"/>
    </row>
    <row r="704" spans="4:5" ht="15.75" customHeight="1">
      <c r="D704" s="26"/>
      <c r="E704" s="26"/>
    </row>
    <row r="705" spans="4:5" ht="15.75" customHeight="1">
      <c r="D705" s="26"/>
      <c r="E705" s="26"/>
    </row>
    <row r="706" spans="4:5" ht="15.75" customHeight="1">
      <c r="D706" s="26"/>
      <c r="E706" s="26"/>
    </row>
    <row r="707" spans="4:5" ht="15.75" customHeight="1">
      <c r="D707" s="26"/>
      <c r="E707" s="26"/>
    </row>
    <row r="708" spans="4:5" ht="15.75" customHeight="1">
      <c r="D708" s="26"/>
      <c r="E708" s="26"/>
    </row>
    <row r="709" spans="4:5" ht="15.75" customHeight="1">
      <c r="D709" s="26"/>
      <c r="E709" s="26"/>
    </row>
    <row r="710" spans="4:5" ht="15.75" customHeight="1">
      <c r="D710" s="26"/>
      <c r="E710" s="26"/>
    </row>
    <row r="711" spans="4:5" ht="15.75" customHeight="1">
      <c r="D711" s="26"/>
      <c r="E711" s="26"/>
    </row>
    <row r="712" spans="4:5" ht="15.75" customHeight="1">
      <c r="D712" s="26"/>
      <c r="E712" s="26"/>
    </row>
    <row r="713" spans="4:5" ht="15.75" customHeight="1">
      <c r="D713" s="26"/>
      <c r="E713" s="26"/>
    </row>
    <row r="714" spans="4:5" ht="15.75" customHeight="1">
      <c r="D714" s="26"/>
      <c r="E714" s="26"/>
    </row>
    <row r="715" spans="4:5" ht="15.75" customHeight="1">
      <c r="D715" s="26"/>
      <c r="E715" s="26"/>
    </row>
    <row r="716" spans="4:5" ht="15.75" customHeight="1">
      <c r="D716" s="26"/>
      <c r="E716" s="26"/>
    </row>
    <row r="717" spans="4:5" ht="15.75" customHeight="1">
      <c r="D717" s="26"/>
      <c r="E717" s="26"/>
    </row>
    <row r="718" spans="4:5" ht="15.75" customHeight="1">
      <c r="D718" s="26"/>
      <c r="E718" s="26"/>
    </row>
    <row r="719" spans="4:5" ht="15.75" customHeight="1">
      <c r="D719" s="26"/>
      <c r="E719" s="26"/>
    </row>
    <row r="720" spans="4:5" ht="15.75" customHeight="1">
      <c r="D720" s="26"/>
      <c r="E720" s="26"/>
    </row>
    <row r="721" spans="4:5" ht="15.75" customHeight="1">
      <c r="D721" s="26"/>
      <c r="E721" s="26"/>
    </row>
    <row r="722" spans="4:5" ht="15.75" customHeight="1">
      <c r="D722" s="26"/>
      <c r="E722" s="26"/>
    </row>
    <row r="723" spans="4:5" ht="15.75" customHeight="1">
      <c r="D723" s="26"/>
      <c r="E723" s="26"/>
    </row>
    <row r="724" spans="4:5" ht="15.75" customHeight="1">
      <c r="D724" s="26"/>
      <c r="E724" s="26"/>
    </row>
    <row r="725" spans="4:5" ht="15.75" customHeight="1">
      <c r="D725" s="26"/>
      <c r="E725" s="26"/>
    </row>
    <row r="726" spans="4:5" ht="15.75" customHeight="1">
      <c r="D726" s="26"/>
      <c r="E726" s="26"/>
    </row>
    <row r="727" spans="4:5" ht="15.75" customHeight="1">
      <c r="D727" s="26"/>
      <c r="E727" s="26"/>
    </row>
    <row r="728" spans="4:5" ht="15.75" customHeight="1">
      <c r="D728" s="26"/>
      <c r="E728" s="26"/>
    </row>
    <row r="729" spans="4:5" ht="15.75" customHeight="1">
      <c r="D729" s="26"/>
      <c r="E729" s="26"/>
    </row>
    <row r="730" spans="4:5" ht="15.75" customHeight="1">
      <c r="D730" s="26"/>
      <c r="E730" s="26"/>
    </row>
    <row r="731" spans="4:5" ht="15.75" customHeight="1">
      <c r="D731" s="26"/>
      <c r="E731" s="26"/>
    </row>
    <row r="732" spans="4:5" ht="15.75" customHeight="1">
      <c r="D732" s="26"/>
      <c r="E732" s="26"/>
    </row>
    <row r="733" spans="4:5" ht="15.75" customHeight="1">
      <c r="D733" s="26"/>
      <c r="E733" s="26"/>
    </row>
    <row r="734" spans="4:5" ht="15.75" customHeight="1">
      <c r="D734" s="26"/>
      <c r="E734" s="26"/>
    </row>
    <row r="735" spans="4:5" ht="15.75" customHeight="1">
      <c r="D735" s="26"/>
      <c r="E735" s="26"/>
    </row>
    <row r="736" spans="4:5" ht="15.75" customHeight="1">
      <c r="D736" s="26"/>
      <c r="E736" s="26"/>
    </row>
    <row r="737" spans="4:5" ht="15.75" customHeight="1">
      <c r="D737" s="26"/>
      <c r="E737" s="26"/>
    </row>
    <row r="738" spans="4:5" ht="15.75" customHeight="1">
      <c r="D738" s="26"/>
      <c r="E738" s="26"/>
    </row>
    <row r="739" spans="4:5" ht="15.75" customHeight="1">
      <c r="D739" s="26"/>
      <c r="E739" s="26"/>
    </row>
    <row r="740" spans="4:5" ht="15.75" customHeight="1">
      <c r="D740" s="26"/>
      <c r="E740" s="26"/>
    </row>
    <row r="741" spans="4:5" ht="15.75" customHeight="1">
      <c r="D741" s="26"/>
      <c r="E741" s="26"/>
    </row>
    <row r="742" spans="4:5" ht="15.75" customHeight="1">
      <c r="D742" s="26"/>
      <c r="E742" s="26"/>
    </row>
    <row r="743" spans="4:5" ht="15.75" customHeight="1">
      <c r="D743" s="26"/>
      <c r="E743" s="26"/>
    </row>
    <row r="744" spans="4:5" ht="15.75" customHeight="1">
      <c r="D744" s="26"/>
      <c r="E744" s="26"/>
    </row>
    <row r="745" spans="4:5" ht="15.75" customHeight="1">
      <c r="D745" s="26"/>
      <c r="E745" s="26"/>
    </row>
    <row r="746" spans="4:5" ht="15.75" customHeight="1">
      <c r="D746" s="26"/>
      <c r="E746" s="26"/>
    </row>
    <row r="747" spans="4:5" ht="15.75" customHeight="1">
      <c r="D747" s="26"/>
      <c r="E747" s="26"/>
    </row>
    <row r="748" spans="4:5" ht="15.75" customHeight="1">
      <c r="D748" s="26"/>
      <c r="E748" s="26"/>
    </row>
    <row r="749" spans="4:5" ht="15.75" customHeight="1">
      <c r="D749" s="26"/>
      <c r="E749" s="26"/>
    </row>
    <row r="750" spans="4:5" ht="15.75" customHeight="1">
      <c r="D750" s="26"/>
      <c r="E750" s="26"/>
    </row>
    <row r="751" spans="4:5" ht="15.75" customHeight="1">
      <c r="D751" s="26"/>
      <c r="E751" s="26"/>
    </row>
    <row r="752" spans="4:5" ht="15.75" customHeight="1">
      <c r="D752" s="26"/>
      <c r="E752" s="26"/>
    </row>
    <row r="753" spans="4:5" ht="15.75" customHeight="1">
      <c r="D753" s="26"/>
      <c r="E753" s="26"/>
    </row>
    <row r="754" spans="4:5" ht="15.75" customHeight="1">
      <c r="D754" s="26"/>
      <c r="E754" s="26"/>
    </row>
    <row r="755" spans="4:5" ht="15.75" customHeight="1">
      <c r="D755" s="26"/>
      <c r="E755" s="26"/>
    </row>
    <row r="756" spans="4:5" ht="15.75" customHeight="1">
      <c r="D756" s="26"/>
      <c r="E756" s="26"/>
    </row>
    <row r="757" spans="4:5" ht="15.75" customHeight="1">
      <c r="D757" s="26"/>
      <c r="E757" s="26"/>
    </row>
    <row r="758" spans="4:5" ht="15.75" customHeight="1">
      <c r="D758" s="26"/>
      <c r="E758" s="26"/>
    </row>
    <row r="759" spans="4:5" ht="15.75" customHeight="1">
      <c r="D759" s="26"/>
      <c r="E759" s="26"/>
    </row>
    <row r="760" spans="4:5" ht="15.75" customHeight="1">
      <c r="D760" s="26"/>
      <c r="E760" s="26"/>
    </row>
    <row r="761" spans="4:5" ht="15.75" customHeight="1">
      <c r="D761" s="26"/>
      <c r="E761" s="26"/>
    </row>
    <row r="762" spans="4:5" ht="15.75" customHeight="1">
      <c r="D762" s="26"/>
      <c r="E762" s="26"/>
    </row>
    <row r="763" spans="4:5" ht="15.75" customHeight="1">
      <c r="D763" s="26"/>
      <c r="E763" s="26"/>
    </row>
    <row r="764" spans="4:5" ht="15.75" customHeight="1">
      <c r="D764" s="26"/>
      <c r="E764" s="26"/>
    </row>
    <row r="765" spans="4:5" ht="15.75" customHeight="1">
      <c r="D765" s="26"/>
      <c r="E765" s="26"/>
    </row>
    <row r="766" spans="4:5" ht="15.75" customHeight="1">
      <c r="D766" s="26"/>
      <c r="E766" s="26"/>
    </row>
    <row r="767" spans="4:5" ht="15.75" customHeight="1">
      <c r="D767" s="26"/>
      <c r="E767" s="26"/>
    </row>
    <row r="768" spans="4:5" ht="15.75" customHeight="1">
      <c r="D768" s="26"/>
      <c r="E768" s="26"/>
    </row>
    <row r="769" spans="4:5" ht="15.75" customHeight="1">
      <c r="D769" s="26"/>
      <c r="E769" s="26"/>
    </row>
    <row r="770" spans="4:5" ht="15.75" customHeight="1">
      <c r="D770" s="26"/>
      <c r="E770" s="26"/>
    </row>
    <row r="771" spans="4:5" ht="15.75" customHeight="1">
      <c r="D771" s="26"/>
      <c r="E771" s="26"/>
    </row>
    <row r="772" spans="4:5" ht="15.75" customHeight="1">
      <c r="D772" s="26"/>
      <c r="E772" s="26"/>
    </row>
    <row r="773" spans="4:5" ht="15.75" customHeight="1">
      <c r="D773" s="26"/>
      <c r="E773" s="26"/>
    </row>
    <row r="774" spans="4:5" ht="15.75" customHeight="1">
      <c r="D774" s="26"/>
      <c r="E774" s="26"/>
    </row>
    <row r="775" spans="4:5" ht="15.75" customHeight="1">
      <c r="D775" s="26"/>
      <c r="E775" s="26"/>
    </row>
    <row r="776" spans="4:5" ht="15.75" customHeight="1">
      <c r="D776" s="26"/>
      <c r="E776" s="26"/>
    </row>
    <row r="777" spans="4:5" ht="15.75" customHeight="1">
      <c r="D777" s="26"/>
      <c r="E777" s="26"/>
    </row>
    <row r="778" spans="4:5" ht="15.75" customHeight="1">
      <c r="D778" s="26"/>
      <c r="E778" s="26"/>
    </row>
    <row r="779" spans="4:5" ht="15.75" customHeight="1">
      <c r="D779" s="26"/>
      <c r="E779" s="26"/>
    </row>
    <row r="780" spans="4:5" ht="15.75" customHeight="1">
      <c r="D780" s="26"/>
      <c r="E780" s="26"/>
    </row>
    <row r="781" spans="4:5" ht="15.75" customHeight="1">
      <c r="D781" s="26"/>
      <c r="E781" s="26"/>
    </row>
    <row r="782" spans="4:5" ht="15.75" customHeight="1">
      <c r="D782" s="26"/>
      <c r="E782" s="26"/>
    </row>
    <row r="783" spans="4:5" ht="15.75" customHeight="1">
      <c r="D783" s="26"/>
      <c r="E783" s="26"/>
    </row>
    <row r="784" spans="4:5" ht="15.75" customHeight="1">
      <c r="D784" s="26"/>
      <c r="E784" s="26"/>
    </row>
    <row r="785" spans="4:5" ht="15.75" customHeight="1">
      <c r="D785" s="26"/>
      <c r="E785" s="26"/>
    </row>
    <row r="786" spans="4:5" ht="15.75" customHeight="1">
      <c r="D786" s="26"/>
      <c r="E786" s="26"/>
    </row>
    <row r="787" spans="4:5" ht="15.75" customHeight="1">
      <c r="D787" s="26"/>
      <c r="E787" s="26"/>
    </row>
    <row r="788" spans="4:5" ht="15.75" customHeight="1">
      <c r="D788" s="26"/>
      <c r="E788" s="26"/>
    </row>
    <row r="789" spans="4:5" ht="15.75" customHeight="1">
      <c r="D789" s="26"/>
      <c r="E789" s="26"/>
    </row>
    <row r="790" spans="4:5" ht="15.75" customHeight="1">
      <c r="D790" s="26"/>
      <c r="E790" s="26"/>
    </row>
    <row r="791" spans="4:5" ht="15.75" customHeight="1">
      <c r="D791" s="26"/>
      <c r="E791" s="26"/>
    </row>
    <row r="792" spans="4:5" ht="15.75" customHeight="1">
      <c r="D792" s="26"/>
      <c r="E792" s="26"/>
    </row>
    <row r="793" spans="4:5" ht="15.75" customHeight="1">
      <c r="D793" s="26"/>
      <c r="E793" s="26"/>
    </row>
    <row r="794" spans="4:5" ht="15.75" customHeight="1">
      <c r="D794" s="26"/>
      <c r="E794" s="26"/>
    </row>
    <row r="795" spans="4:5" ht="15.75" customHeight="1">
      <c r="D795" s="26"/>
      <c r="E795" s="26"/>
    </row>
    <row r="796" spans="4:5" ht="15.75" customHeight="1">
      <c r="D796" s="26"/>
      <c r="E796" s="26"/>
    </row>
    <row r="797" spans="4:5" ht="15.75" customHeight="1">
      <c r="D797" s="26"/>
      <c r="E797" s="26"/>
    </row>
    <row r="798" spans="4:5" ht="15.75" customHeight="1">
      <c r="D798" s="26"/>
      <c r="E798" s="26"/>
    </row>
    <row r="799" spans="4:5" ht="15.75" customHeight="1">
      <c r="D799" s="26"/>
      <c r="E799" s="26"/>
    </row>
    <row r="800" spans="4:5" ht="15.75" customHeight="1">
      <c r="D800" s="26"/>
      <c r="E800" s="26"/>
    </row>
    <row r="801" spans="4:5" ht="15.75" customHeight="1">
      <c r="D801" s="26"/>
      <c r="E801" s="26"/>
    </row>
    <row r="802" spans="4:5" ht="15.75" customHeight="1">
      <c r="D802" s="26"/>
      <c r="E802" s="26"/>
    </row>
    <row r="803" spans="4:5" ht="15.75" customHeight="1">
      <c r="D803" s="26"/>
      <c r="E803" s="26"/>
    </row>
    <row r="804" spans="4:5" ht="15.75" customHeight="1">
      <c r="D804" s="26"/>
      <c r="E804" s="26"/>
    </row>
    <row r="805" spans="4:5" ht="15.75" customHeight="1">
      <c r="D805" s="26"/>
      <c r="E805" s="26"/>
    </row>
    <row r="806" spans="4:5" ht="15.75" customHeight="1">
      <c r="D806" s="26"/>
      <c r="E806" s="26"/>
    </row>
    <row r="807" spans="4:5" ht="15.75" customHeight="1">
      <c r="D807" s="26"/>
      <c r="E807" s="26"/>
    </row>
    <row r="808" spans="4:5" ht="15.75" customHeight="1">
      <c r="D808" s="26"/>
      <c r="E808" s="26"/>
    </row>
    <row r="809" spans="4:5" ht="15.75" customHeight="1">
      <c r="D809" s="26"/>
      <c r="E809" s="26"/>
    </row>
    <row r="810" spans="4:5" ht="15.75" customHeight="1">
      <c r="D810" s="26"/>
      <c r="E810" s="26"/>
    </row>
    <row r="811" spans="4:5" ht="15.75" customHeight="1">
      <c r="D811" s="26"/>
      <c r="E811" s="26"/>
    </row>
    <row r="812" spans="4:5" ht="15.75" customHeight="1">
      <c r="D812" s="26"/>
      <c r="E812" s="26"/>
    </row>
    <row r="813" spans="4:5" ht="15.75" customHeight="1">
      <c r="D813" s="26"/>
      <c r="E813" s="26"/>
    </row>
    <row r="814" spans="4:5" ht="15.75" customHeight="1">
      <c r="D814" s="26"/>
      <c r="E814" s="26"/>
    </row>
    <row r="815" spans="4:5" ht="15.75" customHeight="1">
      <c r="D815" s="26"/>
      <c r="E815" s="26"/>
    </row>
    <row r="816" spans="4:5" ht="15.75" customHeight="1">
      <c r="D816" s="26"/>
      <c r="E816" s="26"/>
    </row>
    <row r="817" spans="4:5" ht="15.75" customHeight="1">
      <c r="D817" s="26"/>
      <c r="E817" s="26"/>
    </row>
    <row r="818" spans="4:5" ht="15.75" customHeight="1">
      <c r="D818" s="26"/>
      <c r="E818" s="26"/>
    </row>
    <row r="819" spans="4:5" ht="15.75" customHeight="1">
      <c r="D819" s="26"/>
      <c r="E819" s="26"/>
    </row>
    <row r="820" spans="4:5" ht="15.75" customHeight="1">
      <c r="D820" s="26"/>
      <c r="E820" s="26"/>
    </row>
    <row r="821" spans="4:5" ht="15.75" customHeight="1">
      <c r="D821" s="26"/>
      <c r="E821" s="26"/>
    </row>
    <row r="822" spans="4:5" ht="15.75" customHeight="1">
      <c r="D822" s="26"/>
      <c r="E822" s="26"/>
    </row>
    <row r="823" spans="4:5" ht="15.75" customHeight="1">
      <c r="D823" s="26"/>
      <c r="E823" s="26"/>
    </row>
    <row r="824" spans="4:5" ht="15.75" customHeight="1">
      <c r="D824" s="26"/>
      <c r="E824" s="26"/>
    </row>
    <row r="825" spans="4:5" ht="15.75" customHeight="1">
      <c r="D825" s="26"/>
      <c r="E825" s="26"/>
    </row>
    <row r="826" spans="4:5" ht="15.75" customHeight="1">
      <c r="D826" s="26"/>
      <c r="E826" s="26"/>
    </row>
    <row r="827" spans="4:5" ht="15.75" customHeight="1">
      <c r="D827" s="26"/>
      <c r="E827" s="26"/>
    </row>
    <row r="828" spans="4:5" ht="15.75" customHeight="1">
      <c r="D828" s="26"/>
      <c r="E828" s="26"/>
    </row>
    <row r="829" spans="4:5" ht="15.75" customHeight="1">
      <c r="D829" s="26"/>
      <c r="E829" s="26"/>
    </row>
    <row r="830" spans="4:5" ht="15.75" customHeight="1">
      <c r="D830" s="26"/>
      <c r="E830" s="26"/>
    </row>
    <row r="831" spans="4:5" ht="15.75" customHeight="1">
      <c r="D831" s="26"/>
      <c r="E831" s="26"/>
    </row>
    <row r="832" spans="4:5" ht="15.75" customHeight="1">
      <c r="D832" s="26"/>
      <c r="E832" s="26"/>
    </row>
    <row r="833" spans="4:5" ht="15.75" customHeight="1">
      <c r="D833" s="26"/>
      <c r="E833" s="26"/>
    </row>
    <row r="834" spans="4:5" ht="15.75" customHeight="1">
      <c r="D834" s="26"/>
      <c r="E834" s="26"/>
    </row>
    <row r="835" spans="4:5" ht="15.75" customHeight="1">
      <c r="D835" s="26"/>
      <c r="E835" s="26"/>
    </row>
    <row r="836" spans="4:5" ht="15.75" customHeight="1">
      <c r="D836" s="26"/>
      <c r="E836" s="26"/>
    </row>
    <row r="837" spans="4:5" ht="15.75" customHeight="1">
      <c r="D837" s="26"/>
      <c r="E837" s="26"/>
    </row>
    <row r="838" spans="4:5" ht="15.75" customHeight="1">
      <c r="D838" s="26"/>
      <c r="E838" s="26"/>
    </row>
    <row r="839" spans="4:5" ht="15.75" customHeight="1">
      <c r="D839" s="26"/>
      <c r="E839" s="26"/>
    </row>
    <row r="840" spans="4:5" ht="15.75" customHeight="1">
      <c r="D840" s="26"/>
      <c r="E840" s="26"/>
    </row>
    <row r="841" spans="4:5" ht="15.75" customHeight="1">
      <c r="D841" s="26"/>
      <c r="E841" s="26"/>
    </row>
    <row r="842" spans="4:5" ht="15.75" customHeight="1">
      <c r="D842" s="26"/>
      <c r="E842" s="26"/>
    </row>
    <row r="843" spans="4:5" ht="15.75" customHeight="1">
      <c r="D843" s="26"/>
      <c r="E843" s="26"/>
    </row>
    <row r="844" spans="4:5" ht="15.75" customHeight="1">
      <c r="D844" s="26"/>
      <c r="E844" s="26"/>
    </row>
    <row r="845" spans="4:5" ht="15.75" customHeight="1">
      <c r="D845" s="26"/>
      <c r="E845" s="26"/>
    </row>
    <row r="846" spans="4:5" ht="15.75" customHeight="1">
      <c r="D846" s="26"/>
      <c r="E846" s="26"/>
    </row>
    <row r="847" spans="4:5" ht="15.75" customHeight="1">
      <c r="D847" s="26"/>
      <c r="E847" s="26"/>
    </row>
    <row r="848" spans="4:5" ht="15.75" customHeight="1">
      <c r="D848" s="26"/>
      <c r="E848" s="26"/>
    </row>
    <row r="849" spans="4:5" ht="15.75" customHeight="1">
      <c r="D849" s="26"/>
      <c r="E849" s="26"/>
    </row>
    <row r="850" spans="4:5" ht="15.75" customHeight="1">
      <c r="D850" s="26"/>
      <c r="E850" s="26"/>
    </row>
    <row r="851" spans="4:5" ht="15.75" customHeight="1">
      <c r="D851" s="26"/>
      <c r="E851" s="26"/>
    </row>
    <row r="852" spans="4:5" ht="15.75" customHeight="1">
      <c r="D852" s="26"/>
      <c r="E852" s="26"/>
    </row>
    <row r="853" spans="4:5" ht="15.75" customHeight="1">
      <c r="D853" s="26"/>
      <c r="E853" s="26"/>
    </row>
    <row r="854" spans="4:5" ht="15.75" customHeight="1">
      <c r="D854" s="26"/>
      <c r="E854" s="26"/>
    </row>
    <row r="855" spans="4:5" ht="15.75" customHeight="1">
      <c r="D855" s="26"/>
      <c r="E855" s="26"/>
    </row>
    <row r="856" spans="4:5" ht="15.75" customHeight="1">
      <c r="D856" s="26"/>
      <c r="E856" s="26"/>
    </row>
    <row r="857" spans="4:5" ht="15.75" customHeight="1">
      <c r="D857" s="26"/>
      <c r="E857" s="26"/>
    </row>
    <row r="858" spans="4:5" ht="15.75" customHeight="1">
      <c r="D858" s="26"/>
      <c r="E858" s="26"/>
    </row>
    <row r="859" spans="4:5" ht="15.75" customHeight="1">
      <c r="D859" s="26"/>
      <c r="E859" s="26"/>
    </row>
    <row r="860" spans="4:5" ht="15.75" customHeight="1">
      <c r="D860" s="26"/>
      <c r="E860" s="26"/>
    </row>
    <row r="861" spans="4:5" ht="15.75" customHeight="1">
      <c r="D861" s="26"/>
      <c r="E861" s="26"/>
    </row>
    <row r="862" spans="4:5" ht="15.75" customHeight="1">
      <c r="D862" s="26"/>
      <c r="E862" s="26"/>
    </row>
    <row r="863" spans="4:5" ht="15.75" customHeight="1">
      <c r="D863" s="26"/>
      <c r="E863" s="26"/>
    </row>
    <row r="864" spans="4:5" ht="15.75" customHeight="1">
      <c r="D864" s="26"/>
      <c r="E864" s="26"/>
    </row>
    <row r="865" spans="4:5" ht="15.75" customHeight="1">
      <c r="D865" s="26"/>
      <c r="E865" s="26"/>
    </row>
    <row r="866" spans="4:5" ht="15.75" customHeight="1">
      <c r="D866" s="26"/>
      <c r="E866" s="26"/>
    </row>
    <row r="867" spans="4:5" ht="15.75" customHeight="1">
      <c r="D867" s="26"/>
      <c r="E867" s="26"/>
    </row>
    <row r="868" spans="4:5" ht="15.75" customHeight="1">
      <c r="D868" s="26"/>
      <c r="E868" s="26"/>
    </row>
    <row r="869" spans="4:5" ht="15.75" customHeight="1">
      <c r="D869" s="26"/>
      <c r="E869" s="26"/>
    </row>
    <row r="870" spans="4:5" ht="15.75" customHeight="1">
      <c r="D870" s="26"/>
      <c r="E870" s="26"/>
    </row>
    <row r="871" spans="4:5" ht="15.75" customHeight="1">
      <c r="D871" s="26"/>
      <c r="E871" s="26"/>
    </row>
    <row r="872" spans="4:5" ht="15.75" customHeight="1">
      <c r="D872" s="26"/>
      <c r="E872" s="26"/>
    </row>
    <row r="873" spans="4:5" ht="15.75" customHeight="1">
      <c r="D873" s="26"/>
      <c r="E873" s="26"/>
    </row>
    <row r="874" spans="4:5" ht="15.75" customHeight="1">
      <c r="D874" s="26"/>
      <c r="E874" s="26"/>
    </row>
    <row r="875" spans="4:5" ht="15.75" customHeight="1">
      <c r="D875" s="26"/>
      <c r="E875" s="26"/>
    </row>
    <row r="876" spans="4:5" ht="15.75" customHeight="1">
      <c r="D876" s="26"/>
      <c r="E876" s="26"/>
    </row>
    <row r="877" spans="4:5" ht="15.75" customHeight="1">
      <c r="D877" s="26"/>
      <c r="E877" s="26"/>
    </row>
    <row r="878" spans="4:5" ht="15.75" customHeight="1">
      <c r="D878" s="26"/>
      <c r="E878" s="26"/>
    </row>
    <row r="879" spans="4:5" ht="15.75" customHeight="1">
      <c r="D879" s="26"/>
      <c r="E879" s="26"/>
    </row>
    <row r="880" spans="4:5" ht="15.75" customHeight="1">
      <c r="D880" s="26"/>
      <c r="E880" s="26"/>
    </row>
    <row r="881" spans="4:5" ht="15.75" customHeight="1">
      <c r="D881" s="26"/>
      <c r="E881" s="26"/>
    </row>
    <row r="882" spans="4:5" ht="15.75" customHeight="1">
      <c r="D882" s="26"/>
      <c r="E882" s="26"/>
    </row>
    <row r="883" spans="4:5" ht="15.75" customHeight="1">
      <c r="D883" s="26"/>
      <c r="E883" s="26"/>
    </row>
    <row r="884" spans="4:5" ht="15.75" customHeight="1">
      <c r="D884" s="26"/>
      <c r="E884" s="26"/>
    </row>
    <row r="885" spans="4:5" ht="15.75" customHeight="1">
      <c r="D885" s="26"/>
      <c r="E885" s="26"/>
    </row>
    <row r="886" spans="4:5" ht="15.75" customHeight="1">
      <c r="D886" s="26"/>
      <c r="E886" s="26"/>
    </row>
    <row r="887" spans="4:5" ht="15.75" customHeight="1">
      <c r="D887" s="26"/>
      <c r="E887" s="26"/>
    </row>
    <row r="888" spans="4:5" ht="15.75" customHeight="1">
      <c r="D888" s="26"/>
      <c r="E888" s="26"/>
    </row>
    <row r="889" spans="4:5" ht="15.75" customHeight="1">
      <c r="D889" s="26"/>
      <c r="E889" s="26"/>
    </row>
    <row r="890" spans="4:5" ht="15.75" customHeight="1">
      <c r="D890" s="26"/>
      <c r="E890" s="26"/>
    </row>
    <row r="891" spans="4:5" ht="15.75" customHeight="1">
      <c r="D891" s="26"/>
      <c r="E891" s="26"/>
    </row>
    <row r="892" spans="4:5" ht="15.75" customHeight="1">
      <c r="D892" s="26"/>
      <c r="E892" s="26"/>
    </row>
    <row r="893" spans="4:5" ht="15.75" customHeight="1">
      <c r="D893" s="26"/>
      <c r="E893" s="26"/>
    </row>
    <row r="894" spans="4:5" ht="15.75" customHeight="1">
      <c r="D894" s="26"/>
      <c r="E894" s="26"/>
    </row>
    <row r="895" spans="4:5" ht="15.75" customHeight="1">
      <c r="D895" s="26"/>
      <c r="E895" s="26"/>
    </row>
    <row r="896" spans="4:5" ht="15.75" customHeight="1">
      <c r="D896" s="26"/>
      <c r="E896" s="26"/>
    </row>
    <row r="897" spans="4:5" ht="15.75" customHeight="1">
      <c r="D897" s="26"/>
      <c r="E897" s="26"/>
    </row>
    <row r="898" spans="4:5" ht="15.75" customHeight="1">
      <c r="D898" s="26"/>
      <c r="E898" s="26"/>
    </row>
    <row r="899" spans="4:5" ht="15.75" customHeight="1">
      <c r="D899" s="26"/>
      <c r="E899" s="26"/>
    </row>
    <row r="900" spans="4:5" ht="15.75" customHeight="1">
      <c r="D900" s="26"/>
      <c r="E900" s="26"/>
    </row>
    <row r="901" spans="4:5" ht="15.75" customHeight="1">
      <c r="D901" s="26"/>
      <c r="E901" s="26"/>
    </row>
    <row r="902" spans="4:5" ht="15.75" customHeight="1">
      <c r="D902" s="26"/>
      <c r="E902" s="26"/>
    </row>
    <row r="903" spans="4:5" ht="15.75" customHeight="1">
      <c r="D903" s="26"/>
      <c r="E903" s="26"/>
    </row>
    <row r="904" spans="4:5" ht="15.75" customHeight="1">
      <c r="D904" s="26"/>
      <c r="E904" s="26"/>
    </row>
    <row r="905" spans="4:5" ht="15.75" customHeight="1">
      <c r="D905" s="26"/>
      <c r="E905" s="26"/>
    </row>
    <row r="906" spans="4:5" ht="15.75" customHeight="1">
      <c r="D906" s="26"/>
      <c r="E906" s="26"/>
    </row>
    <row r="907" spans="4:5" ht="15.75" customHeight="1">
      <c r="D907" s="26"/>
      <c r="E907" s="26"/>
    </row>
    <row r="908" spans="4:5" ht="15.75" customHeight="1">
      <c r="D908" s="26"/>
      <c r="E908" s="26"/>
    </row>
    <row r="909" spans="4:5" ht="15.75" customHeight="1">
      <c r="D909" s="26"/>
      <c r="E909" s="26"/>
    </row>
    <row r="910" spans="4:5" ht="15.75" customHeight="1">
      <c r="D910" s="26"/>
      <c r="E910" s="26"/>
    </row>
    <row r="911" spans="4:5" ht="15.75" customHeight="1">
      <c r="D911" s="26"/>
      <c r="E911" s="26"/>
    </row>
    <row r="912" spans="4:5" ht="15.75" customHeight="1">
      <c r="D912" s="26"/>
      <c r="E912" s="26"/>
    </row>
    <row r="913" spans="4:5" ht="15.75" customHeight="1">
      <c r="D913" s="26"/>
      <c r="E913" s="26"/>
    </row>
    <row r="914" spans="4:5" ht="15.75" customHeight="1">
      <c r="D914" s="26"/>
      <c r="E914" s="26"/>
    </row>
    <row r="915" spans="4:5" ht="15.75" customHeight="1">
      <c r="D915" s="26"/>
      <c r="E915" s="26"/>
    </row>
    <row r="916" spans="4:5" ht="15.75" customHeight="1">
      <c r="D916" s="26"/>
      <c r="E916" s="26"/>
    </row>
    <row r="917" spans="4:5" ht="15.75" customHeight="1">
      <c r="D917" s="26"/>
      <c r="E917" s="26"/>
    </row>
    <row r="918" spans="4:5" ht="15.75" customHeight="1">
      <c r="D918" s="26"/>
      <c r="E918" s="26"/>
    </row>
    <row r="919" spans="4:5" ht="15.75" customHeight="1">
      <c r="D919" s="26"/>
      <c r="E919" s="26"/>
    </row>
    <row r="920" spans="4:5" ht="15.75" customHeight="1">
      <c r="D920" s="26"/>
      <c r="E920" s="26"/>
    </row>
    <row r="921" spans="4:5" ht="15.75" customHeight="1">
      <c r="D921" s="26"/>
      <c r="E921" s="26"/>
    </row>
    <row r="922" spans="4:5" ht="15.75" customHeight="1">
      <c r="D922" s="26"/>
      <c r="E922" s="26"/>
    </row>
    <row r="923" spans="4:5" ht="15.75" customHeight="1">
      <c r="D923" s="26"/>
      <c r="E923" s="26"/>
    </row>
    <row r="924" spans="4:5" ht="15.75" customHeight="1">
      <c r="D924" s="26"/>
      <c r="E924" s="26"/>
    </row>
    <row r="925" spans="4:5" ht="15.75" customHeight="1">
      <c r="D925" s="26"/>
      <c r="E925" s="26"/>
    </row>
    <row r="926" spans="4:5" ht="15.75" customHeight="1">
      <c r="D926" s="26"/>
      <c r="E926" s="26"/>
    </row>
    <row r="927" spans="4:5" ht="15.75" customHeight="1">
      <c r="D927" s="26"/>
      <c r="E927" s="26"/>
    </row>
    <row r="928" spans="4:5" ht="15.75" customHeight="1">
      <c r="D928" s="26"/>
      <c r="E928" s="26"/>
    </row>
    <row r="929" spans="4:5" ht="15.75" customHeight="1">
      <c r="D929" s="26"/>
      <c r="E929" s="26"/>
    </row>
    <row r="930" spans="4:5" ht="15.75" customHeight="1">
      <c r="D930" s="26"/>
      <c r="E930" s="26"/>
    </row>
    <row r="931" spans="4:5" ht="15.75" customHeight="1">
      <c r="D931" s="26"/>
      <c r="E931" s="26"/>
    </row>
    <row r="932" spans="4:5" ht="15.75" customHeight="1">
      <c r="D932" s="26"/>
      <c r="E932" s="26"/>
    </row>
    <row r="933" spans="4:5" ht="15.75" customHeight="1">
      <c r="D933" s="26"/>
      <c r="E933" s="26"/>
    </row>
    <row r="934" spans="4:5" ht="15.75" customHeight="1">
      <c r="D934" s="26"/>
      <c r="E934" s="26"/>
    </row>
    <row r="935" spans="4:5" ht="15.75" customHeight="1">
      <c r="D935" s="26"/>
      <c r="E935" s="26"/>
    </row>
    <row r="936" spans="4:5" ht="15.75" customHeight="1">
      <c r="D936" s="26"/>
      <c r="E936" s="26"/>
    </row>
    <row r="937" spans="4:5" ht="15.75" customHeight="1">
      <c r="D937" s="26"/>
      <c r="E937" s="26"/>
    </row>
    <row r="938" spans="4:5" ht="15.75" customHeight="1">
      <c r="D938" s="26"/>
      <c r="E938" s="26"/>
    </row>
    <row r="939" spans="4:5" ht="15.75" customHeight="1">
      <c r="D939" s="26"/>
      <c r="E939" s="26"/>
    </row>
    <row r="940" spans="4:5" ht="15.75" customHeight="1">
      <c r="D940" s="26"/>
      <c r="E940" s="26"/>
    </row>
    <row r="941" spans="4:5" ht="15.75" customHeight="1">
      <c r="D941" s="26"/>
      <c r="E941" s="26"/>
    </row>
    <row r="942" spans="4:5" ht="15.75" customHeight="1">
      <c r="D942" s="26"/>
      <c r="E942" s="26"/>
    </row>
    <row r="943" spans="4:5" ht="15.75" customHeight="1">
      <c r="D943" s="26"/>
      <c r="E943" s="26"/>
    </row>
    <row r="944" spans="4:5" ht="15.75" customHeight="1">
      <c r="D944" s="26"/>
      <c r="E944" s="26"/>
    </row>
    <row r="945" spans="4:5" ht="15.75" customHeight="1">
      <c r="D945" s="26"/>
      <c r="E945" s="26"/>
    </row>
    <row r="946" spans="4:5" ht="15.75" customHeight="1">
      <c r="D946" s="26"/>
      <c r="E946" s="26"/>
    </row>
    <row r="947" spans="4:5" ht="15.75" customHeight="1">
      <c r="D947" s="26"/>
      <c r="E947" s="26"/>
    </row>
    <row r="948" spans="4:5" ht="15.75" customHeight="1">
      <c r="D948" s="26"/>
      <c r="E948" s="26"/>
    </row>
    <row r="949" spans="4:5" ht="15.75" customHeight="1">
      <c r="D949" s="26"/>
      <c r="E949" s="26"/>
    </row>
    <row r="950" spans="4:5" ht="15.75" customHeight="1">
      <c r="D950" s="26"/>
      <c r="E950" s="26"/>
    </row>
    <row r="951" spans="4:5" ht="15.75" customHeight="1">
      <c r="D951" s="26"/>
      <c r="E951" s="26"/>
    </row>
    <row r="952" spans="4:5" ht="15.75" customHeight="1">
      <c r="D952" s="26"/>
      <c r="E952" s="26"/>
    </row>
    <row r="953" spans="4:5" ht="15.75" customHeight="1">
      <c r="D953" s="26"/>
      <c r="E953" s="26"/>
    </row>
    <row r="954" spans="4:5" ht="15.75" customHeight="1">
      <c r="D954" s="26"/>
      <c r="E954" s="26"/>
    </row>
    <row r="955" spans="4:5" ht="15.75" customHeight="1">
      <c r="D955" s="26"/>
      <c r="E955" s="26"/>
    </row>
    <row r="956" spans="4:5" ht="15.75" customHeight="1">
      <c r="D956" s="26"/>
      <c r="E956" s="26"/>
    </row>
    <row r="957" spans="4:5" ht="15.75" customHeight="1">
      <c r="D957" s="26"/>
      <c r="E957" s="26"/>
    </row>
    <row r="958" spans="4:5" ht="15.75" customHeight="1">
      <c r="D958" s="26"/>
      <c r="E958" s="26"/>
    </row>
    <row r="959" spans="4:5" ht="15.75" customHeight="1">
      <c r="D959" s="26"/>
      <c r="E959" s="26"/>
    </row>
    <row r="960" spans="4:5" ht="15.75" customHeight="1">
      <c r="D960" s="26"/>
      <c r="E960" s="26"/>
    </row>
    <row r="961" spans="4:5" ht="15.75" customHeight="1">
      <c r="D961" s="26"/>
      <c r="E961" s="26"/>
    </row>
    <row r="962" spans="4:5" ht="15.75" customHeight="1">
      <c r="D962" s="26"/>
      <c r="E962" s="26"/>
    </row>
    <row r="963" spans="4:5" ht="15.75" customHeight="1">
      <c r="D963" s="26"/>
      <c r="E963" s="26"/>
    </row>
    <row r="964" spans="4:5" ht="15.75" customHeight="1">
      <c r="D964" s="26"/>
      <c r="E964" s="26"/>
    </row>
    <row r="965" spans="4:5" ht="15.75" customHeight="1">
      <c r="D965" s="26"/>
      <c r="E965" s="26"/>
    </row>
    <row r="966" spans="4:5" ht="15.75" customHeight="1">
      <c r="D966" s="26"/>
      <c r="E966" s="26"/>
    </row>
    <row r="967" spans="4:5" ht="15.75" customHeight="1">
      <c r="D967" s="26"/>
      <c r="E967" s="26"/>
    </row>
    <row r="968" spans="4:5" ht="15.75" customHeight="1">
      <c r="D968" s="26"/>
      <c r="E968" s="26"/>
    </row>
    <row r="969" spans="4:5" ht="15.75" customHeight="1">
      <c r="D969" s="26"/>
      <c r="E969" s="26"/>
    </row>
    <row r="970" spans="4:5" ht="15.75" customHeight="1">
      <c r="D970" s="26"/>
      <c r="E970" s="26"/>
    </row>
    <row r="971" spans="4:5" ht="15.75" customHeight="1">
      <c r="D971" s="26"/>
      <c r="E971" s="26"/>
    </row>
    <row r="972" spans="4:5" ht="15.75" customHeight="1">
      <c r="D972" s="26"/>
      <c r="E972" s="26"/>
    </row>
    <row r="973" spans="4:5" ht="15.75" customHeight="1">
      <c r="D973" s="26"/>
      <c r="E973" s="26"/>
    </row>
    <row r="974" spans="4:5" ht="15.75" customHeight="1">
      <c r="D974" s="26"/>
      <c r="E974" s="26"/>
    </row>
    <row r="975" spans="4:5" ht="15.75" customHeight="1">
      <c r="D975" s="26"/>
      <c r="E975" s="26"/>
    </row>
    <row r="976" spans="4:5" ht="15.75" customHeight="1">
      <c r="D976" s="26"/>
      <c r="E976" s="26"/>
    </row>
    <row r="977" spans="4:5" ht="15.75" customHeight="1">
      <c r="D977" s="26"/>
      <c r="E977" s="26"/>
    </row>
    <row r="978" spans="4:5" ht="15.75" customHeight="1">
      <c r="D978" s="26"/>
      <c r="E978" s="26"/>
    </row>
    <row r="979" spans="4:5" ht="15.75" customHeight="1">
      <c r="D979" s="26"/>
      <c r="E979" s="26"/>
    </row>
    <row r="980" spans="4:5" ht="15.75" customHeight="1">
      <c r="D980" s="26"/>
      <c r="E980" s="26"/>
    </row>
    <row r="981" spans="4:5" ht="15.75" customHeight="1">
      <c r="D981" s="26"/>
      <c r="E981" s="26"/>
    </row>
    <row r="982" spans="4:5" ht="15.75" customHeight="1">
      <c r="D982" s="26"/>
      <c r="E982" s="26"/>
    </row>
    <row r="983" spans="4:5" ht="15.75" customHeight="1">
      <c r="D983" s="26"/>
      <c r="E983" s="26"/>
    </row>
    <row r="984" spans="4:5" ht="15.75" customHeight="1">
      <c r="D984" s="26"/>
      <c r="E984" s="26"/>
    </row>
    <row r="985" spans="4:5" ht="15.75" customHeight="1">
      <c r="D985" s="26"/>
      <c r="E985" s="26"/>
    </row>
    <row r="986" spans="4:5" ht="15.75" customHeight="1">
      <c r="D986" s="26"/>
      <c r="E986" s="26"/>
    </row>
    <row r="987" spans="4:5" ht="15.75" customHeight="1">
      <c r="D987" s="26"/>
      <c r="E987" s="26"/>
    </row>
    <row r="988" spans="4:5" ht="15.75" customHeight="1">
      <c r="D988" s="26"/>
      <c r="E988" s="26"/>
    </row>
    <row r="989" spans="4:5" ht="15.75" customHeight="1">
      <c r="D989" s="26"/>
      <c r="E989" s="26"/>
    </row>
    <row r="990" spans="4:5" ht="15.75" customHeight="1">
      <c r="D990" s="26"/>
      <c r="E990" s="26"/>
    </row>
    <row r="991" spans="4:5" ht="15.75" customHeight="1">
      <c r="D991" s="26"/>
      <c r="E991" s="26"/>
    </row>
    <row r="992" spans="4:5" ht="15.75" customHeight="1">
      <c r="D992" s="26"/>
      <c r="E992" s="26"/>
    </row>
    <row r="993" spans="4:5" ht="15.75" customHeight="1">
      <c r="D993" s="26"/>
      <c r="E993" s="26"/>
    </row>
    <row r="994" spans="4:5" ht="15.75" customHeight="1">
      <c r="D994" s="26"/>
      <c r="E994" s="26"/>
    </row>
    <row r="995" spans="4:5" ht="15.75" customHeight="1">
      <c r="D995" s="26"/>
      <c r="E995" s="26"/>
    </row>
    <row r="996" spans="4:5" ht="15.75" customHeight="1">
      <c r="D996" s="26"/>
      <c r="E996" s="26"/>
    </row>
    <row r="997" spans="4:5" ht="15.75" customHeight="1">
      <c r="D997" s="26"/>
      <c r="E997" s="26"/>
    </row>
    <row r="998" spans="4:5" ht="15.75" customHeight="1">
      <c r="D998" s="26"/>
      <c r="E998" s="26"/>
    </row>
    <row r="999" spans="4:5" ht="15.75" customHeight="1">
      <c r="D999" s="26"/>
      <c r="E999" s="26"/>
    </row>
    <row r="1000" spans="4:5" ht="15.75" customHeight="1">
      <c r="D1000" s="26"/>
      <c r="E1000" s="26"/>
    </row>
    <row r="1001" spans="4:5" ht="15.75" customHeight="1">
      <c r="D1001" s="26"/>
      <c r="E1001" s="26"/>
    </row>
    <row r="1002" spans="4:5" ht="15.75" customHeight="1">
      <c r="D1002" s="26"/>
      <c r="E1002" s="26"/>
    </row>
    <row r="1003" spans="4:5" ht="15.75" customHeight="1">
      <c r="D1003" s="26"/>
      <c r="E1003" s="26"/>
    </row>
    <row r="1004" spans="4:5" ht="15.75" customHeight="1">
      <c r="D1004" s="26"/>
      <c r="E1004" s="26"/>
    </row>
    <row r="1005" spans="4:5" ht="15.75" customHeight="1">
      <c r="D1005" s="26"/>
      <c r="E1005" s="26"/>
    </row>
    <row r="1006" spans="4:5" ht="15.75" customHeight="1">
      <c r="D1006" s="26"/>
      <c r="E1006" s="26"/>
    </row>
    <row r="1007" spans="4:5" ht="15.75" customHeight="1">
      <c r="D1007" s="26"/>
      <c r="E1007" s="26"/>
    </row>
    <row r="1008" spans="4:5" ht="15.75" customHeight="1">
      <c r="D1008" s="26"/>
      <c r="E1008" s="26"/>
    </row>
    <row r="1009" spans="4:5" ht="15.75" customHeight="1">
      <c r="D1009" s="26"/>
      <c r="E1009" s="26"/>
    </row>
    <row r="1010" spans="4:5" ht="15.75" customHeight="1">
      <c r="D1010" s="26"/>
      <c r="E1010" s="26"/>
    </row>
    <row r="1011" spans="4:5" ht="15.75" customHeight="1">
      <c r="D1011" s="26"/>
      <c r="E1011" s="26"/>
    </row>
  </sheetData>
  <sheetProtection sheet="1" objects="1" scenarios="1"/>
  <mergeCells count="12">
    <mergeCell ref="C26:D26"/>
    <mergeCell ref="C27:D27"/>
    <mergeCell ref="D3:F3"/>
    <mergeCell ref="D4:F4"/>
    <mergeCell ref="D5:F5"/>
    <mergeCell ref="C23:D23"/>
    <mergeCell ref="C25:D25"/>
    <mergeCell ref="C28:D28"/>
    <mergeCell ref="C29:D29"/>
    <mergeCell ref="C30:D30"/>
    <mergeCell ref="C31:D31"/>
    <mergeCell ref="C32:D32"/>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J1001"/>
  <sheetViews>
    <sheetView workbookViewId="0">
      <pane ySplit="1" topLeftCell="A2" activePane="bottomLeft" state="frozen"/>
      <selection pane="bottomLeft"/>
    </sheetView>
  </sheetViews>
  <sheetFormatPr defaultColWidth="12.5703125" defaultRowHeight="22.5" customHeight="1"/>
  <cols>
    <col min="1" max="1" width="5.28515625" style="109" customWidth="1"/>
    <col min="2" max="2" width="13.42578125" style="79" customWidth="1"/>
    <col min="3" max="3" width="16.28515625" style="79" customWidth="1"/>
    <col min="4" max="4" width="17.7109375" style="79" customWidth="1"/>
    <col min="5" max="5" width="15.42578125" style="79" customWidth="1"/>
    <col min="6" max="6" width="24.28515625" style="79" customWidth="1"/>
    <col min="7" max="7" width="16.5703125" style="79" customWidth="1"/>
    <col min="8" max="8" width="21.140625" style="79" customWidth="1"/>
    <col min="9" max="9" width="23.28515625" style="79" customWidth="1"/>
    <col min="10" max="10" width="13.42578125" style="79" customWidth="1"/>
    <col min="11" max="11" width="14.85546875" style="79" customWidth="1"/>
    <col min="12" max="12" width="13.28515625" style="79" customWidth="1"/>
    <col min="13" max="13" width="18.42578125" style="79" customWidth="1"/>
    <col min="14" max="14" width="21.28515625" style="79" customWidth="1"/>
    <col min="15" max="15" width="27.28515625" style="79" customWidth="1"/>
    <col min="16" max="16" width="48.42578125" style="79" bestFit="1" customWidth="1"/>
    <col min="17" max="16384" width="12.5703125" style="79"/>
  </cols>
  <sheetData>
    <row r="1" spans="1:36" ht="22.5" customHeight="1">
      <c r="A1" s="106" t="s">
        <v>48</v>
      </c>
      <c r="B1" s="74" t="s">
        <v>59</v>
      </c>
      <c r="C1" s="74" t="s">
        <v>61</v>
      </c>
      <c r="D1" s="74" t="s">
        <v>64</v>
      </c>
      <c r="E1" s="74" t="s">
        <v>66</v>
      </c>
      <c r="F1" s="74" t="s">
        <v>67</v>
      </c>
      <c r="G1" s="75" t="s">
        <v>68</v>
      </c>
      <c r="H1" s="75" t="s">
        <v>69</v>
      </c>
      <c r="I1" s="75" t="s">
        <v>71</v>
      </c>
      <c r="J1" s="76" t="s">
        <v>72</v>
      </c>
      <c r="K1" s="76" t="s">
        <v>74</v>
      </c>
      <c r="L1" s="76" t="s">
        <v>75</v>
      </c>
      <c r="M1" s="76" t="s">
        <v>77</v>
      </c>
      <c r="N1" s="76" t="s">
        <v>78</v>
      </c>
      <c r="O1" s="74" t="s">
        <v>80</v>
      </c>
      <c r="P1" s="77" t="s">
        <v>82</v>
      </c>
      <c r="Q1" s="78"/>
      <c r="R1" s="78"/>
      <c r="S1" s="78"/>
      <c r="T1" s="78"/>
      <c r="U1" s="78"/>
      <c r="V1" s="78"/>
      <c r="W1" s="78"/>
      <c r="X1" s="78"/>
      <c r="Y1" s="78"/>
      <c r="Z1" s="78"/>
      <c r="AA1" s="78"/>
      <c r="AB1" s="78"/>
      <c r="AC1" s="78"/>
      <c r="AD1" s="78"/>
      <c r="AE1" s="78"/>
      <c r="AF1" s="78"/>
      <c r="AG1" s="78"/>
      <c r="AH1" s="78"/>
      <c r="AI1" s="78"/>
      <c r="AJ1" s="78"/>
    </row>
    <row r="2" spans="1:36" ht="22.5" customHeight="1">
      <c r="A2" s="107" t="str">
        <f ca="1">IF(FILAMENT[[#This Row],[PRODUCT]] &lt;&gt; "", IF(ROW() = 2, "000", TEXT(INDIRECT("A" &amp; ROW() - 1) + 1, "000")), "")</f>
        <v>000</v>
      </c>
      <c r="B2" s="81" t="s">
        <v>98</v>
      </c>
      <c r="C2" s="81" t="s">
        <v>98</v>
      </c>
      <c r="D2" s="80" t="s">
        <v>99</v>
      </c>
      <c r="E2" s="80" t="s">
        <v>99</v>
      </c>
      <c r="F2" s="80" t="s">
        <v>99</v>
      </c>
      <c r="G2" s="80" t="s">
        <v>99</v>
      </c>
      <c r="H2" s="82">
        <v>0</v>
      </c>
      <c r="I2" s="82">
        <v>0</v>
      </c>
      <c r="J2" s="81" t="s">
        <v>102</v>
      </c>
      <c r="K2" s="83">
        <v>0</v>
      </c>
      <c r="L2" s="83">
        <f t="shared" ref="L2:L65" si="0">K2 * 0.06</f>
        <v>0</v>
      </c>
      <c r="M2" s="83">
        <v>0</v>
      </c>
      <c r="N2" s="83">
        <f t="shared" ref="N2:N65" si="1">K2 + L2 + M2</f>
        <v>0</v>
      </c>
      <c r="O2" s="80"/>
      <c r="P2" s="81" t="str">
        <f t="shared" ref="P2:P65" ca="1" si="2">IF(A2 = "000", A2 &amp; " | None", A2 &amp; " | " &amp; F2 &amp; " | " &amp; B2 &amp; " | " &amp; E2  &amp; " | " &amp; H2 &amp; "g | " &amp; I2 &amp; "mm")</f>
        <v>000 | None</v>
      </c>
    </row>
    <row r="3" spans="1:36" ht="22.5" customHeight="1">
      <c r="A3" s="107" t="str">
        <f ca="1">IF(FILAMENT[[#This Row],[PRODUCT]] &lt;&gt; "", IF(ROW() = 2, "000", TEXT(INDIRECT("A" &amp; ROW() - 1) + 1, "000")), "")</f>
        <v>001</v>
      </c>
      <c r="B3" s="80" t="s">
        <v>114</v>
      </c>
      <c r="C3" s="80" t="s">
        <v>116</v>
      </c>
      <c r="D3" s="80" t="s">
        <v>117</v>
      </c>
      <c r="E3" s="80" t="s">
        <v>118</v>
      </c>
      <c r="F3" s="80" t="s">
        <v>119</v>
      </c>
      <c r="G3" s="80" t="s">
        <v>120</v>
      </c>
      <c r="H3" s="82">
        <v>1000</v>
      </c>
      <c r="I3" s="82">
        <v>1.75</v>
      </c>
      <c r="J3" s="83" t="s">
        <v>121</v>
      </c>
      <c r="K3" s="83">
        <v>37.79</v>
      </c>
      <c r="L3" s="83">
        <f t="shared" si="0"/>
        <v>2.2673999999999999</v>
      </c>
      <c r="M3" s="83">
        <v>0</v>
      </c>
      <c r="N3" s="83">
        <f t="shared" si="1"/>
        <v>40.057400000000001</v>
      </c>
      <c r="O3" s="84" t="s">
        <v>127</v>
      </c>
      <c r="P3" s="81" t="str">
        <f ca="1">IF(FILAMENT[[#This Row],[ID]] &lt;&gt; "", IF(A3 = "000", A3 &amp; " | None", A3 &amp; " | " &amp; F3 &amp; " | " &amp; B3 &amp; " | " &amp; E3  &amp; " | " &amp; H3 &amp; "g | " &amp; I3 &amp; "mm"), "")</f>
        <v>001 | Prusa | PLA | Galaxy Black | 1000g | 1.75mm</v>
      </c>
    </row>
    <row r="4" spans="1:36" ht="22.5" customHeight="1">
      <c r="A4" s="107" t="str">
        <f ca="1">IF(FILAMENT[[#This Row],[PRODUCT]] &lt;&gt; "", IF(ROW() = 2, "000", TEXT(INDIRECT("A" &amp; ROW() - 1) + 1, "000")), "")</f>
        <v>002</v>
      </c>
      <c r="B4" s="80" t="s">
        <v>114</v>
      </c>
      <c r="C4" s="80" t="s">
        <v>98</v>
      </c>
      <c r="D4" s="80" t="s">
        <v>132</v>
      </c>
      <c r="E4" s="80" t="s">
        <v>135</v>
      </c>
      <c r="F4" s="80" t="s">
        <v>137</v>
      </c>
      <c r="G4" s="80" t="s">
        <v>120</v>
      </c>
      <c r="H4" s="82">
        <v>1000</v>
      </c>
      <c r="I4" s="82">
        <v>1.75</v>
      </c>
      <c r="J4" s="83" t="s">
        <v>102</v>
      </c>
      <c r="K4" s="83">
        <v>12.59</v>
      </c>
      <c r="L4" s="83">
        <f t="shared" si="0"/>
        <v>0.75539999999999996</v>
      </c>
      <c r="M4" s="83">
        <v>0</v>
      </c>
      <c r="N4" s="83">
        <f t="shared" si="1"/>
        <v>13.3454</v>
      </c>
      <c r="O4" s="84" t="s">
        <v>141</v>
      </c>
      <c r="P4" s="81" t="str">
        <f ca="1">IF(FILAMENT[[#This Row],[ID]] &lt;&gt; "", IF(A4 = "000", A4 &amp; " | None", A4 &amp; " | " &amp; F4 &amp; " | " &amp; B4 &amp; " | " &amp; E4  &amp; " | " &amp; H4 &amp; "g | " &amp; I4 &amp; "mm"), "")</f>
        <v>002 | Elegoo | PLA | White | 1000g | 1.75mm</v>
      </c>
    </row>
    <row r="5" spans="1:36" ht="22.5" customHeight="1">
      <c r="A5" s="107" t="str">
        <f ca="1">IF(FILAMENT[[#This Row],[PRODUCT]] &lt;&gt; "", IF(ROW() = 2, "000", TEXT(INDIRECT("A" &amp; ROW() - 1) + 1, "000")), "")</f>
        <v>003</v>
      </c>
      <c r="B5" s="80" t="s">
        <v>114</v>
      </c>
      <c r="C5" s="80" t="s">
        <v>98</v>
      </c>
      <c r="D5" s="80" t="s">
        <v>144</v>
      </c>
      <c r="E5" s="80" t="s">
        <v>145</v>
      </c>
      <c r="F5" s="80" t="s">
        <v>146</v>
      </c>
      <c r="G5" s="80" t="s">
        <v>120</v>
      </c>
      <c r="H5" s="82">
        <v>1000</v>
      </c>
      <c r="I5" s="82">
        <v>1.75</v>
      </c>
      <c r="J5" s="83" t="s">
        <v>102</v>
      </c>
      <c r="K5" s="83">
        <v>22.49</v>
      </c>
      <c r="L5" s="83">
        <f t="shared" si="0"/>
        <v>1.3493999999999999</v>
      </c>
      <c r="M5" s="83">
        <v>0</v>
      </c>
      <c r="N5" s="83">
        <f t="shared" si="1"/>
        <v>23.839399999999998</v>
      </c>
      <c r="O5" s="84" t="s">
        <v>148</v>
      </c>
      <c r="P5" s="81" t="str">
        <f ca="1">IF(FILAMENT[[#This Row],[ID]] &lt;&gt; "", IF(A5 = "000", A5 &amp; " | None", A5 &amp; " | " &amp; F5 &amp; " | " &amp; B5 &amp; " | " &amp; E5  &amp; " | " &amp; H5 &amp; "g | " &amp; I5 &amp; "mm"), "")</f>
        <v>003 | Inland | PLA | Olive Green | 1000g | 1.75mm</v>
      </c>
    </row>
    <row r="6" spans="1:36" ht="22.5" customHeight="1">
      <c r="A6" s="107" t="str">
        <f ca="1">IF(FILAMENT[[#This Row],[PRODUCT]] &lt;&gt; "", IF(ROW() = 2, "000", TEXT(INDIRECT("A" &amp; ROW() - 1) + 1, "000")), "")</f>
        <v>004</v>
      </c>
      <c r="B6" s="80" t="s">
        <v>114</v>
      </c>
      <c r="C6" s="80" t="s">
        <v>98</v>
      </c>
      <c r="D6" s="80" t="s">
        <v>152</v>
      </c>
      <c r="E6" s="80" t="s">
        <v>153</v>
      </c>
      <c r="F6" s="80" t="s">
        <v>154</v>
      </c>
      <c r="G6" s="80" t="s">
        <v>120</v>
      </c>
      <c r="H6" s="82">
        <v>1000</v>
      </c>
      <c r="I6" s="82">
        <v>1.75</v>
      </c>
      <c r="J6" s="83" t="s">
        <v>102</v>
      </c>
      <c r="K6" s="83">
        <v>13.99</v>
      </c>
      <c r="L6" s="83">
        <f t="shared" si="0"/>
        <v>0.83940000000000003</v>
      </c>
      <c r="M6" s="83">
        <v>0</v>
      </c>
      <c r="N6" s="83">
        <f t="shared" si="1"/>
        <v>14.8294</v>
      </c>
      <c r="O6" s="84" t="s">
        <v>156</v>
      </c>
      <c r="P6" s="81" t="str">
        <f ca="1">IF(FILAMENT[[#This Row],[ID]] &lt;&gt; "", IF(A6 = "000", A6 &amp; " | None", A6 &amp; " | " &amp; F6 &amp; " | " &amp; B6 &amp; " | " &amp; E6  &amp; " | " &amp; H6 &amp; "g | " &amp; I6 &amp; "mm"), "")</f>
        <v>004 | eSUN | PLA | Yellow | 1000g | 1.75mm</v>
      </c>
    </row>
    <row r="7" spans="1:36" ht="22.5" customHeight="1">
      <c r="A7" s="107" t="str">
        <f ca="1">IF(FILAMENT[[#This Row],[PRODUCT]] &lt;&gt; "", IF(ROW() = 2, "000", TEXT(INDIRECT("A" &amp; ROW() - 1) + 1, "000")), "")</f>
        <v>005</v>
      </c>
      <c r="B7" s="80" t="s">
        <v>114</v>
      </c>
      <c r="C7" s="80" t="s">
        <v>159</v>
      </c>
      <c r="D7" s="80" t="s">
        <v>114</v>
      </c>
      <c r="E7" s="80" t="s">
        <v>161</v>
      </c>
      <c r="F7" s="80" t="s">
        <v>137</v>
      </c>
      <c r="G7" s="80" t="s">
        <v>120</v>
      </c>
      <c r="H7" s="82">
        <v>1000</v>
      </c>
      <c r="I7" s="82">
        <v>1.75</v>
      </c>
      <c r="J7" s="83" t="s">
        <v>102</v>
      </c>
      <c r="K7" s="83">
        <v>17.989999999999998</v>
      </c>
      <c r="L7" s="83">
        <f t="shared" si="0"/>
        <v>1.0793999999999999</v>
      </c>
      <c r="M7" s="83">
        <v>0</v>
      </c>
      <c r="N7" s="83">
        <f t="shared" si="1"/>
        <v>19.069399999999998</v>
      </c>
      <c r="O7" s="84" t="s">
        <v>163</v>
      </c>
      <c r="P7" s="81" t="str">
        <f ca="1">IF(FILAMENT[[#This Row],[ID]] &lt;&gt; "", IF(A7 = "000", A7 &amp; " | None", A7 &amp; " | " &amp; F7 &amp; " | " &amp; B7 &amp; " | " &amp; E7  &amp; " | " &amp; H7 &amp; "g | " &amp; I7 &amp; "mm"), "")</f>
        <v>005 | Elegoo | PLA | Glow Green | 1000g | 1.75mm</v>
      </c>
    </row>
    <row r="8" spans="1:36" ht="22.5" customHeight="1">
      <c r="A8" s="107" t="str">
        <f ca="1">IF(FILAMENT[[#This Row],[PRODUCT]] &lt;&gt; "", IF(ROW() = 2, "000", TEXT(INDIRECT("A" &amp; ROW() - 1) + 1, "000")), "")</f>
        <v>006</v>
      </c>
      <c r="B8" s="80" t="s">
        <v>114</v>
      </c>
      <c r="C8" s="80" t="s">
        <v>166</v>
      </c>
      <c r="D8" s="80" t="s">
        <v>167</v>
      </c>
      <c r="E8" s="80" t="s">
        <v>168</v>
      </c>
      <c r="F8" s="80" t="s">
        <v>170</v>
      </c>
      <c r="G8" s="80" t="s">
        <v>120</v>
      </c>
      <c r="H8" s="82">
        <v>1000</v>
      </c>
      <c r="I8" s="82">
        <v>1.75</v>
      </c>
      <c r="J8" s="83" t="s">
        <v>102</v>
      </c>
      <c r="K8" s="83">
        <v>16.989999999999998</v>
      </c>
      <c r="L8" s="83">
        <f t="shared" si="0"/>
        <v>1.0193999999999999</v>
      </c>
      <c r="M8" s="83">
        <v>0</v>
      </c>
      <c r="N8" s="83">
        <f t="shared" si="1"/>
        <v>18.009399999999999</v>
      </c>
      <c r="O8" s="84" t="s">
        <v>172</v>
      </c>
      <c r="P8" s="81" t="str">
        <f ca="1">IF(FILAMENT[[#This Row],[ID]] &lt;&gt; "", IF(A8 = "000", A8 &amp; " | None", A8 &amp; " | " &amp; F8 &amp; " | " &amp; B8 &amp; " | " &amp; E8  &amp; " | " &amp; H8 &amp; "g | " &amp; I8 &amp; "mm"), "")</f>
        <v>006 | Eryone | PLA | Silver | 1000g | 1.75mm</v>
      </c>
    </row>
    <row r="9" spans="1:36" ht="22.5" customHeight="1">
      <c r="A9" s="107" t="str">
        <f ca="1">IF(FILAMENT[[#This Row],[PRODUCT]] &lt;&gt; "", IF(ROW() = 2, "000", TEXT(INDIRECT("A" &amp; ROW() - 1) + 1, "000")), "")</f>
        <v>007</v>
      </c>
      <c r="B9" s="80" t="s">
        <v>114</v>
      </c>
      <c r="C9" s="80" t="s">
        <v>98</v>
      </c>
      <c r="D9" s="80" t="s">
        <v>114</v>
      </c>
      <c r="E9" s="80" t="s">
        <v>176</v>
      </c>
      <c r="F9" s="80" t="s">
        <v>137</v>
      </c>
      <c r="G9" s="80" t="s">
        <v>120</v>
      </c>
      <c r="H9" s="82">
        <v>1000</v>
      </c>
      <c r="I9" s="82">
        <v>1.75</v>
      </c>
      <c r="J9" s="83" t="s">
        <v>102</v>
      </c>
      <c r="K9" s="83">
        <v>21.99</v>
      </c>
      <c r="L9" s="83">
        <f t="shared" si="0"/>
        <v>1.3193999999999999</v>
      </c>
      <c r="M9" s="83">
        <v>0</v>
      </c>
      <c r="N9" s="83">
        <f t="shared" si="1"/>
        <v>23.309399999999997</v>
      </c>
      <c r="O9" s="84" t="s">
        <v>178</v>
      </c>
      <c r="P9" s="81" t="str">
        <f ca="1">IF(FILAMENT[[#This Row],[ID]] &lt;&gt; "", IF(A9 = "000", A9 &amp; " | None", A9 &amp; " | " &amp; F9 &amp; " | " &amp; B9 &amp; " | " &amp; E9  &amp; " | " &amp; H9 &amp; "g | " &amp; I9 &amp; "mm"), "")</f>
        <v>007 | Elegoo | PLA | Marble | 1000g | 1.75mm</v>
      </c>
    </row>
    <row r="10" spans="1:36" ht="22.5" customHeight="1">
      <c r="A10" s="107" t="str">
        <f ca="1">IF(FILAMENT[[#This Row],[PRODUCT]] &lt;&gt; "", IF(ROW() = 2, "000", TEXT(INDIRECT("A" &amp; ROW() - 1) + 1, "000")), "")</f>
        <v>008</v>
      </c>
      <c r="B10" s="80" t="s">
        <v>182</v>
      </c>
      <c r="C10" s="80" t="s">
        <v>98</v>
      </c>
      <c r="D10" s="80" t="s">
        <v>182</v>
      </c>
      <c r="E10" s="80" t="s">
        <v>184</v>
      </c>
      <c r="F10" s="80" t="s">
        <v>137</v>
      </c>
      <c r="G10" s="80" t="s">
        <v>120</v>
      </c>
      <c r="H10" s="82">
        <v>1000</v>
      </c>
      <c r="I10" s="82">
        <v>1.75</v>
      </c>
      <c r="J10" s="83" t="s">
        <v>102</v>
      </c>
      <c r="K10" s="83">
        <v>12.99</v>
      </c>
      <c r="L10" s="83">
        <f t="shared" si="0"/>
        <v>0.77939999999999998</v>
      </c>
      <c r="M10" s="83">
        <v>0</v>
      </c>
      <c r="N10" s="83">
        <f t="shared" si="1"/>
        <v>13.769400000000001</v>
      </c>
      <c r="O10" s="84" t="s">
        <v>186</v>
      </c>
      <c r="P10" s="81" t="str">
        <f ca="1">IF(FILAMENT[[#This Row],[ID]] &lt;&gt; "", IF(A10 = "000", A10 &amp; " | None", A10 &amp; " | " &amp; F10 &amp; " | " &amp; B10 &amp; " | " &amp; E10  &amp; " | " &amp; H10 &amp; "g | " &amp; I10 &amp; "mm"), "")</f>
        <v>008 | Elegoo | PETG | Black | 1000g | 1.75mm</v>
      </c>
    </row>
    <row r="11" spans="1:36" ht="22.5" customHeight="1">
      <c r="A11" s="107" t="str">
        <f ca="1">IF(FILAMENT[[#This Row],[PRODUCT]] &lt;&gt; "", IF(ROW() = 2, "000", TEXT(INDIRECT("A" &amp; ROW() - 1) + 1, "000")), "")</f>
        <v>009</v>
      </c>
      <c r="B11" s="80" t="s">
        <v>114</v>
      </c>
      <c r="C11" s="80" t="s">
        <v>98</v>
      </c>
      <c r="D11" s="80" t="s">
        <v>189</v>
      </c>
      <c r="E11" s="80" t="s">
        <v>135</v>
      </c>
      <c r="F11" s="80" t="s">
        <v>146</v>
      </c>
      <c r="G11" s="80" t="s">
        <v>190</v>
      </c>
      <c r="H11" s="82">
        <v>1000</v>
      </c>
      <c r="I11" s="82">
        <v>2.85</v>
      </c>
      <c r="J11" s="83" t="s">
        <v>102</v>
      </c>
      <c r="K11" s="83">
        <v>14.99</v>
      </c>
      <c r="L11" s="83">
        <f t="shared" si="0"/>
        <v>0.89939999999999998</v>
      </c>
      <c r="M11" s="83">
        <v>12.99</v>
      </c>
      <c r="N11" s="83">
        <f t="shared" si="1"/>
        <v>28.8794</v>
      </c>
      <c r="O11" s="84" t="s">
        <v>193</v>
      </c>
      <c r="P11" s="81" t="str">
        <f ca="1">IF(FILAMENT[[#This Row],[ID]] &lt;&gt; "", IF(A11 = "000", A11 &amp; " | None", A11 &amp; " | " &amp; F11 &amp; " | " &amp; B11 &amp; " | " &amp; E11  &amp; " | " &amp; H11 &amp; "g | " &amp; I11 &amp; "mm"), "")</f>
        <v>009 | Inland | PLA | White | 1000g | 2.85mm</v>
      </c>
    </row>
    <row r="12" spans="1:36" ht="22.5" customHeight="1">
      <c r="A12" s="108" t="str">
        <f ca="1">IF(FILAMENT[[#This Row],[PRODUCT]] &lt;&gt; "", IF(ROW() = 2, "000", TEXT(INDIRECT("A" &amp; ROW() - 1) + 1, "000")), "")</f>
        <v/>
      </c>
      <c r="B12" s="85"/>
      <c r="C12" s="85"/>
      <c r="D12" s="86"/>
      <c r="E12" s="87"/>
      <c r="F12" s="85"/>
      <c r="G12" s="88"/>
      <c r="H12" s="88"/>
      <c r="I12" s="88"/>
      <c r="J12" s="89"/>
      <c r="K12" s="89"/>
      <c r="L12" s="83">
        <f t="shared" si="0"/>
        <v>0</v>
      </c>
      <c r="M12" s="89"/>
      <c r="N12" s="83">
        <f t="shared" si="1"/>
        <v>0</v>
      </c>
      <c r="O12" s="87"/>
      <c r="P12" s="81" t="str">
        <f ca="1">IF(FILAMENT[[#This Row],[ID]] &lt;&gt; "", IF(A12 = "000", A12 &amp; " | None", A12 &amp; " | " &amp; F12 &amp; " | " &amp; B12 &amp; " | " &amp; E12  &amp; " | " &amp; H12 &amp; "g | " &amp; I12 &amp; "mm"), "")</f>
        <v/>
      </c>
    </row>
    <row r="13" spans="1:36" ht="22.5" customHeight="1">
      <c r="A13" s="108" t="str">
        <f ca="1">IF(FILAMENT[[#This Row],[PRODUCT]] &lt;&gt; "", IF(ROW() = 2, "000", TEXT(INDIRECT("A" &amp; ROW() - 1) + 1, "000")), "")</f>
        <v/>
      </c>
      <c r="B13" s="85"/>
      <c r="C13" s="85"/>
      <c r="D13" s="86"/>
      <c r="E13" s="87"/>
      <c r="F13" s="85"/>
      <c r="G13" s="88"/>
      <c r="H13" s="88"/>
      <c r="I13" s="88"/>
      <c r="J13" s="89"/>
      <c r="K13" s="89"/>
      <c r="L13" s="83">
        <f t="shared" si="0"/>
        <v>0</v>
      </c>
      <c r="M13" s="89"/>
      <c r="N13" s="83">
        <f t="shared" si="1"/>
        <v>0</v>
      </c>
      <c r="O13" s="87"/>
      <c r="P13" s="81" t="str">
        <f ca="1">IF(FILAMENT[[#This Row],[ID]] &lt;&gt; "", IF(A13 = "000", A13 &amp; " | None", A13 &amp; " | " &amp; F13 &amp; " | " &amp; B13 &amp; " | " &amp; E13  &amp; " | " &amp; H13 &amp; "g | " &amp; I13 &amp; "mm"), "")</f>
        <v/>
      </c>
    </row>
    <row r="14" spans="1:36" ht="22.5" customHeight="1">
      <c r="A14" s="108" t="str">
        <f ca="1">IF(FILAMENT[[#This Row],[PRODUCT]] &lt;&gt; "", IF(ROW() = 2, "000", TEXT(INDIRECT("A" &amp; ROW() - 1) + 1, "000")), "")</f>
        <v/>
      </c>
      <c r="B14" s="85"/>
      <c r="C14" s="85"/>
      <c r="D14" s="86"/>
      <c r="E14" s="87"/>
      <c r="F14" s="85"/>
      <c r="G14" s="88"/>
      <c r="H14" s="88"/>
      <c r="I14" s="88"/>
      <c r="J14" s="89"/>
      <c r="K14" s="89"/>
      <c r="L14" s="83">
        <f t="shared" si="0"/>
        <v>0</v>
      </c>
      <c r="M14" s="89"/>
      <c r="N14" s="83">
        <f t="shared" si="1"/>
        <v>0</v>
      </c>
      <c r="O14" s="87"/>
      <c r="P14" s="81" t="str">
        <f ca="1">IF(FILAMENT[[#This Row],[ID]] &lt;&gt; "", IF(A14 = "000", A14 &amp; " | None", A14 &amp; " | " &amp; F14 &amp; " | " &amp; B14 &amp; " | " &amp; E14  &amp; " | " &amp; H14 &amp; "g | " &amp; I14 &amp; "mm"), "")</f>
        <v/>
      </c>
    </row>
    <row r="15" spans="1:36" ht="22.5" customHeight="1">
      <c r="A15" s="108" t="str">
        <f ca="1">IF(FILAMENT[[#This Row],[PRODUCT]] &lt;&gt; "", IF(ROW() = 2, "000", TEXT(INDIRECT("A" &amp; ROW() - 1) + 1, "000")), "")</f>
        <v/>
      </c>
      <c r="B15" s="85"/>
      <c r="C15" s="85"/>
      <c r="D15" s="86"/>
      <c r="E15" s="87"/>
      <c r="F15" s="85"/>
      <c r="G15" s="88"/>
      <c r="H15" s="88"/>
      <c r="I15" s="88"/>
      <c r="J15" s="89"/>
      <c r="K15" s="89"/>
      <c r="L15" s="83">
        <f t="shared" si="0"/>
        <v>0</v>
      </c>
      <c r="M15" s="89"/>
      <c r="N15" s="83">
        <f t="shared" si="1"/>
        <v>0</v>
      </c>
      <c r="O15" s="87"/>
      <c r="P15" s="81" t="str">
        <f ca="1">IF(FILAMENT[[#This Row],[ID]] &lt;&gt; "", IF(A15 = "000", A15 &amp; " | None", A15 &amp; " | " &amp; F15 &amp; " | " &amp; B15 &amp; " | " &amp; E15  &amp; " | " &amp; H15 &amp; "g | " &amp; I15 &amp; "mm"), "")</f>
        <v/>
      </c>
    </row>
    <row r="16" spans="1:36" ht="22.5" customHeight="1">
      <c r="A16" s="108" t="str">
        <f ca="1">IF(FILAMENT[[#This Row],[PRODUCT]] &lt;&gt; "", IF(ROW() = 2, "000", TEXT(INDIRECT("A" &amp; ROW() - 1) + 1, "000")), "")</f>
        <v/>
      </c>
      <c r="B16" s="85"/>
      <c r="C16" s="85"/>
      <c r="D16" s="86"/>
      <c r="E16" s="87"/>
      <c r="F16" s="85"/>
      <c r="G16" s="88"/>
      <c r="H16" s="88"/>
      <c r="I16" s="88"/>
      <c r="J16" s="89"/>
      <c r="K16" s="89"/>
      <c r="L16" s="83">
        <f t="shared" si="0"/>
        <v>0</v>
      </c>
      <c r="M16" s="89"/>
      <c r="N16" s="83">
        <f t="shared" si="1"/>
        <v>0</v>
      </c>
      <c r="O16" s="87"/>
      <c r="P16" s="81" t="str">
        <f ca="1">IF(FILAMENT[[#This Row],[ID]] &lt;&gt; "", IF(A16 = "000", A16 &amp; " | None", A16 &amp; " | " &amp; F16 &amp; " | " &amp; B16 &amp; " | " &amp; E16  &amp; " | " &amp; H16 &amp; "g | " &amp; I16 &amp; "mm"), "")</f>
        <v/>
      </c>
    </row>
    <row r="17" spans="1:16" ht="22.5" customHeight="1">
      <c r="A17" s="108" t="str">
        <f ca="1">IF(FILAMENT[[#This Row],[PRODUCT]] &lt;&gt; "", IF(ROW() = 2, "000", TEXT(INDIRECT("A" &amp; ROW() - 1) + 1, "000")), "")</f>
        <v/>
      </c>
      <c r="B17" s="85"/>
      <c r="C17" s="85"/>
      <c r="D17" s="86"/>
      <c r="E17" s="87"/>
      <c r="F17" s="85"/>
      <c r="G17" s="88"/>
      <c r="H17" s="88"/>
      <c r="I17" s="88"/>
      <c r="J17" s="89"/>
      <c r="K17" s="89"/>
      <c r="L17" s="83">
        <f t="shared" si="0"/>
        <v>0</v>
      </c>
      <c r="M17" s="89"/>
      <c r="N17" s="83">
        <f t="shared" si="1"/>
        <v>0</v>
      </c>
      <c r="O17" s="87"/>
      <c r="P17" s="81" t="str">
        <f ca="1">IF(FILAMENT[[#This Row],[ID]] &lt;&gt; "", IF(A17 = "000", A17 &amp; " | None", A17 &amp; " | " &amp; F17 &amp; " | " &amp; B17 &amp; " | " &amp; E17  &amp; " | " &amp; H17 &amp; "g | " &amp; I17 &amp; "mm"), "")</f>
        <v/>
      </c>
    </row>
    <row r="18" spans="1:16" ht="22.5" customHeight="1">
      <c r="A18" s="108" t="str">
        <f ca="1">IF(FILAMENT[[#This Row],[PRODUCT]] &lt;&gt; "", IF(ROW() = 2, "000", TEXT(INDIRECT("A" &amp; ROW() - 1) + 1, "000")), "")</f>
        <v/>
      </c>
      <c r="B18" s="85"/>
      <c r="C18" s="85"/>
      <c r="D18" s="86"/>
      <c r="E18" s="87"/>
      <c r="F18" s="85"/>
      <c r="G18" s="88"/>
      <c r="H18" s="88"/>
      <c r="I18" s="88"/>
      <c r="J18" s="89"/>
      <c r="K18" s="89"/>
      <c r="L18" s="83">
        <f t="shared" si="0"/>
        <v>0</v>
      </c>
      <c r="M18" s="89"/>
      <c r="N18" s="83">
        <f t="shared" si="1"/>
        <v>0</v>
      </c>
      <c r="O18" s="87"/>
      <c r="P18" s="81" t="str">
        <f ca="1">IF(FILAMENT[[#This Row],[ID]] &lt;&gt; "", IF(A18 = "000", A18 &amp; " | None", A18 &amp; " | " &amp; F18 &amp; " | " &amp; B18 &amp; " | " &amp; E18  &amp; " | " &amp; H18 &amp; "g | " &amp; I18 &amp; "mm"), "")</f>
        <v/>
      </c>
    </row>
    <row r="19" spans="1:16" ht="22.5" customHeight="1">
      <c r="A19" s="108" t="str">
        <f ca="1">IF(FILAMENT[[#This Row],[PRODUCT]] &lt;&gt; "", IF(ROW() = 2, "000", TEXT(INDIRECT("A" &amp; ROW() - 1) + 1, "000")), "")</f>
        <v/>
      </c>
      <c r="B19" s="85"/>
      <c r="C19" s="85"/>
      <c r="D19" s="86"/>
      <c r="E19" s="87"/>
      <c r="F19" s="85"/>
      <c r="G19" s="88"/>
      <c r="H19" s="88"/>
      <c r="I19" s="88"/>
      <c r="J19" s="89"/>
      <c r="K19" s="89"/>
      <c r="L19" s="83">
        <f t="shared" si="0"/>
        <v>0</v>
      </c>
      <c r="M19" s="89"/>
      <c r="N19" s="83">
        <f t="shared" si="1"/>
        <v>0</v>
      </c>
      <c r="O19" s="87"/>
      <c r="P19" s="81" t="str">
        <f ca="1">IF(FILAMENT[[#This Row],[ID]] &lt;&gt; "", IF(A19 = "000", A19 &amp; " | None", A19 &amp; " | " &amp; F19 &amp; " | " &amp; B19 &amp; " | " &amp; E19  &amp; " | " &amp; H19 &amp; "g | " &amp; I19 &amp; "mm"), "")</f>
        <v/>
      </c>
    </row>
    <row r="20" spans="1:16" ht="22.5" customHeight="1">
      <c r="A20" s="108" t="str">
        <f ca="1">IF(FILAMENT[[#This Row],[PRODUCT]] &lt;&gt; "", IF(ROW() = 2, "000", TEXT(INDIRECT("A" &amp; ROW() - 1) + 1, "000")), "")</f>
        <v/>
      </c>
      <c r="B20" s="85"/>
      <c r="C20" s="85"/>
      <c r="D20" s="86"/>
      <c r="E20" s="87"/>
      <c r="F20" s="85"/>
      <c r="G20" s="88"/>
      <c r="H20" s="88"/>
      <c r="I20" s="88"/>
      <c r="J20" s="89"/>
      <c r="K20" s="89"/>
      <c r="L20" s="83">
        <f t="shared" si="0"/>
        <v>0</v>
      </c>
      <c r="M20" s="89"/>
      <c r="N20" s="83">
        <f t="shared" si="1"/>
        <v>0</v>
      </c>
      <c r="O20" s="87"/>
      <c r="P20" s="81" t="str">
        <f ca="1">IF(FILAMENT[[#This Row],[ID]] &lt;&gt; "", IF(A20 = "000", A20 &amp; " | None", A20 &amp; " | " &amp; F20 &amp; " | " &amp; B20 &amp; " | " &amp; E20  &amp; " | " &amp; H20 &amp; "g | " &amp; I20 &amp; "mm"), "")</f>
        <v/>
      </c>
    </row>
    <row r="21" spans="1:16" ht="22.5" customHeight="1">
      <c r="A21" s="108" t="str">
        <f ca="1">IF(FILAMENT[[#This Row],[PRODUCT]] &lt;&gt; "", IF(ROW() = 2, "000", TEXT(INDIRECT("A" &amp; ROW() - 1) + 1, "000")), "")</f>
        <v/>
      </c>
      <c r="B21" s="85"/>
      <c r="C21" s="85"/>
      <c r="D21" s="86"/>
      <c r="E21" s="87"/>
      <c r="F21" s="85"/>
      <c r="G21" s="88"/>
      <c r="H21" s="88"/>
      <c r="I21" s="88"/>
      <c r="J21" s="89"/>
      <c r="K21" s="89"/>
      <c r="L21" s="83">
        <f t="shared" si="0"/>
        <v>0</v>
      </c>
      <c r="M21" s="89"/>
      <c r="N21" s="83">
        <f t="shared" si="1"/>
        <v>0</v>
      </c>
      <c r="O21" s="87"/>
      <c r="P21" s="81" t="str">
        <f ca="1">IF(FILAMENT[[#This Row],[ID]] &lt;&gt; "", IF(A21 = "000", A21 &amp; " | None", A21 &amp; " | " &amp; F21 &amp; " | " &amp; B21 &amp; " | " &amp; E21  &amp; " | " &amp; H21 &amp; "g | " &amp; I21 &amp; "mm"), "")</f>
        <v/>
      </c>
    </row>
    <row r="22" spans="1:16" ht="22.5" customHeight="1">
      <c r="A22" s="108" t="str">
        <f ca="1">IF(FILAMENT[[#This Row],[PRODUCT]] &lt;&gt; "", IF(ROW() = 2, "000", TEXT(INDIRECT("A" &amp; ROW() - 1) + 1, "000")), "")</f>
        <v/>
      </c>
      <c r="B22" s="85"/>
      <c r="C22" s="85"/>
      <c r="D22" s="86"/>
      <c r="E22" s="87"/>
      <c r="F22" s="85"/>
      <c r="G22" s="88"/>
      <c r="H22" s="88"/>
      <c r="I22" s="88"/>
      <c r="J22" s="89"/>
      <c r="K22" s="89"/>
      <c r="L22" s="83">
        <f t="shared" si="0"/>
        <v>0</v>
      </c>
      <c r="M22" s="89"/>
      <c r="N22" s="83">
        <f t="shared" si="1"/>
        <v>0</v>
      </c>
      <c r="O22" s="87"/>
      <c r="P22" s="81" t="str">
        <f ca="1">IF(FILAMENT[[#This Row],[ID]] &lt;&gt; "", IF(A22 = "000", A22 &amp; " | None", A22 &amp; " | " &amp; F22 &amp; " | " &amp; B22 &amp; " | " &amp; E22  &amp; " | " &amp; H22 &amp; "g | " &amp; I22 &amp; "mm"), "")</f>
        <v/>
      </c>
    </row>
    <row r="23" spans="1:16" ht="22.5" customHeight="1">
      <c r="A23" s="108" t="str">
        <f ca="1">IF(FILAMENT[[#This Row],[PRODUCT]] &lt;&gt; "", IF(ROW() = 2, "000", TEXT(INDIRECT("A" &amp; ROW() - 1) + 1, "000")), "")</f>
        <v/>
      </c>
      <c r="B23" s="85"/>
      <c r="C23" s="85"/>
      <c r="D23" s="86"/>
      <c r="E23" s="87"/>
      <c r="F23" s="85"/>
      <c r="G23" s="88"/>
      <c r="H23" s="88"/>
      <c r="I23" s="88"/>
      <c r="J23" s="89"/>
      <c r="K23" s="89"/>
      <c r="L23" s="83">
        <f t="shared" si="0"/>
        <v>0</v>
      </c>
      <c r="M23" s="89"/>
      <c r="N23" s="83">
        <f t="shared" si="1"/>
        <v>0</v>
      </c>
      <c r="O23" s="87"/>
      <c r="P23" s="81" t="str">
        <f ca="1">IF(FILAMENT[[#This Row],[ID]] &lt;&gt; "", IF(A23 = "000", A23 &amp; " | None", A23 &amp; " | " &amp; F23 &amp; " | " &amp; B23 &amp; " | " &amp; E23  &amp; " | " &amp; H23 &amp; "g | " &amp; I23 &amp; "mm"), "")</f>
        <v/>
      </c>
    </row>
    <row r="24" spans="1:16" ht="22.5" customHeight="1">
      <c r="A24" s="108" t="str">
        <f ca="1">IF(FILAMENT[[#This Row],[PRODUCT]] &lt;&gt; "", IF(ROW() = 2, "000", TEXT(INDIRECT("A" &amp; ROW() - 1) + 1, "000")), "")</f>
        <v/>
      </c>
      <c r="B24" s="85"/>
      <c r="C24" s="85"/>
      <c r="D24" s="86"/>
      <c r="E24" s="87"/>
      <c r="F24" s="85"/>
      <c r="G24" s="88"/>
      <c r="H24" s="88"/>
      <c r="I24" s="88"/>
      <c r="J24" s="89"/>
      <c r="K24" s="89"/>
      <c r="L24" s="83">
        <f t="shared" si="0"/>
        <v>0</v>
      </c>
      <c r="M24" s="89"/>
      <c r="N24" s="83">
        <f t="shared" si="1"/>
        <v>0</v>
      </c>
      <c r="O24" s="87"/>
      <c r="P24" s="81" t="str">
        <f ca="1">IF(FILAMENT[[#This Row],[ID]] &lt;&gt; "", IF(A24 = "000", A24 &amp; " | None", A24 &amp; " | " &amp; F24 &amp; " | " &amp; B24 &amp; " | " &amp; E24  &amp; " | " &amp; H24 &amp; "g | " &amp; I24 &amp; "mm"), "")</f>
        <v/>
      </c>
    </row>
    <row r="25" spans="1:16" ht="22.5" customHeight="1">
      <c r="A25" s="108" t="str">
        <f ca="1">IF(FILAMENT[[#This Row],[PRODUCT]] &lt;&gt; "", IF(ROW() = 2, "000", TEXT(INDIRECT("A" &amp; ROW() - 1) + 1, "000")), "")</f>
        <v/>
      </c>
      <c r="B25" s="85"/>
      <c r="C25" s="85"/>
      <c r="D25" s="86"/>
      <c r="E25" s="87"/>
      <c r="F25" s="85"/>
      <c r="G25" s="88"/>
      <c r="H25" s="88"/>
      <c r="I25" s="88"/>
      <c r="J25" s="89"/>
      <c r="K25" s="89"/>
      <c r="L25" s="83">
        <f t="shared" si="0"/>
        <v>0</v>
      </c>
      <c r="M25" s="89"/>
      <c r="N25" s="83">
        <f t="shared" si="1"/>
        <v>0</v>
      </c>
      <c r="O25" s="87"/>
      <c r="P25" s="81" t="str">
        <f ca="1">IF(FILAMENT[[#This Row],[ID]] &lt;&gt; "", IF(A25 = "000", A25 &amp; " | None", A25 &amp; " | " &amp; F25 &amp; " | " &amp; B25 &amp; " | " &amp; E25  &amp; " | " &amp; H25 &amp; "g | " &amp; I25 &amp; "mm"), "")</f>
        <v/>
      </c>
    </row>
    <row r="26" spans="1:16" ht="22.5" customHeight="1">
      <c r="A26" s="108" t="str">
        <f ca="1">IF(FILAMENT[[#This Row],[PRODUCT]] &lt;&gt; "", IF(ROW() = 2, "000", TEXT(INDIRECT("A" &amp; ROW() - 1) + 1, "000")), "")</f>
        <v/>
      </c>
      <c r="B26" s="85"/>
      <c r="C26" s="85"/>
      <c r="D26" s="86"/>
      <c r="E26" s="87"/>
      <c r="F26" s="85"/>
      <c r="G26" s="88"/>
      <c r="H26" s="88"/>
      <c r="I26" s="88"/>
      <c r="J26" s="89"/>
      <c r="K26" s="89"/>
      <c r="L26" s="83">
        <f t="shared" si="0"/>
        <v>0</v>
      </c>
      <c r="M26" s="89"/>
      <c r="N26" s="83">
        <f t="shared" si="1"/>
        <v>0</v>
      </c>
      <c r="O26" s="87"/>
      <c r="P26" s="81" t="str">
        <f ca="1">IF(FILAMENT[[#This Row],[ID]] &lt;&gt; "", IF(A26 = "000", A26 &amp; " | None", A26 &amp; " | " &amp; F26 &amp; " | " &amp; B26 &amp; " | " &amp; E26  &amp; " | " &amp; H26 &amp; "g | " &amp; I26 &amp; "mm"), "")</f>
        <v/>
      </c>
    </row>
    <row r="27" spans="1:16" ht="22.5" customHeight="1">
      <c r="A27" s="108" t="str">
        <f ca="1">IF(FILAMENT[[#This Row],[PRODUCT]] &lt;&gt; "", IF(ROW() = 2, "000", TEXT(INDIRECT("A" &amp; ROW() - 1) + 1, "000")), "")</f>
        <v/>
      </c>
      <c r="B27" s="85"/>
      <c r="C27" s="85"/>
      <c r="D27" s="86"/>
      <c r="E27" s="87"/>
      <c r="F27" s="85"/>
      <c r="G27" s="88"/>
      <c r="H27" s="88"/>
      <c r="I27" s="88"/>
      <c r="J27" s="89"/>
      <c r="K27" s="89"/>
      <c r="L27" s="83">
        <f t="shared" si="0"/>
        <v>0</v>
      </c>
      <c r="M27" s="89"/>
      <c r="N27" s="83">
        <f t="shared" si="1"/>
        <v>0</v>
      </c>
      <c r="O27" s="87"/>
      <c r="P27" s="81" t="str">
        <f ca="1">IF(FILAMENT[[#This Row],[ID]] &lt;&gt; "", IF(A27 = "000", A27 &amp; " | None", A27 &amp; " | " &amp; F27 &amp; " | " &amp; B27 &amp; " | " &amp; E27  &amp; " | " &amp; H27 &amp; "g | " &amp; I27 &amp; "mm"), "")</f>
        <v/>
      </c>
    </row>
    <row r="28" spans="1:16" ht="22.5" customHeight="1">
      <c r="A28" s="108" t="str">
        <f ca="1">IF(FILAMENT[[#This Row],[PRODUCT]] &lt;&gt; "", IF(ROW() = 2, "000", TEXT(INDIRECT("A" &amp; ROW() - 1) + 1, "000")), "")</f>
        <v/>
      </c>
      <c r="B28" s="85"/>
      <c r="C28" s="85"/>
      <c r="D28" s="86"/>
      <c r="E28" s="87"/>
      <c r="F28" s="85"/>
      <c r="G28" s="88"/>
      <c r="H28" s="88"/>
      <c r="I28" s="88"/>
      <c r="J28" s="89"/>
      <c r="K28" s="89"/>
      <c r="L28" s="83">
        <f t="shared" si="0"/>
        <v>0</v>
      </c>
      <c r="M28" s="89"/>
      <c r="N28" s="83">
        <f t="shared" si="1"/>
        <v>0</v>
      </c>
      <c r="O28" s="87"/>
      <c r="P28" s="81" t="str">
        <f ca="1">IF(FILAMENT[[#This Row],[ID]] &lt;&gt; "", IF(A28 = "000", A28 &amp; " | None", A28 &amp; " | " &amp; F28 &amp; " | " &amp; B28 &amp; " | " &amp; E28  &amp; " | " &amp; H28 &amp; "g | " &amp; I28 &amp; "mm"), "")</f>
        <v/>
      </c>
    </row>
    <row r="29" spans="1:16" ht="22.5" customHeight="1">
      <c r="A29" s="108" t="str">
        <f ca="1">IF(FILAMENT[[#This Row],[PRODUCT]] &lt;&gt; "", IF(ROW() = 2, "000", TEXT(INDIRECT("A" &amp; ROW() - 1) + 1, "000")), "")</f>
        <v/>
      </c>
      <c r="B29" s="85"/>
      <c r="C29" s="85"/>
      <c r="D29" s="86"/>
      <c r="E29" s="87"/>
      <c r="F29" s="85"/>
      <c r="G29" s="88"/>
      <c r="H29" s="88"/>
      <c r="I29" s="88"/>
      <c r="J29" s="89"/>
      <c r="K29" s="89"/>
      <c r="L29" s="83">
        <f t="shared" si="0"/>
        <v>0</v>
      </c>
      <c r="M29" s="89"/>
      <c r="N29" s="83">
        <f t="shared" si="1"/>
        <v>0</v>
      </c>
      <c r="O29" s="87"/>
      <c r="P29" s="81" t="str">
        <f ca="1">IF(FILAMENT[[#This Row],[ID]] &lt;&gt; "", IF(A29 = "000", A29 &amp; " | None", A29 &amp; " | " &amp; F29 &amp; " | " &amp; B29 &amp; " | " &amp; E29  &amp; " | " &amp; H29 &amp; "g | " &amp; I29 &amp; "mm"), "")</f>
        <v/>
      </c>
    </row>
    <row r="30" spans="1:16" ht="22.5" customHeight="1">
      <c r="A30" s="108" t="str">
        <f ca="1">IF(FILAMENT[[#This Row],[PRODUCT]] &lt;&gt; "", IF(ROW() = 2, "000", TEXT(INDIRECT("A" &amp; ROW() - 1) + 1, "000")), "")</f>
        <v/>
      </c>
      <c r="B30" s="85"/>
      <c r="C30" s="85"/>
      <c r="D30" s="86"/>
      <c r="E30" s="87"/>
      <c r="F30" s="85"/>
      <c r="G30" s="88"/>
      <c r="H30" s="88"/>
      <c r="I30" s="88"/>
      <c r="J30" s="89"/>
      <c r="K30" s="89"/>
      <c r="L30" s="83">
        <f t="shared" si="0"/>
        <v>0</v>
      </c>
      <c r="M30" s="89"/>
      <c r="N30" s="83">
        <f t="shared" si="1"/>
        <v>0</v>
      </c>
      <c r="O30" s="87"/>
      <c r="P30" s="81" t="str">
        <f ca="1">IF(FILAMENT[[#This Row],[ID]] &lt;&gt; "", IF(A30 = "000", A30 &amp; " | None", A30 &amp; " | " &amp; F30 &amp; " | " &amp; B30 &amp; " | " &amp; E30  &amp; " | " &amp; H30 &amp; "g | " &amp; I30 &amp; "mm"), "")</f>
        <v/>
      </c>
    </row>
    <row r="31" spans="1:16" ht="22.5" customHeight="1">
      <c r="A31" s="108" t="str">
        <f ca="1">IF(FILAMENT[[#This Row],[PRODUCT]] &lt;&gt; "", IF(ROW() = 2, "000", TEXT(INDIRECT("A" &amp; ROW() - 1) + 1, "000")), "")</f>
        <v/>
      </c>
      <c r="B31" s="85"/>
      <c r="C31" s="85"/>
      <c r="D31" s="86"/>
      <c r="E31" s="87"/>
      <c r="F31" s="85"/>
      <c r="G31" s="88"/>
      <c r="H31" s="88"/>
      <c r="I31" s="88"/>
      <c r="J31" s="89"/>
      <c r="K31" s="89"/>
      <c r="L31" s="83">
        <f t="shared" si="0"/>
        <v>0</v>
      </c>
      <c r="M31" s="89"/>
      <c r="N31" s="83">
        <f t="shared" si="1"/>
        <v>0</v>
      </c>
      <c r="O31" s="87"/>
      <c r="P31" s="81" t="str">
        <f ca="1">IF(FILAMENT[[#This Row],[ID]] &lt;&gt; "", IF(A31 = "000", A31 &amp; " | None", A31 &amp; " | " &amp; F31 &amp; " | " &amp; B31 &amp; " | " &amp; E31  &amp; " | " &amp; H31 &amp; "g | " &amp; I31 &amp; "mm"), "")</f>
        <v/>
      </c>
    </row>
    <row r="32" spans="1:16" ht="22.5" customHeight="1">
      <c r="A32" s="108" t="str">
        <f ca="1">IF(FILAMENT[[#This Row],[PRODUCT]] &lt;&gt; "", IF(ROW() = 2, "000", TEXT(INDIRECT("A" &amp; ROW() - 1) + 1, "000")), "")</f>
        <v/>
      </c>
      <c r="B32" s="85"/>
      <c r="C32" s="85"/>
      <c r="D32" s="86"/>
      <c r="E32" s="87"/>
      <c r="F32" s="85"/>
      <c r="G32" s="88"/>
      <c r="H32" s="88"/>
      <c r="I32" s="88"/>
      <c r="J32" s="89"/>
      <c r="K32" s="89"/>
      <c r="L32" s="83">
        <f t="shared" si="0"/>
        <v>0</v>
      </c>
      <c r="M32" s="89"/>
      <c r="N32" s="83">
        <f t="shared" si="1"/>
        <v>0</v>
      </c>
      <c r="O32" s="87"/>
      <c r="P32" s="81" t="str">
        <f ca="1">IF(FILAMENT[[#This Row],[ID]] &lt;&gt; "", IF(A32 = "000", A32 &amp; " | None", A32 &amp; " | " &amp; F32 &amp; " | " &amp; B32 &amp; " | " &amp; E32  &amp; " | " &amp; H32 &amp; "g | " &amp; I32 &amp; "mm"), "")</f>
        <v/>
      </c>
    </row>
    <row r="33" spans="1:16" ht="22.5" customHeight="1">
      <c r="A33" s="108" t="str">
        <f ca="1">IF(FILAMENT[[#This Row],[PRODUCT]] &lt;&gt; "", IF(ROW() = 2, "000", TEXT(INDIRECT("A" &amp; ROW() - 1) + 1, "000")), "")</f>
        <v/>
      </c>
      <c r="B33" s="85"/>
      <c r="C33" s="85"/>
      <c r="D33" s="86"/>
      <c r="E33" s="87"/>
      <c r="F33" s="85"/>
      <c r="G33" s="88"/>
      <c r="H33" s="88"/>
      <c r="I33" s="88"/>
      <c r="J33" s="89"/>
      <c r="K33" s="89"/>
      <c r="L33" s="83">
        <f t="shared" si="0"/>
        <v>0</v>
      </c>
      <c r="M33" s="89"/>
      <c r="N33" s="83">
        <f t="shared" si="1"/>
        <v>0</v>
      </c>
      <c r="O33" s="87"/>
      <c r="P33" s="81" t="str">
        <f ca="1">IF(FILAMENT[[#This Row],[ID]] &lt;&gt; "", IF(A33 = "000", A33 &amp; " | None", A33 &amp; " | " &amp; F33 &amp; " | " &amp; B33 &amp; " | " &amp; E33  &amp; " | " &amp; H33 &amp; "g | " &amp; I33 &amp; "mm"), "")</f>
        <v/>
      </c>
    </row>
    <row r="34" spans="1:16" ht="22.5" customHeight="1">
      <c r="A34" s="108" t="str">
        <f ca="1">IF(FILAMENT[[#This Row],[PRODUCT]] &lt;&gt; "", IF(ROW() = 2, "000", TEXT(INDIRECT("A" &amp; ROW() - 1) + 1, "000")), "")</f>
        <v/>
      </c>
      <c r="B34" s="85"/>
      <c r="C34" s="85"/>
      <c r="D34" s="86"/>
      <c r="E34" s="87"/>
      <c r="F34" s="85"/>
      <c r="G34" s="88"/>
      <c r="H34" s="88"/>
      <c r="I34" s="88"/>
      <c r="J34" s="89"/>
      <c r="K34" s="89"/>
      <c r="L34" s="83">
        <f t="shared" si="0"/>
        <v>0</v>
      </c>
      <c r="M34" s="89"/>
      <c r="N34" s="83">
        <f t="shared" si="1"/>
        <v>0</v>
      </c>
      <c r="O34" s="87"/>
      <c r="P34" s="81" t="str">
        <f ca="1">IF(FILAMENT[[#This Row],[ID]] &lt;&gt; "", IF(A34 = "000", A34 &amp; " | None", A34 &amp; " | " &amp; F34 &amp; " | " &amp; B34 &amp; " | " &amp; E34  &amp; " | " &amp; H34 &amp; "g | " &amp; I34 &amp; "mm"), "")</f>
        <v/>
      </c>
    </row>
    <row r="35" spans="1:16" ht="22.5" customHeight="1">
      <c r="A35" s="108" t="str">
        <f ca="1">IF(FILAMENT[[#This Row],[PRODUCT]] &lt;&gt; "", IF(ROW() = 2, "000", TEXT(INDIRECT("A" &amp; ROW() - 1) + 1, "000")), "")</f>
        <v/>
      </c>
      <c r="B35" s="85"/>
      <c r="C35" s="85"/>
      <c r="D35" s="86"/>
      <c r="E35" s="87"/>
      <c r="F35" s="85"/>
      <c r="G35" s="88"/>
      <c r="H35" s="88"/>
      <c r="I35" s="88"/>
      <c r="J35" s="89"/>
      <c r="K35" s="89"/>
      <c r="L35" s="83">
        <f t="shared" si="0"/>
        <v>0</v>
      </c>
      <c r="M35" s="89"/>
      <c r="N35" s="83">
        <f t="shared" si="1"/>
        <v>0</v>
      </c>
      <c r="O35" s="87"/>
      <c r="P35" s="81" t="str">
        <f ca="1">IF(FILAMENT[[#This Row],[ID]] &lt;&gt; "", IF(A35 = "000", A35 &amp; " | None", A35 &amp; " | " &amp; F35 &amp; " | " &amp; B35 &amp; " | " &amp; E35  &amp; " | " &amp; H35 &amp; "g | " &amp; I35 &amp; "mm"), "")</f>
        <v/>
      </c>
    </row>
    <row r="36" spans="1:16" ht="22.5" customHeight="1">
      <c r="A36" s="108" t="str">
        <f ca="1">IF(FILAMENT[[#This Row],[PRODUCT]] &lt;&gt; "", IF(ROW() = 2, "000", TEXT(INDIRECT("A" &amp; ROW() - 1) + 1, "000")), "")</f>
        <v/>
      </c>
      <c r="B36" s="85"/>
      <c r="C36" s="85"/>
      <c r="D36" s="86"/>
      <c r="E36" s="87"/>
      <c r="F36" s="85"/>
      <c r="G36" s="88"/>
      <c r="H36" s="88"/>
      <c r="I36" s="88"/>
      <c r="J36" s="89"/>
      <c r="K36" s="89"/>
      <c r="L36" s="83">
        <f t="shared" si="0"/>
        <v>0</v>
      </c>
      <c r="M36" s="89"/>
      <c r="N36" s="83">
        <f t="shared" si="1"/>
        <v>0</v>
      </c>
      <c r="O36" s="87"/>
      <c r="P36" s="81" t="str">
        <f ca="1">IF(FILAMENT[[#This Row],[ID]] &lt;&gt; "", IF(A36 = "000", A36 &amp; " | None", A36 &amp; " | " &amp; F36 &amp; " | " &amp; B36 &amp; " | " &amp; E36  &amp; " | " &amp; H36 &amp; "g | " &amp; I36 &amp; "mm"), "")</f>
        <v/>
      </c>
    </row>
    <row r="37" spans="1:16" ht="22.5" customHeight="1">
      <c r="A37" s="108" t="str">
        <f ca="1">IF(FILAMENT[[#This Row],[PRODUCT]] &lt;&gt; "", IF(ROW() = 2, "000", TEXT(INDIRECT("A" &amp; ROW() - 1) + 1, "000")), "")</f>
        <v/>
      </c>
      <c r="B37" s="85"/>
      <c r="C37" s="85"/>
      <c r="D37" s="86"/>
      <c r="E37" s="87"/>
      <c r="F37" s="85"/>
      <c r="G37" s="88"/>
      <c r="H37" s="88"/>
      <c r="I37" s="88"/>
      <c r="J37" s="89"/>
      <c r="K37" s="89"/>
      <c r="L37" s="83">
        <f t="shared" si="0"/>
        <v>0</v>
      </c>
      <c r="M37" s="89"/>
      <c r="N37" s="83">
        <f t="shared" si="1"/>
        <v>0</v>
      </c>
      <c r="O37" s="87"/>
      <c r="P37" s="81" t="str">
        <f ca="1">IF(FILAMENT[[#This Row],[ID]] &lt;&gt; "", IF(A37 = "000", A37 &amp; " | None", A37 &amp; " | " &amp; F37 &amp; " | " &amp; B37 &amp; " | " &amp; E37  &amp; " | " &amp; H37 &amp; "g | " &amp; I37 &amp; "mm"), "")</f>
        <v/>
      </c>
    </row>
    <row r="38" spans="1:16" ht="22.5" customHeight="1">
      <c r="A38" s="108" t="str">
        <f ca="1">IF(FILAMENT[[#This Row],[PRODUCT]] &lt;&gt; "", IF(ROW() = 2, "000", TEXT(INDIRECT("A" &amp; ROW() - 1) + 1, "000")), "")</f>
        <v/>
      </c>
      <c r="B38" s="85"/>
      <c r="C38" s="85"/>
      <c r="D38" s="86"/>
      <c r="E38" s="87"/>
      <c r="F38" s="85"/>
      <c r="G38" s="88"/>
      <c r="H38" s="88"/>
      <c r="I38" s="88"/>
      <c r="J38" s="89"/>
      <c r="K38" s="89"/>
      <c r="L38" s="83">
        <f t="shared" si="0"/>
        <v>0</v>
      </c>
      <c r="M38" s="89"/>
      <c r="N38" s="83">
        <f t="shared" si="1"/>
        <v>0</v>
      </c>
      <c r="O38" s="87"/>
      <c r="P38" s="81" t="str">
        <f ca="1">IF(FILAMENT[[#This Row],[ID]] &lt;&gt; "", IF(A38 = "000", A38 &amp; " | None", A38 &amp; " | " &amp; F38 &amp; " | " &amp; B38 &amp; " | " &amp; E38  &amp; " | " &amp; H38 &amp; "g | " &amp; I38 &amp; "mm"), "")</f>
        <v/>
      </c>
    </row>
    <row r="39" spans="1:16" ht="22.5" customHeight="1">
      <c r="A39" s="108" t="str">
        <f ca="1">IF(FILAMENT[[#This Row],[PRODUCT]] &lt;&gt; "", IF(ROW() = 2, "000", TEXT(INDIRECT("A" &amp; ROW() - 1) + 1, "000")), "")</f>
        <v/>
      </c>
      <c r="B39" s="85"/>
      <c r="C39" s="85"/>
      <c r="D39" s="86"/>
      <c r="E39" s="87"/>
      <c r="F39" s="85"/>
      <c r="G39" s="88"/>
      <c r="H39" s="88"/>
      <c r="I39" s="88"/>
      <c r="J39" s="89"/>
      <c r="K39" s="89"/>
      <c r="L39" s="83">
        <f t="shared" si="0"/>
        <v>0</v>
      </c>
      <c r="M39" s="89"/>
      <c r="N39" s="83">
        <f t="shared" si="1"/>
        <v>0</v>
      </c>
      <c r="O39" s="87"/>
      <c r="P39" s="81" t="str">
        <f ca="1">IF(FILAMENT[[#This Row],[ID]] &lt;&gt; "", IF(A39 = "000", A39 &amp; " | None", A39 &amp; " | " &amp; F39 &amp; " | " &amp; B39 &amp; " | " &amp; E39  &amp; " | " &amp; H39 &amp; "g | " &amp; I39 &amp; "mm"), "")</f>
        <v/>
      </c>
    </row>
    <row r="40" spans="1:16" ht="22.5" customHeight="1">
      <c r="A40" s="108" t="str">
        <f ca="1">IF(FILAMENT[[#This Row],[PRODUCT]] &lt;&gt; "", IF(ROW() = 2, "000", TEXT(INDIRECT("A" &amp; ROW() - 1) + 1, "000")), "")</f>
        <v/>
      </c>
      <c r="B40" s="85"/>
      <c r="C40" s="85"/>
      <c r="D40" s="86"/>
      <c r="E40" s="87"/>
      <c r="F40" s="85"/>
      <c r="G40" s="88"/>
      <c r="H40" s="88"/>
      <c r="I40" s="88"/>
      <c r="J40" s="89"/>
      <c r="K40" s="89"/>
      <c r="L40" s="83">
        <f t="shared" si="0"/>
        <v>0</v>
      </c>
      <c r="M40" s="89"/>
      <c r="N40" s="83">
        <f t="shared" si="1"/>
        <v>0</v>
      </c>
      <c r="O40" s="87"/>
      <c r="P40" s="81" t="str">
        <f ca="1">IF(FILAMENT[[#This Row],[ID]] &lt;&gt; "", IF(A40 = "000", A40 &amp; " | None", A40 &amp; " | " &amp; F40 &amp; " | " &amp; B40 &amp; " | " &amp; E40  &amp; " | " &amp; H40 &amp; "g | " &amp; I40 &amp; "mm"), "")</f>
        <v/>
      </c>
    </row>
    <row r="41" spans="1:16" ht="22.5" customHeight="1">
      <c r="A41" s="108" t="str">
        <f ca="1">IF(FILAMENT[[#This Row],[PRODUCT]] &lt;&gt; "", IF(ROW() = 2, "000", TEXT(INDIRECT("A" &amp; ROW() - 1) + 1, "000")), "")</f>
        <v/>
      </c>
      <c r="B41" s="85"/>
      <c r="C41" s="85"/>
      <c r="D41" s="86"/>
      <c r="E41" s="87"/>
      <c r="F41" s="85"/>
      <c r="G41" s="88"/>
      <c r="H41" s="88"/>
      <c r="I41" s="88"/>
      <c r="J41" s="89"/>
      <c r="K41" s="89"/>
      <c r="L41" s="83">
        <f t="shared" si="0"/>
        <v>0</v>
      </c>
      <c r="M41" s="89"/>
      <c r="N41" s="83">
        <f t="shared" si="1"/>
        <v>0</v>
      </c>
      <c r="O41" s="87"/>
      <c r="P41" s="81" t="str">
        <f ca="1">IF(FILAMENT[[#This Row],[ID]] &lt;&gt; "", IF(A41 = "000", A41 &amp; " | None", A41 &amp; " | " &amp; F41 &amp; " | " &amp; B41 &amp; " | " &amp; E41  &amp; " | " &amp; H41 &amp; "g | " &amp; I41 &amp; "mm"), "")</f>
        <v/>
      </c>
    </row>
    <row r="42" spans="1:16" ht="22.5" customHeight="1">
      <c r="A42" s="108" t="str">
        <f ca="1">IF(FILAMENT[[#This Row],[PRODUCT]] &lt;&gt; "", IF(ROW() = 2, "000", TEXT(INDIRECT("A" &amp; ROW() - 1) + 1, "000")), "")</f>
        <v/>
      </c>
      <c r="B42" s="85"/>
      <c r="C42" s="85"/>
      <c r="D42" s="86"/>
      <c r="E42" s="87"/>
      <c r="F42" s="85"/>
      <c r="G42" s="88"/>
      <c r="H42" s="88"/>
      <c r="I42" s="88"/>
      <c r="J42" s="89"/>
      <c r="K42" s="89"/>
      <c r="L42" s="83">
        <f t="shared" si="0"/>
        <v>0</v>
      </c>
      <c r="M42" s="89"/>
      <c r="N42" s="83">
        <f t="shared" si="1"/>
        <v>0</v>
      </c>
      <c r="O42" s="87"/>
      <c r="P42" s="81" t="str">
        <f ca="1">IF(FILAMENT[[#This Row],[ID]] &lt;&gt; "", IF(A42 = "000", A42 &amp; " | None", A42 &amp; " | " &amp; F42 &amp; " | " &amp; B42 &amp; " | " &amp; E42  &amp; " | " &amp; H42 &amp; "g | " &amp; I42 &amp; "mm"), "")</f>
        <v/>
      </c>
    </row>
    <row r="43" spans="1:16" ht="22.5" customHeight="1">
      <c r="A43" s="108" t="str">
        <f ca="1">IF(FILAMENT[[#This Row],[PRODUCT]] &lt;&gt; "", IF(ROW() = 2, "000", TEXT(INDIRECT("A" &amp; ROW() - 1) + 1, "000")), "")</f>
        <v/>
      </c>
      <c r="B43" s="85"/>
      <c r="C43" s="85"/>
      <c r="D43" s="86"/>
      <c r="E43" s="87"/>
      <c r="F43" s="85"/>
      <c r="G43" s="88"/>
      <c r="H43" s="88"/>
      <c r="I43" s="88"/>
      <c r="J43" s="89"/>
      <c r="K43" s="89"/>
      <c r="L43" s="83">
        <f t="shared" si="0"/>
        <v>0</v>
      </c>
      <c r="M43" s="89"/>
      <c r="N43" s="83">
        <f t="shared" si="1"/>
        <v>0</v>
      </c>
      <c r="O43" s="87"/>
      <c r="P43" s="81" t="str">
        <f ca="1">IF(FILAMENT[[#This Row],[ID]] &lt;&gt; "", IF(A43 = "000", A43 &amp; " | None", A43 &amp; " | " &amp; F43 &amp; " | " &amp; B43 &amp; " | " &amp; E43  &amp; " | " &amp; H43 &amp; "g | " &amp; I43 &amp; "mm"), "")</f>
        <v/>
      </c>
    </row>
    <row r="44" spans="1:16" ht="22.5" customHeight="1">
      <c r="A44" s="108" t="str">
        <f ca="1">IF(FILAMENT[[#This Row],[PRODUCT]] &lt;&gt; "", IF(ROW() = 2, "000", TEXT(INDIRECT("A" &amp; ROW() - 1) + 1, "000")), "")</f>
        <v/>
      </c>
      <c r="B44" s="85"/>
      <c r="C44" s="85"/>
      <c r="D44" s="86"/>
      <c r="E44" s="87"/>
      <c r="F44" s="85"/>
      <c r="G44" s="88"/>
      <c r="H44" s="88"/>
      <c r="I44" s="88"/>
      <c r="J44" s="89"/>
      <c r="K44" s="89"/>
      <c r="L44" s="83">
        <f t="shared" si="0"/>
        <v>0</v>
      </c>
      <c r="M44" s="89"/>
      <c r="N44" s="83">
        <f t="shared" si="1"/>
        <v>0</v>
      </c>
      <c r="O44" s="87"/>
      <c r="P44" s="81" t="str">
        <f ca="1">IF(FILAMENT[[#This Row],[ID]] &lt;&gt; "", IF(A44 = "000", A44 &amp; " | None", A44 &amp; " | " &amp; F44 &amp; " | " &amp; B44 &amp; " | " &amp; E44  &amp; " | " &amp; H44 &amp; "g | " &amp; I44 &amp; "mm"), "")</f>
        <v/>
      </c>
    </row>
    <row r="45" spans="1:16" ht="22.5" customHeight="1">
      <c r="A45" s="108" t="str">
        <f ca="1">IF(FILAMENT[[#This Row],[PRODUCT]] &lt;&gt; "", IF(ROW() = 2, "000", TEXT(INDIRECT("A" &amp; ROW() - 1) + 1, "000")), "")</f>
        <v/>
      </c>
      <c r="B45" s="85"/>
      <c r="C45" s="85"/>
      <c r="D45" s="86"/>
      <c r="E45" s="87"/>
      <c r="F45" s="85"/>
      <c r="G45" s="88"/>
      <c r="H45" s="88"/>
      <c r="I45" s="88"/>
      <c r="J45" s="89"/>
      <c r="K45" s="89"/>
      <c r="L45" s="83">
        <f t="shared" si="0"/>
        <v>0</v>
      </c>
      <c r="M45" s="89"/>
      <c r="N45" s="83">
        <f t="shared" si="1"/>
        <v>0</v>
      </c>
      <c r="O45" s="87"/>
      <c r="P45" s="81" t="str">
        <f ca="1">IF(FILAMENT[[#This Row],[ID]] &lt;&gt; "", IF(A45 = "000", A45 &amp; " | None", A45 &amp; " | " &amp; F45 &amp; " | " &amp; B45 &amp; " | " &amp; E45  &amp; " | " &amp; H45 &amp; "g | " &amp; I45 &amp; "mm"), "")</f>
        <v/>
      </c>
    </row>
    <row r="46" spans="1:16" ht="22.5" customHeight="1">
      <c r="A46" s="108" t="str">
        <f ca="1">IF(FILAMENT[[#This Row],[PRODUCT]] &lt;&gt; "", IF(ROW() = 2, "000", TEXT(INDIRECT("A" &amp; ROW() - 1) + 1, "000")), "")</f>
        <v/>
      </c>
      <c r="B46" s="85"/>
      <c r="C46" s="85"/>
      <c r="D46" s="86"/>
      <c r="E46" s="87"/>
      <c r="F46" s="85"/>
      <c r="G46" s="88"/>
      <c r="H46" s="88"/>
      <c r="I46" s="88"/>
      <c r="J46" s="89"/>
      <c r="K46" s="89"/>
      <c r="L46" s="83">
        <f t="shared" si="0"/>
        <v>0</v>
      </c>
      <c r="M46" s="89"/>
      <c r="N46" s="83">
        <f t="shared" si="1"/>
        <v>0</v>
      </c>
      <c r="O46" s="87"/>
      <c r="P46" s="81" t="str">
        <f ca="1">IF(FILAMENT[[#This Row],[ID]] &lt;&gt; "", IF(A46 = "000", A46 &amp; " | None", A46 &amp; " | " &amp; F46 &amp; " | " &amp; B46 &amp; " | " &amp; E46  &amp; " | " &amp; H46 &amp; "g | " &amp; I46 &amp; "mm"), "")</f>
        <v/>
      </c>
    </row>
    <row r="47" spans="1:16" ht="22.5" customHeight="1">
      <c r="A47" s="108" t="str">
        <f ca="1">IF(FILAMENT[[#This Row],[PRODUCT]] &lt;&gt; "", IF(ROW() = 2, "000", TEXT(INDIRECT("A" &amp; ROW() - 1) + 1, "000")), "")</f>
        <v/>
      </c>
      <c r="B47" s="85"/>
      <c r="C47" s="85"/>
      <c r="D47" s="86"/>
      <c r="E47" s="87"/>
      <c r="F47" s="85"/>
      <c r="G47" s="88"/>
      <c r="H47" s="88"/>
      <c r="I47" s="88"/>
      <c r="J47" s="89"/>
      <c r="K47" s="89"/>
      <c r="L47" s="83">
        <f t="shared" si="0"/>
        <v>0</v>
      </c>
      <c r="M47" s="89"/>
      <c r="N47" s="83">
        <f t="shared" si="1"/>
        <v>0</v>
      </c>
      <c r="O47" s="87"/>
      <c r="P47" s="81" t="str">
        <f ca="1">IF(FILAMENT[[#This Row],[ID]] &lt;&gt; "", IF(A47 = "000", A47 &amp; " | None", A47 &amp; " | " &amp; F47 &amp; " | " &amp; B47 &amp; " | " &amp; E47  &amp; " | " &amp; H47 &amp; "g | " &amp; I47 &amp; "mm"), "")</f>
        <v/>
      </c>
    </row>
    <row r="48" spans="1:16" ht="22.5" customHeight="1">
      <c r="A48" s="108" t="str">
        <f ca="1">IF(FILAMENT[[#This Row],[PRODUCT]] &lt;&gt; "", IF(ROW() = 2, "000", TEXT(INDIRECT("A" &amp; ROW() - 1) + 1, "000")), "")</f>
        <v/>
      </c>
      <c r="B48" s="85"/>
      <c r="C48" s="85"/>
      <c r="D48" s="86"/>
      <c r="E48" s="87"/>
      <c r="F48" s="85"/>
      <c r="G48" s="88"/>
      <c r="H48" s="88"/>
      <c r="I48" s="88"/>
      <c r="J48" s="89"/>
      <c r="K48" s="89"/>
      <c r="L48" s="83">
        <f t="shared" si="0"/>
        <v>0</v>
      </c>
      <c r="M48" s="89"/>
      <c r="N48" s="83">
        <f t="shared" si="1"/>
        <v>0</v>
      </c>
      <c r="O48" s="87"/>
      <c r="P48" s="81" t="str">
        <f ca="1">IF(FILAMENT[[#This Row],[ID]] &lt;&gt; "", IF(A48 = "000", A48 &amp; " | None", A48 &amp; " | " &amp; F48 &amp; " | " &amp; B48 &amp; " | " &amp; E48  &amp; " | " &amp; H48 &amp; "g | " &amp; I48 &amp; "mm"), "")</f>
        <v/>
      </c>
    </row>
    <row r="49" spans="1:16" ht="22.5" customHeight="1">
      <c r="A49" s="108" t="str">
        <f ca="1">IF(FILAMENT[[#This Row],[PRODUCT]] &lt;&gt; "", IF(ROW() = 2, "000", TEXT(INDIRECT("A" &amp; ROW() - 1) + 1, "000")), "")</f>
        <v/>
      </c>
      <c r="B49" s="85"/>
      <c r="C49" s="85"/>
      <c r="D49" s="86"/>
      <c r="E49" s="87"/>
      <c r="F49" s="85"/>
      <c r="G49" s="88"/>
      <c r="H49" s="88"/>
      <c r="I49" s="88"/>
      <c r="J49" s="89"/>
      <c r="K49" s="89"/>
      <c r="L49" s="83">
        <f t="shared" si="0"/>
        <v>0</v>
      </c>
      <c r="M49" s="89"/>
      <c r="N49" s="83">
        <f t="shared" si="1"/>
        <v>0</v>
      </c>
      <c r="O49" s="87"/>
      <c r="P49" s="81" t="str">
        <f ca="1">IF(FILAMENT[[#This Row],[ID]] &lt;&gt; "", IF(A49 = "000", A49 &amp; " | None", A49 &amp; " | " &amp; F49 &amp; " | " &amp; B49 &amp; " | " &amp; E49  &amp; " | " &amp; H49 &amp; "g | " &amp; I49 &amp; "mm"), "")</f>
        <v/>
      </c>
    </row>
    <row r="50" spans="1:16" ht="22.5" customHeight="1">
      <c r="A50" s="108" t="str">
        <f ca="1">IF(FILAMENT[[#This Row],[PRODUCT]] &lt;&gt; "", IF(ROW() = 2, "000", TEXT(INDIRECT("A" &amp; ROW() - 1) + 1, "000")), "")</f>
        <v/>
      </c>
      <c r="B50" s="85"/>
      <c r="C50" s="85"/>
      <c r="D50" s="86"/>
      <c r="E50" s="87"/>
      <c r="F50" s="85"/>
      <c r="G50" s="88"/>
      <c r="H50" s="88"/>
      <c r="I50" s="88"/>
      <c r="J50" s="89"/>
      <c r="K50" s="89"/>
      <c r="L50" s="83">
        <f t="shared" si="0"/>
        <v>0</v>
      </c>
      <c r="M50" s="89"/>
      <c r="N50" s="83">
        <f t="shared" si="1"/>
        <v>0</v>
      </c>
      <c r="O50" s="87"/>
      <c r="P50" s="81" t="str">
        <f ca="1">IF(FILAMENT[[#This Row],[ID]] &lt;&gt; "", IF(A50 = "000", A50 &amp; " | None", A50 &amp; " | " &amp; F50 &amp; " | " &amp; B50 &amp; " | " &amp; E50  &amp; " | " &amp; H50 &amp; "g | " &amp; I50 &amp; "mm"), "")</f>
        <v/>
      </c>
    </row>
    <row r="51" spans="1:16" ht="22.5" customHeight="1">
      <c r="A51" s="108" t="str">
        <f ca="1">IF(FILAMENT[[#This Row],[PRODUCT]] &lt;&gt; "", IF(ROW() = 2, "000", TEXT(INDIRECT("A" &amp; ROW() - 1) + 1, "000")), "")</f>
        <v/>
      </c>
      <c r="B51" s="85"/>
      <c r="C51" s="85"/>
      <c r="D51" s="86"/>
      <c r="E51" s="87"/>
      <c r="F51" s="85"/>
      <c r="G51" s="88"/>
      <c r="H51" s="88"/>
      <c r="I51" s="88"/>
      <c r="J51" s="89"/>
      <c r="K51" s="89"/>
      <c r="L51" s="83">
        <f t="shared" si="0"/>
        <v>0</v>
      </c>
      <c r="M51" s="89"/>
      <c r="N51" s="83">
        <f t="shared" si="1"/>
        <v>0</v>
      </c>
      <c r="O51" s="87"/>
      <c r="P51" s="81" t="str">
        <f ca="1">IF(FILAMENT[[#This Row],[ID]] &lt;&gt; "", IF(A51 = "000", A51 &amp; " | None", A51 &amp; " | " &amp; F51 &amp; " | " &amp; B51 &amp; " | " &amp; E51  &amp; " | " &amp; H51 &amp; "g | " &amp; I51 &amp; "mm"), "")</f>
        <v/>
      </c>
    </row>
    <row r="52" spans="1:16" ht="22.5" customHeight="1">
      <c r="A52" s="108" t="str">
        <f ca="1">IF(FILAMENT[[#This Row],[PRODUCT]] &lt;&gt; "", IF(ROW() = 2, "000", TEXT(INDIRECT("A" &amp; ROW() - 1) + 1, "000")), "")</f>
        <v/>
      </c>
      <c r="B52" s="85"/>
      <c r="C52" s="85"/>
      <c r="D52" s="86"/>
      <c r="E52" s="87"/>
      <c r="F52" s="85"/>
      <c r="G52" s="88"/>
      <c r="H52" s="88"/>
      <c r="I52" s="88"/>
      <c r="J52" s="89"/>
      <c r="K52" s="89"/>
      <c r="L52" s="83">
        <f t="shared" si="0"/>
        <v>0</v>
      </c>
      <c r="M52" s="89"/>
      <c r="N52" s="83">
        <f t="shared" si="1"/>
        <v>0</v>
      </c>
      <c r="O52" s="87"/>
      <c r="P52" s="81" t="str">
        <f ca="1">IF(FILAMENT[[#This Row],[ID]] &lt;&gt; "", IF(A52 = "000", A52 &amp; " | None", A52 &amp; " | " &amp; F52 &amp; " | " &amp; B52 &amp; " | " &amp; E52  &amp; " | " &amp; H52 &amp; "g | " &amp; I52 &amp; "mm"), "")</f>
        <v/>
      </c>
    </row>
    <row r="53" spans="1:16" ht="22.5" customHeight="1">
      <c r="A53" s="108" t="str">
        <f ca="1">IF(FILAMENT[[#This Row],[PRODUCT]] &lt;&gt; "", IF(ROW() = 2, "000", TEXT(INDIRECT("A" &amp; ROW() - 1) + 1, "000")), "")</f>
        <v/>
      </c>
      <c r="B53" s="85"/>
      <c r="C53" s="85"/>
      <c r="D53" s="86"/>
      <c r="E53" s="87"/>
      <c r="F53" s="85"/>
      <c r="G53" s="88"/>
      <c r="H53" s="88"/>
      <c r="I53" s="88"/>
      <c r="J53" s="89"/>
      <c r="K53" s="89"/>
      <c r="L53" s="83">
        <f t="shared" si="0"/>
        <v>0</v>
      </c>
      <c r="M53" s="89"/>
      <c r="N53" s="83">
        <f t="shared" si="1"/>
        <v>0</v>
      </c>
      <c r="O53" s="87"/>
      <c r="P53" s="81" t="str">
        <f ca="1">IF(FILAMENT[[#This Row],[ID]] &lt;&gt; "", IF(A53 = "000", A53 &amp; " | None", A53 &amp; " | " &amp; F53 &amp; " | " &amp; B53 &amp; " | " &amp; E53  &amp; " | " &amp; H53 &amp; "g | " &amp; I53 &amp; "mm"), "")</f>
        <v/>
      </c>
    </row>
    <row r="54" spans="1:16" ht="22.5" customHeight="1">
      <c r="A54" s="108" t="str">
        <f ca="1">IF(FILAMENT[[#This Row],[PRODUCT]] &lt;&gt; "", IF(ROW() = 2, "000", TEXT(INDIRECT("A" &amp; ROW() - 1) + 1, "000")), "")</f>
        <v/>
      </c>
      <c r="B54" s="85"/>
      <c r="C54" s="85"/>
      <c r="D54" s="86"/>
      <c r="E54" s="87"/>
      <c r="F54" s="85"/>
      <c r="G54" s="88"/>
      <c r="H54" s="88"/>
      <c r="I54" s="88"/>
      <c r="J54" s="89"/>
      <c r="K54" s="89"/>
      <c r="L54" s="83">
        <f t="shared" si="0"/>
        <v>0</v>
      </c>
      <c r="M54" s="89"/>
      <c r="N54" s="83">
        <f t="shared" si="1"/>
        <v>0</v>
      </c>
      <c r="O54" s="87"/>
      <c r="P54" s="81" t="str">
        <f ca="1">IF(FILAMENT[[#This Row],[ID]] &lt;&gt; "", IF(A54 = "000", A54 &amp; " | None", A54 &amp; " | " &amp; F54 &amp; " | " &amp; B54 &amp; " | " &amp; E54  &amp; " | " &amp; H54 &amp; "g | " &amp; I54 &amp; "mm"), "")</f>
        <v/>
      </c>
    </row>
    <row r="55" spans="1:16" ht="22.5" customHeight="1">
      <c r="A55" s="108" t="str">
        <f ca="1">IF(FILAMENT[[#This Row],[PRODUCT]] &lt;&gt; "", IF(ROW() = 2, "000", TEXT(INDIRECT("A" &amp; ROW() - 1) + 1, "000")), "")</f>
        <v/>
      </c>
      <c r="B55" s="85"/>
      <c r="C55" s="85"/>
      <c r="D55" s="86"/>
      <c r="E55" s="87"/>
      <c r="F55" s="85"/>
      <c r="G55" s="88"/>
      <c r="H55" s="88"/>
      <c r="I55" s="88"/>
      <c r="J55" s="89"/>
      <c r="K55" s="89"/>
      <c r="L55" s="83">
        <f t="shared" si="0"/>
        <v>0</v>
      </c>
      <c r="M55" s="89"/>
      <c r="N55" s="83">
        <f t="shared" si="1"/>
        <v>0</v>
      </c>
      <c r="O55" s="87"/>
      <c r="P55" s="81" t="str">
        <f ca="1">IF(FILAMENT[[#This Row],[ID]] &lt;&gt; "", IF(A55 = "000", A55 &amp; " | None", A55 &amp; " | " &amp; F55 &amp; " | " &amp; B55 &amp; " | " &amp; E55  &amp; " | " &amp; H55 &amp; "g | " &amp; I55 &amp; "mm"), "")</f>
        <v/>
      </c>
    </row>
    <row r="56" spans="1:16" ht="22.5" customHeight="1">
      <c r="A56" s="108" t="str">
        <f ca="1">IF(FILAMENT[[#This Row],[PRODUCT]] &lt;&gt; "", IF(ROW() = 2, "000", TEXT(INDIRECT("A" &amp; ROW() - 1) + 1, "000")), "")</f>
        <v/>
      </c>
      <c r="B56" s="85"/>
      <c r="C56" s="85"/>
      <c r="D56" s="86"/>
      <c r="E56" s="87"/>
      <c r="F56" s="85"/>
      <c r="G56" s="88"/>
      <c r="H56" s="88"/>
      <c r="I56" s="88"/>
      <c r="J56" s="89"/>
      <c r="K56" s="89"/>
      <c r="L56" s="83">
        <f t="shared" si="0"/>
        <v>0</v>
      </c>
      <c r="M56" s="89"/>
      <c r="N56" s="83">
        <f t="shared" si="1"/>
        <v>0</v>
      </c>
      <c r="O56" s="87"/>
      <c r="P56" s="81" t="str">
        <f ca="1">IF(FILAMENT[[#This Row],[ID]] &lt;&gt; "", IF(A56 = "000", A56 &amp; " | None", A56 &amp; " | " &amp; F56 &amp; " | " &amp; B56 &amp; " | " &amp; E56  &amp; " | " &amp; H56 &amp; "g | " &amp; I56 &amp; "mm"), "")</f>
        <v/>
      </c>
    </row>
    <row r="57" spans="1:16" ht="22.5" customHeight="1">
      <c r="A57" s="108" t="str">
        <f ca="1">IF(FILAMENT[[#This Row],[PRODUCT]] &lt;&gt; "", IF(ROW() = 2, "000", TEXT(INDIRECT("A" &amp; ROW() - 1) + 1, "000")), "")</f>
        <v/>
      </c>
      <c r="B57" s="85"/>
      <c r="C57" s="85"/>
      <c r="D57" s="86"/>
      <c r="E57" s="87"/>
      <c r="F57" s="85"/>
      <c r="G57" s="88"/>
      <c r="H57" s="88"/>
      <c r="I57" s="88"/>
      <c r="J57" s="89"/>
      <c r="K57" s="89"/>
      <c r="L57" s="83">
        <f t="shared" si="0"/>
        <v>0</v>
      </c>
      <c r="M57" s="89"/>
      <c r="N57" s="83">
        <f t="shared" si="1"/>
        <v>0</v>
      </c>
      <c r="O57" s="87"/>
      <c r="P57" s="81" t="str">
        <f ca="1">IF(FILAMENT[[#This Row],[ID]] &lt;&gt; "", IF(A57 = "000", A57 &amp; " | None", A57 &amp; " | " &amp; F57 &amp; " | " &amp; B57 &amp; " | " &amp; E57  &amp; " | " &amp; H57 &amp; "g | " &amp; I57 &amp; "mm"), "")</f>
        <v/>
      </c>
    </row>
    <row r="58" spans="1:16" ht="22.5" customHeight="1">
      <c r="A58" s="108" t="str">
        <f ca="1">IF(FILAMENT[[#This Row],[PRODUCT]] &lt;&gt; "", IF(ROW() = 2, "000", TEXT(INDIRECT("A" &amp; ROW() - 1) + 1, "000")), "")</f>
        <v/>
      </c>
      <c r="B58" s="85"/>
      <c r="C58" s="85"/>
      <c r="D58" s="86"/>
      <c r="E58" s="87"/>
      <c r="F58" s="85"/>
      <c r="G58" s="88"/>
      <c r="H58" s="88"/>
      <c r="I58" s="88"/>
      <c r="J58" s="89"/>
      <c r="K58" s="89"/>
      <c r="L58" s="83">
        <f t="shared" si="0"/>
        <v>0</v>
      </c>
      <c r="M58" s="89"/>
      <c r="N58" s="83">
        <f t="shared" si="1"/>
        <v>0</v>
      </c>
      <c r="O58" s="87"/>
      <c r="P58" s="81" t="str">
        <f ca="1">IF(FILAMENT[[#This Row],[ID]] &lt;&gt; "", IF(A58 = "000", A58 &amp; " | None", A58 &amp; " | " &amp; F58 &amp; " | " &amp; B58 &amp; " | " &amp; E58  &amp; " | " &amp; H58 &amp; "g | " &amp; I58 &amp; "mm"), "")</f>
        <v/>
      </c>
    </row>
    <row r="59" spans="1:16" ht="22.5" customHeight="1">
      <c r="A59" s="108" t="str">
        <f ca="1">IF(FILAMENT[[#This Row],[PRODUCT]] &lt;&gt; "", IF(ROW() = 2, "000", TEXT(INDIRECT("A" &amp; ROW() - 1) + 1, "000")), "")</f>
        <v/>
      </c>
      <c r="B59" s="85"/>
      <c r="C59" s="85"/>
      <c r="D59" s="86"/>
      <c r="E59" s="87"/>
      <c r="F59" s="85"/>
      <c r="G59" s="88"/>
      <c r="H59" s="88"/>
      <c r="I59" s="88"/>
      <c r="J59" s="89"/>
      <c r="K59" s="89"/>
      <c r="L59" s="83">
        <f t="shared" si="0"/>
        <v>0</v>
      </c>
      <c r="M59" s="89"/>
      <c r="N59" s="83">
        <f t="shared" si="1"/>
        <v>0</v>
      </c>
      <c r="O59" s="87"/>
      <c r="P59" s="81" t="str">
        <f ca="1">IF(FILAMENT[[#This Row],[ID]] &lt;&gt; "", IF(A59 = "000", A59 &amp; " | None", A59 &amp; " | " &amp; F59 &amp; " | " &amp; B59 &amp; " | " &amp; E59  &amp; " | " &amp; H59 &amp; "g | " &amp; I59 &amp; "mm"), "")</f>
        <v/>
      </c>
    </row>
    <row r="60" spans="1:16" ht="22.5" customHeight="1">
      <c r="A60" s="108" t="str">
        <f ca="1">IF(FILAMENT[[#This Row],[PRODUCT]] &lt;&gt; "", IF(ROW() = 2, "000", TEXT(INDIRECT("A" &amp; ROW() - 1) + 1, "000")), "")</f>
        <v/>
      </c>
      <c r="B60" s="85"/>
      <c r="C60" s="85"/>
      <c r="D60" s="86"/>
      <c r="E60" s="87"/>
      <c r="F60" s="85"/>
      <c r="G60" s="88"/>
      <c r="H60" s="88"/>
      <c r="I60" s="88"/>
      <c r="J60" s="89"/>
      <c r="K60" s="89"/>
      <c r="L60" s="83">
        <f t="shared" si="0"/>
        <v>0</v>
      </c>
      <c r="M60" s="89"/>
      <c r="N60" s="83">
        <f t="shared" si="1"/>
        <v>0</v>
      </c>
      <c r="O60" s="87"/>
      <c r="P60" s="81" t="str">
        <f ca="1">IF(FILAMENT[[#This Row],[ID]] &lt;&gt; "", IF(A60 = "000", A60 &amp; " | None", A60 &amp; " | " &amp; F60 &amp; " | " &amp; B60 &amp; " | " &amp; E60  &amp; " | " &amp; H60 &amp; "g | " &amp; I60 &amp; "mm"), "")</f>
        <v/>
      </c>
    </row>
    <row r="61" spans="1:16" ht="22.5" customHeight="1">
      <c r="A61" s="108" t="str">
        <f ca="1">IF(FILAMENT[[#This Row],[PRODUCT]] &lt;&gt; "", IF(ROW() = 2, "000", TEXT(INDIRECT("A" &amp; ROW() - 1) + 1, "000")), "")</f>
        <v/>
      </c>
      <c r="B61" s="85"/>
      <c r="C61" s="85"/>
      <c r="D61" s="86"/>
      <c r="E61" s="87"/>
      <c r="F61" s="85"/>
      <c r="G61" s="88"/>
      <c r="H61" s="88"/>
      <c r="I61" s="88"/>
      <c r="J61" s="89"/>
      <c r="K61" s="89"/>
      <c r="L61" s="83">
        <f t="shared" si="0"/>
        <v>0</v>
      </c>
      <c r="M61" s="89"/>
      <c r="N61" s="83">
        <f t="shared" si="1"/>
        <v>0</v>
      </c>
      <c r="O61" s="87"/>
      <c r="P61" s="81" t="str">
        <f ca="1">IF(FILAMENT[[#This Row],[ID]] &lt;&gt; "", IF(A61 = "000", A61 &amp; " | None", A61 &amp; " | " &amp; F61 &amp; " | " &amp; B61 &amp; " | " &amp; E61  &amp; " | " &amp; H61 &amp; "g | " &amp; I61 &amp; "mm"), "")</f>
        <v/>
      </c>
    </row>
    <row r="62" spans="1:16" ht="22.5" customHeight="1">
      <c r="A62" s="108" t="str">
        <f ca="1">IF(FILAMENT[[#This Row],[PRODUCT]] &lt;&gt; "", IF(ROW() = 2, "000", TEXT(INDIRECT("A" &amp; ROW() - 1) + 1, "000")), "")</f>
        <v/>
      </c>
      <c r="B62" s="85"/>
      <c r="C62" s="85"/>
      <c r="D62" s="86"/>
      <c r="E62" s="87"/>
      <c r="F62" s="85"/>
      <c r="G62" s="88"/>
      <c r="H62" s="88"/>
      <c r="I62" s="88"/>
      <c r="J62" s="89"/>
      <c r="K62" s="89"/>
      <c r="L62" s="83">
        <f t="shared" si="0"/>
        <v>0</v>
      </c>
      <c r="M62" s="89"/>
      <c r="N62" s="83">
        <f t="shared" si="1"/>
        <v>0</v>
      </c>
      <c r="O62" s="87"/>
      <c r="P62" s="81" t="str">
        <f ca="1">IF(FILAMENT[[#This Row],[ID]] &lt;&gt; "", IF(A62 = "000", A62 &amp; " | None", A62 &amp; " | " &amp; F62 &amp; " | " &amp; B62 &amp; " | " &amp; E62  &amp; " | " &amp; H62 &amp; "g | " &amp; I62 &amp; "mm"), "")</f>
        <v/>
      </c>
    </row>
    <row r="63" spans="1:16" ht="22.5" customHeight="1">
      <c r="A63" s="108" t="str">
        <f ca="1">IF(FILAMENT[[#This Row],[PRODUCT]] &lt;&gt; "", IF(ROW() = 2, "000", TEXT(INDIRECT("A" &amp; ROW() - 1) + 1, "000")), "")</f>
        <v/>
      </c>
      <c r="B63" s="85"/>
      <c r="C63" s="85"/>
      <c r="D63" s="86"/>
      <c r="E63" s="87"/>
      <c r="F63" s="85"/>
      <c r="G63" s="88"/>
      <c r="H63" s="88"/>
      <c r="I63" s="88"/>
      <c r="J63" s="89"/>
      <c r="K63" s="89"/>
      <c r="L63" s="83">
        <f t="shared" si="0"/>
        <v>0</v>
      </c>
      <c r="M63" s="89"/>
      <c r="N63" s="83">
        <f t="shared" si="1"/>
        <v>0</v>
      </c>
      <c r="O63" s="87"/>
      <c r="P63" s="81" t="str">
        <f ca="1">IF(FILAMENT[[#This Row],[ID]] &lt;&gt; "", IF(A63 = "000", A63 &amp; " | None", A63 &amp; " | " &amp; F63 &amp; " | " &amp; B63 &amp; " | " &amp; E63  &amp; " | " &amp; H63 &amp; "g | " &amp; I63 &amp; "mm"), "")</f>
        <v/>
      </c>
    </row>
    <row r="64" spans="1:16" ht="22.5" customHeight="1">
      <c r="A64" s="108" t="str">
        <f ca="1">IF(FILAMENT[[#This Row],[PRODUCT]] &lt;&gt; "", IF(ROW() = 2, "000", TEXT(INDIRECT("A" &amp; ROW() - 1) + 1, "000")), "")</f>
        <v/>
      </c>
      <c r="B64" s="85"/>
      <c r="C64" s="85"/>
      <c r="D64" s="86"/>
      <c r="E64" s="87"/>
      <c r="F64" s="85"/>
      <c r="G64" s="88"/>
      <c r="H64" s="88"/>
      <c r="I64" s="88"/>
      <c r="J64" s="89"/>
      <c r="K64" s="89"/>
      <c r="L64" s="83">
        <f t="shared" si="0"/>
        <v>0</v>
      </c>
      <c r="M64" s="89"/>
      <c r="N64" s="83">
        <f t="shared" si="1"/>
        <v>0</v>
      </c>
      <c r="O64" s="87"/>
      <c r="P64" s="81" t="str">
        <f ca="1">IF(FILAMENT[[#This Row],[ID]] &lt;&gt; "", IF(A64 = "000", A64 &amp; " | None", A64 &amp; " | " &amp; F64 &amp; " | " &amp; B64 &amp; " | " &amp; E64  &amp; " | " &amp; H64 &amp; "g | " &amp; I64 &amp; "mm"), "")</f>
        <v/>
      </c>
    </row>
    <row r="65" spans="1:16" ht="22.5" customHeight="1">
      <c r="A65" s="108" t="str">
        <f ca="1">IF(FILAMENT[[#This Row],[PRODUCT]] &lt;&gt; "", IF(ROW() = 2, "000", TEXT(INDIRECT("A" &amp; ROW() - 1) + 1, "000")), "")</f>
        <v/>
      </c>
      <c r="B65" s="85"/>
      <c r="C65" s="85"/>
      <c r="D65" s="86"/>
      <c r="E65" s="87"/>
      <c r="F65" s="85"/>
      <c r="G65" s="88"/>
      <c r="H65" s="88"/>
      <c r="I65" s="88"/>
      <c r="J65" s="89"/>
      <c r="K65" s="89"/>
      <c r="L65" s="83">
        <f t="shared" si="0"/>
        <v>0</v>
      </c>
      <c r="M65" s="89"/>
      <c r="N65" s="83">
        <f t="shared" si="1"/>
        <v>0</v>
      </c>
      <c r="O65" s="87"/>
      <c r="P65" s="81" t="str">
        <f ca="1">IF(FILAMENT[[#This Row],[ID]] &lt;&gt; "", IF(A65 = "000", A65 &amp; " | None", A65 &amp; " | " &amp; F65 &amp; " | " &amp; B65 &amp; " | " &amp; E65  &amp; " | " &amp; H65 &amp; "g | " &amp; I65 &amp; "mm"), "")</f>
        <v/>
      </c>
    </row>
    <row r="66" spans="1:16" ht="22.5" customHeight="1">
      <c r="A66" s="108" t="str">
        <f ca="1">IF(FILAMENT[[#This Row],[PRODUCT]] &lt;&gt; "", IF(ROW() = 2, "000", TEXT(INDIRECT("A" &amp; ROW() - 1) + 1, "000")), "")</f>
        <v/>
      </c>
      <c r="B66" s="85"/>
      <c r="C66" s="85"/>
      <c r="D66" s="86"/>
      <c r="E66" s="87"/>
      <c r="F66" s="85"/>
      <c r="G66" s="88"/>
      <c r="H66" s="88"/>
      <c r="I66" s="88"/>
      <c r="J66" s="89"/>
      <c r="K66" s="89"/>
      <c r="L66" s="83">
        <f t="shared" ref="L66:L129" si="3">K66 * 0.06</f>
        <v>0</v>
      </c>
      <c r="M66" s="89"/>
      <c r="N66" s="83">
        <f t="shared" ref="N66:N129" si="4">K66 + L66 + M66</f>
        <v>0</v>
      </c>
      <c r="O66" s="87"/>
      <c r="P66" s="81" t="str">
        <f ca="1">IF(FILAMENT[[#This Row],[ID]] &lt;&gt; "", IF(A66 = "000", A66 &amp; " | None", A66 &amp; " | " &amp; F66 &amp; " | " &amp; B66 &amp; " | " &amp; E66  &amp; " | " &amp; H66 &amp; "g | " &amp; I66 &amp; "mm"), "")</f>
        <v/>
      </c>
    </row>
    <row r="67" spans="1:16" ht="22.5" customHeight="1">
      <c r="A67" s="108" t="str">
        <f ca="1">IF(FILAMENT[[#This Row],[PRODUCT]] &lt;&gt; "", IF(ROW() = 2, "000", TEXT(INDIRECT("A" &amp; ROW() - 1) + 1, "000")), "")</f>
        <v/>
      </c>
      <c r="B67" s="85"/>
      <c r="C67" s="85"/>
      <c r="D67" s="86"/>
      <c r="E67" s="87"/>
      <c r="F67" s="85"/>
      <c r="G67" s="88"/>
      <c r="H67" s="88"/>
      <c r="I67" s="88"/>
      <c r="J67" s="89"/>
      <c r="K67" s="89"/>
      <c r="L67" s="83">
        <f t="shared" si="3"/>
        <v>0</v>
      </c>
      <c r="M67" s="89"/>
      <c r="N67" s="83">
        <f t="shared" si="4"/>
        <v>0</v>
      </c>
      <c r="O67" s="87"/>
      <c r="P67" s="81" t="str">
        <f ca="1">IF(FILAMENT[[#This Row],[ID]] &lt;&gt; "", IF(A67 = "000", A67 &amp; " | None", A67 &amp; " | " &amp; F67 &amp; " | " &amp; B67 &amp; " | " &amp; E67  &amp; " | " &amp; H67 &amp; "g | " &amp; I67 &amp; "mm"), "")</f>
        <v/>
      </c>
    </row>
    <row r="68" spans="1:16" ht="22.5" customHeight="1">
      <c r="A68" s="108" t="str">
        <f ca="1">IF(FILAMENT[[#This Row],[PRODUCT]] &lt;&gt; "", IF(ROW() = 2, "000", TEXT(INDIRECT("A" &amp; ROW() - 1) + 1, "000")), "")</f>
        <v/>
      </c>
      <c r="B68" s="85"/>
      <c r="C68" s="85"/>
      <c r="D68" s="86"/>
      <c r="E68" s="87"/>
      <c r="F68" s="85"/>
      <c r="G68" s="88"/>
      <c r="H68" s="88"/>
      <c r="I68" s="88"/>
      <c r="J68" s="89"/>
      <c r="K68" s="89"/>
      <c r="L68" s="83">
        <f t="shared" si="3"/>
        <v>0</v>
      </c>
      <c r="M68" s="89"/>
      <c r="N68" s="83">
        <f t="shared" si="4"/>
        <v>0</v>
      </c>
      <c r="O68" s="87"/>
      <c r="P68" s="81" t="str">
        <f ca="1">IF(FILAMENT[[#This Row],[ID]] &lt;&gt; "", IF(A68 = "000", A68 &amp; " | None", A68 &amp; " | " &amp; F68 &amp; " | " &amp; B68 &amp; " | " &amp; E68  &amp; " | " &amp; H68 &amp; "g | " &amp; I68 &amp; "mm"), "")</f>
        <v/>
      </c>
    </row>
    <row r="69" spans="1:16" ht="22.5" customHeight="1">
      <c r="A69" s="108" t="str">
        <f ca="1">IF(FILAMENT[[#This Row],[PRODUCT]] &lt;&gt; "", IF(ROW() = 2, "000", TEXT(INDIRECT("A" &amp; ROW() - 1) + 1, "000")), "")</f>
        <v/>
      </c>
      <c r="B69" s="85"/>
      <c r="C69" s="85"/>
      <c r="D69" s="86"/>
      <c r="E69" s="87"/>
      <c r="F69" s="85"/>
      <c r="G69" s="88"/>
      <c r="H69" s="88"/>
      <c r="I69" s="88"/>
      <c r="J69" s="89"/>
      <c r="K69" s="89"/>
      <c r="L69" s="83">
        <f t="shared" si="3"/>
        <v>0</v>
      </c>
      <c r="M69" s="89"/>
      <c r="N69" s="83">
        <f t="shared" si="4"/>
        <v>0</v>
      </c>
      <c r="O69" s="87"/>
      <c r="P69" s="81" t="str">
        <f ca="1">IF(FILAMENT[[#This Row],[ID]] &lt;&gt; "", IF(A69 = "000", A69 &amp; " | None", A69 &amp; " | " &amp; F69 &amp; " | " &amp; B69 &amp; " | " &amp; E69  &amp; " | " &amp; H69 &amp; "g | " &amp; I69 &amp; "mm"), "")</f>
        <v/>
      </c>
    </row>
    <row r="70" spans="1:16" ht="22.5" customHeight="1">
      <c r="A70" s="108" t="str">
        <f ca="1">IF(FILAMENT[[#This Row],[PRODUCT]] &lt;&gt; "", IF(ROW() = 2, "000", TEXT(INDIRECT("A" &amp; ROW() - 1) + 1, "000")), "")</f>
        <v/>
      </c>
      <c r="B70" s="85"/>
      <c r="C70" s="85"/>
      <c r="D70" s="86"/>
      <c r="E70" s="87"/>
      <c r="F70" s="85"/>
      <c r="G70" s="88"/>
      <c r="H70" s="88"/>
      <c r="I70" s="88"/>
      <c r="J70" s="89"/>
      <c r="K70" s="89"/>
      <c r="L70" s="83">
        <f t="shared" si="3"/>
        <v>0</v>
      </c>
      <c r="M70" s="89"/>
      <c r="N70" s="83">
        <f t="shared" si="4"/>
        <v>0</v>
      </c>
      <c r="O70" s="87"/>
      <c r="P70" s="81" t="str">
        <f ca="1">IF(FILAMENT[[#This Row],[ID]] &lt;&gt; "", IF(A70 = "000", A70 &amp; " | None", A70 &amp; " | " &amp; F70 &amp; " | " &amp; B70 &amp; " | " &amp; E70  &amp; " | " &amp; H70 &amp; "g | " &amp; I70 &amp; "mm"), "")</f>
        <v/>
      </c>
    </row>
    <row r="71" spans="1:16" ht="22.5" customHeight="1">
      <c r="A71" s="108" t="str">
        <f ca="1">IF(FILAMENT[[#This Row],[PRODUCT]] &lt;&gt; "", IF(ROW() = 2, "000", TEXT(INDIRECT("A" &amp; ROW() - 1) + 1, "000")), "")</f>
        <v/>
      </c>
      <c r="B71" s="85"/>
      <c r="C71" s="85"/>
      <c r="D71" s="86"/>
      <c r="E71" s="87"/>
      <c r="F71" s="85"/>
      <c r="G71" s="88"/>
      <c r="H71" s="88"/>
      <c r="I71" s="88"/>
      <c r="J71" s="89"/>
      <c r="K71" s="89"/>
      <c r="L71" s="83">
        <f t="shared" si="3"/>
        <v>0</v>
      </c>
      <c r="M71" s="89"/>
      <c r="N71" s="83">
        <f t="shared" si="4"/>
        <v>0</v>
      </c>
      <c r="O71" s="87"/>
      <c r="P71" s="81" t="str">
        <f ca="1">IF(FILAMENT[[#This Row],[ID]] &lt;&gt; "", IF(A71 = "000", A71 &amp; " | None", A71 &amp; " | " &amp; F71 &amp; " | " &amp; B71 &amp; " | " &amp; E71  &amp; " | " &amp; H71 &amp; "g | " &amp; I71 &amp; "mm"), "")</f>
        <v/>
      </c>
    </row>
    <row r="72" spans="1:16" ht="22.5" customHeight="1">
      <c r="A72" s="108" t="str">
        <f ca="1">IF(FILAMENT[[#This Row],[PRODUCT]] &lt;&gt; "", IF(ROW() = 2, "000", TEXT(INDIRECT("A" &amp; ROW() - 1) + 1, "000")), "")</f>
        <v/>
      </c>
      <c r="B72" s="85"/>
      <c r="C72" s="85"/>
      <c r="D72" s="86"/>
      <c r="E72" s="87"/>
      <c r="F72" s="85"/>
      <c r="G72" s="88"/>
      <c r="H72" s="88"/>
      <c r="I72" s="88"/>
      <c r="J72" s="89"/>
      <c r="K72" s="89"/>
      <c r="L72" s="83">
        <f t="shared" si="3"/>
        <v>0</v>
      </c>
      <c r="M72" s="89"/>
      <c r="N72" s="83">
        <f t="shared" si="4"/>
        <v>0</v>
      </c>
      <c r="O72" s="87"/>
      <c r="P72" s="81" t="str">
        <f ca="1">IF(FILAMENT[[#This Row],[ID]] &lt;&gt; "", IF(A72 = "000", A72 &amp; " | None", A72 &amp; " | " &amp; F72 &amp; " | " &amp; B72 &amp; " | " &amp; E72  &amp; " | " &amp; H72 &amp; "g | " &amp; I72 &amp; "mm"), "")</f>
        <v/>
      </c>
    </row>
    <row r="73" spans="1:16" ht="22.5" customHeight="1">
      <c r="A73" s="108" t="str">
        <f ca="1">IF(FILAMENT[[#This Row],[PRODUCT]] &lt;&gt; "", IF(ROW() = 2, "000", TEXT(INDIRECT("A" &amp; ROW() - 1) + 1, "000")), "")</f>
        <v/>
      </c>
      <c r="B73" s="85"/>
      <c r="C73" s="85"/>
      <c r="D73" s="86"/>
      <c r="E73" s="87"/>
      <c r="F73" s="85"/>
      <c r="G73" s="88"/>
      <c r="H73" s="88"/>
      <c r="I73" s="88"/>
      <c r="J73" s="89"/>
      <c r="K73" s="89"/>
      <c r="L73" s="83">
        <f t="shared" si="3"/>
        <v>0</v>
      </c>
      <c r="M73" s="89"/>
      <c r="N73" s="83">
        <f t="shared" si="4"/>
        <v>0</v>
      </c>
      <c r="O73" s="87"/>
      <c r="P73" s="81" t="str">
        <f ca="1">IF(FILAMENT[[#This Row],[ID]] &lt;&gt; "", IF(A73 = "000", A73 &amp; " | None", A73 &amp; " | " &amp; F73 &amp; " | " &amp; B73 &amp; " | " &amp; E73  &amp; " | " &amp; H73 &amp; "g | " &amp; I73 &amp; "mm"), "")</f>
        <v/>
      </c>
    </row>
    <row r="74" spans="1:16" ht="22.5" customHeight="1">
      <c r="A74" s="108" t="str">
        <f ca="1">IF(FILAMENT[[#This Row],[PRODUCT]] &lt;&gt; "", IF(ROW() = 2, "000", TEXT(INDIRECT("A" &amp; ROW() - 1) + 1, "000")), "")</f>
        <v/>
      </c>
      <c r="B74" s="85"/>
      <c r="C74" s="85"/>
      <c r="D74" s="86"/>
      <c r="E74" s="87"/>
      <c r="F74" s="85"/>
      <c r="G74" s="88"/>
      <c r="H74" s="88"/>
      <c r="I74" s="88"/>
      <c r="J74" s="89"/>
      <c r="K74" s="89"/>
      <c r="L74" s="83">
        <f t="shared" si="3"/>
        <v>0</v>
      </c>
      <c r="M74" s="89"/>
      <c r="N74" s="83">
        <f t="shared" si="4"/>
        <v>0</v>
      </c>
      <c r="O74" s="87"/>
      <c r="P74" s="81" t="str">
        <f ca="1">IF(FILAMENT[[#This Row],[ID]] &lt;&gt; "", IF(A74 = "000", A74 &amp; " | None", A74 &amp; " | " &amp; F74 &amp; " | " &amp; B74 &amp; " | " &amp; E74  &amp; " | " &amp; H74 &amp; "g | " &amp; I74 &amp; "mm"), "")</f>
        <v/>
      </c>
    </row>
    <row r="75" spans="1:16" ht="22.5" customHeight="1">
      <c r="A75" s="108" t="str">
        <f ca="1">IF(FILAMENT[[#This Row],[PRODUCT]] &lt;&gt; "", IF(ROW() = 2, "000", TEXT(INDIRECT("A" &amp; ROW() - 1) + 1, "000")), "")</f>
        <v/>
      </c>
      <c r="B75" s="85"/>
      <c r="C75" s="85"/>
      <c r="D75" s="86"/>
      <c r="E75" s="87"/>
      <c r="F75" s="85"/>
      <c r="G75" s="88"/>
      <c r="H75" s="88"/>
      <c r="I75" s="88"/>
      <c r="J75" s="89"/>
      <c r="K75" s="89"/>
      <c r="L75" s="83">
        <f t="shared" si="3"/>
        <v>0</v>
      </c>
      <c r="M75" s="89"/>
      <c r="N75" s="83">
        <f t="shared" si="4"/>
        <v>0</v>
      </c>
      <c r="O75" s="87"/>
      <c r="P75" s="81" t="str">
        <f ca="1">IF(FILAMENT[[#This Row],[ID]] &lt;&gt; "", IF(A75 = "000", A75 &amp; " | None", A75 &amp; " | " &amp; F75 &amp; " | " &amp; B75 &amp; " | " &amp; E75  &amp; " | " &amp; H75 &amp; "g | " &amp; I75 &amp; "mm"), "")</f>
        <v/>
      </c>
    </row>
    <row r="76" spans="1:16" ht="22.5" customHeight="1">
      <c r="A76" s="108" t="str">
        <f ca="1">IF(FILAMENT[[#This Row],[PRODUCT]] &lt;&gt; "", IF(ROW() = 2, "000", TEXT(INDIRECT("A" &amp; ROW() - 1) + 1, "000")), "")</f>
        <v/>
      </c>
      <c r="B76" s="85"/>
      <c r="C76" s="85"/>
      <c r="D76" s="86"/>
      <c r="E76" s="87"/>
      <c r="F76" s="85"/>
      <c r="G76" s="88"/>
      <c r="H76" s="88"/>
      <c r="I76" s="88"/>
      <c r="J76" s="89"/>
      <c r="K76" s="89"/>
      <c r="L76" s="83">
        <f t="shared" si="3"/>
        <v>0</v>
      </c>
      <c r="M76" s="89"/>
      <c r="N76" s="83">
        <f t="shared" si="4"/>
        <v>0</v>
      </c>
      <c r="O76" s="87"/>
      <c r="P76" s="81" t="str">
        <f ca="1">IF(FILAMENT[[#This Row],[ID]] &lt;&gt; "", IF(A76 = "000", A76 &amp; " | None", A76 &amp; " | " &amp; F76 &amp; " | " &amp; B76 &amp; " | " &amp; E76  &amp; " | " &amp; H76 &amp; "g | " &amp; I76 &amp; "mm"), "")</f>
        <v/>
      </c>
    </row>
    <row r="77" spans="1:16" ht="22.5" customHeight="1">
      <c r="A77" s="108" t="str">
        <f ca="1">IF(FILAMENT[[#This Row],[PRODUCT]] &lt;&gt; "", IF(ROW() = 2, "000", TEXT(INDIRECT("A" &amp; ROW() - 1) + 1, "000")), "")</f>
        <v/>
      </c>
      <c r="B77" s="85"/>
      <c r="C77" s="85"/>
      <c r="D77" s="86"/>
      <c r="E77" s="87"/>
      <c r="F77" s="85"/>
      <c r="G77" s="88"/>
      <c r="H77" s="88"/>
      <c r="I77" s="88"/>
      <c r="J77" s="89"/>
      <c r="K77" s="89"/>
      <c r="L77" s="83">
        <f t="shared" si="3"/>
        <v>0</v>
      </c>
      <c r="M77" s="89"/>
      <c r="N77" s="83">
        <f t="shared" si="4"/>
        <v>0</v>
      </c>
      <c r="O77" s="87"/>
      <c r="P77" s="81" t="str">
        <f ca="1">IF(FILAMENT[[#This Row],[ID]] &lt;&gt; "", IF(A77 = "000", A77 &amp; " | None", A77 &amp; " | " &amp; F77 &amp; " | " &amp; B77 &amp; " | " &amp; E77  &amp; " | " &amp; H77 &amp; "g | " &amp; I77 &amp; "mm"), "")</f>
        <v/>
      </c>
    </row>
    <row r="78" spans="1:16" ht="22.5" customHeight="1">
      <c r="A78" s="108" t="str">
        <f ca="1">IF(FILAMENT[[#This Row],[PRODUCT]] &lt;&gt; "", IF(ROW() = 2, "000", TEXT(INDIRECT("A" &amp; ROW() - 1) + 1, "000")), "")</f>
        <v/>
      </c>
      <c r="B78" s="85"/>
      <c r="C78" s="85"/>
      <c r="D78" s="86"/>
      <c r="E78" s="87"/>
      <c r="F78" s="85"/>
      <c r="G78" s="88"/>
      <c r="H78" s="88"/>
      <c r="I78" s="88"/>
      <c r="J78" s="89"/>
      <c r="K78" s="89"/>
      <c r="L78" s="83">
        <f t="shared" si="3"/>
        <v>0</v>
      </c>
      <c r="M78" s="89"/>
      <c r="N78" s="83">
        <f t="shared" si="4"/>
        <v>0</v>
      </c>
      <c r="O78" s="87"/>
      <c r="P78" s="81" t="str">
        <f ca="1">IF(FILAMENT[[#This Row],[ID]] &lt;&gt; "", IF(A78 = "000", A78 &amp; " | None", A78 &amp; " | " &amp; F78 &amp; " | " &amp; B78 &amp; " | " &amp; E78  &amp; " | " &amp; H78 &amp; "g | " &amp; I78 &amp; "mm"), "")</f>
        <v/>
      </c>
    </row>
    <row r="79" spans="1:16" ht="22.5" customHeight="1">
      <c r="A79" s="108" t="str">
        <f ca="1">IF(FILAMENT[[#This Row],[PRODUCT]] &lt;&gt; "", IF(ROW() = 2, "000", TEXT(INDIRECT("A" &amp; ROW() - 1) + 1, "000")), "")</f>
        <v/>
      </c>
      <c r="B79" s="85"/>
      <c r="C79" s="85"/>
      <c r="D79" s="86"/>
      <c r="E79" s="87"/>
      <c r="F79" s="85"/>
      <c r="G79" s="88"/>
      <c r="H79" s="88"/>
      <c r="I79" s="88"/>
      <c r="J79" s="89"/>
      <c r="K79" s="89"/>
      <c r="L79" s="83">
        <f t="shared" si="3"/>
        <v>0</v>
      </c>
      <c r="M79" s="89"/>
      <c r="N79" s="83">
        <f t="shared" si="4"/>
        <v>0</v>
      </c>
      <c r="O79" s="87"/>
      <c r="P79" s="81" t="str">
        <f ca="1">IF(FILAMENT[[#This Row],[ID]] &lt;&gt; "", IF(A79 = "000", A79 &amp; " | None", A79 &amp; " | " &amp; F79 &amp; " | " &amp; B79 &amp; " | " &amp; E79  &amp; " | " &amp; H79 &amp; "g | " &amp; I79 &amp; "mm"), "")</f>
        <v/>
      </c>
    </row>
    <row r="80" spans="1:16" ht="22.5" customHeight="1">
      <c r="A80" s="108" t="str">
        <f ca="1">IF(FILAMENT[[#This Row],[PRODUCT]] &lt;&gt; "", IF(ROW() = 2, "000", TEXT(INDIRECT("A" &amp; ROW() - 1) + 1, "000")), "")</f>
        <v/>
      </c>
      <c r="B80" s="85"/>
      <c r="C80" s="85"/>
      <c r="D80" s="86"/>
      <c r="E80" s="87"/>
      <c r="F80" s="85"/>
      <c r="G80" s="88"/>
      <c r="H80" s="88"/>
      <c r="I80" s="88"/>
      <c r="J80" s="89"/>
      <c r="K80" s="89"/>
      <c r="L80" s="83">
        <f t="shared" si="3"/>
        <v>0</v>
      </c>
      <c r="M80" s="89"/>
      <c r="N80" s="83">
        <f t="shared" si="4"/>
        <v>0</v>
      </c>
      <c r="O80" s="87"/>
      <c r="P80" s="81" t="str">
        <f ca="1">IF(FILAMENT[[#This Row],[ID]] &lt;&gt; "", IF(A80 = "000", A80 &amp; " | None", A80 &amp; " | " &amp; F80 &amp; " | " &amp; B80 &amp; " | " &amp; E80  &amp; " | " &amp; H80 &amp; "g | " &amp; I80 &amp; "mm"), "")</f>
        <v/>
      </c>
    </row>
    <row r="81" spans="1:16" ht="22.5" customHeight="1">
      <c r="A81" s="108" t="str">
        <f ca="1">IF(FILAMENT[[#This Row],[PRODUCT]] &lt;&gt; "", IF(ROW() = 2, "000", TEXT(INDIRECT("A" &amp; ROW() - 1) + 1, "000")), "")</f>
        <v/>
      </c>
      <c r="B81" s="85"/>
      <c r="C81" s="85"/>
      <c r="D81" s="86"/>
      <c r="E81" s="87"/>
      <c r="F81" s="85"/>
      <c r="G81" s="88"/>
      <c r="H81" s="88"/>
      <c r="I81" s="88"/>
      <c r="J81" s="89"/>
      <c r="K81" s="89"/>
      <c r="L81" s="83">
        <f t="shared" si="3"/>
        <v>0</v>
      </c>
      <c r="M81" s="89"/>
      <c r="N81" s="83">
        <f t="shared" si="4"/>
        <v>0</v>
      </c>
      <c r="O81" s="87"/>
      <c r="P81" s="81" t="str">
        <f ca="1">IF(FILAMENT[[#This Row],[ID]] &lt;&gt; "", IF(A81 = "000", A81 &amp; " | None", A81 &amp; " | " &amp; F81 &amp; " | " &amp; B81 &amp; " | " &amp; E81  &amp; " | " &amp; H81 &amp; "g | " &amp; I81 &amp; "mm"), "")</f>
        <v/>
      </c>
    </row>
    <row r="82" spans="1:16" ht="22.5" customHeight="1">
      <c r="A82" s="108" t="str">
        <f ca="1">IF(FILAMENT[[#This Row],[PRODUCT]] &lt;&gt; "", IF(ROW() = 2, "000", TEXT(INDIRECT("A" &amp; ROW() - 1) + 1, "000")), "")</f>
        <v/>
      </c>
      <c r="B82" s="85"/>
      <c r="C82" s="85"/>
      <c r="D82" s="86"/>
      <c r="E82" s="87"/>
      <c r="F82" s="85"/>
      <c r="G82" s="88"/>
      <c r="H82" s="88"/>
      <c r="I82" s="88"/>
      <c r="J82" s="89"/>
      <c r="K82" s="89"/>
      <c r="L82" s="83">
        <f t="shared" si="3"/>
        <v>0</v>
      </c>
      <c r="M82" s="89"/>
      <c r="N82" s="83">
        <f t="shared" si="4"/>
        <v>0</v>
      </c>
      <c r="O82" s="87"/>
      <c r="P82" s="81" t="str">
        <f ca="1">IF(FILAMENT[[#This Row],[ID]] &lt;&gt; "", IF(A82 = "000", A82 &amp; " | None", A82 &amp; " | " &amp; F82 &amp; " | " &amp; B82 &amp; " | " &amp; E82  &amp; " | " &amp; H82 &amp; "g | " &amp; I82 &amp; "mm"), "")</f>
        <v/>
      </c>
    </row>
    <row r="83" spans="1:16" ht="22.5" customHeight="1">
      <c r="A83" s="108" t="str">
        <f ca="1">IF(FILAMENT[[#This Row],[PRODUCT]] &lt;&gt; "", IF(ROW() = 2, "000", TEXT(INDIRECT("A" &amp; ROW() - 1) + 1, "000")), "")</f>
        <v/>
      </c>
      <c r="B83" s="85"/>
      <c r="C83" s="85"/>
      <c r="D83" s="86"/>
      <c r="E83" s="87"/>
      <c r="F83" s="85"/>
      <c r="G83" s="88"/>
      <c r="H83" s="88"/>
      <c r="I83" s="88"/>
      <c r="J83" s="89"/>
      <c r="K83" s="89"/>
      <c r="L83" s="83">
        <f t="shared" si="3"/>
        <v>0</v>
      </c>
      <c r="M83" s="89"/>
      <c r="N83" s="83">
        <f t="shared" si="4"/>
        <v>0</v>
      </c>
      <c r="O83" s="87"/>
      <c r="P83" s="81" t="str">
        <f ca="1">IF(FILAMENT[[#This Row],[ID]] &lt;&gt; "", IF(A83 = "000", A83 &amp; " | None", A83 &amp; " | " &amp; F83 &amp; " | " &amp; B83 &amp; " | " &amp; E83  &amp; " | " &amp; H83 &amp; "g | " &amp; I83 &amp; "mm"), "")</f>
        <v/>
      </c>
    </row>
    <row r="84" spans="1:16" ht="22.5" customHeight="1">
      <c r="A84" s="108" t="str">
        <f ca="1">IF(FILAMENT[[#This Row],[PRODUCT]] &lt;&gt; "", IF(ROW() = 2, "000", TEXT(INDIRECT("A" &amp; ROW() - 1) + 1, "000")), "")</f>
        <v/>
      </c>
      <c r="B84" s="85"/>
      <c r="C84" s="85"/>
      <c r="D84" s="86"/>
      <c r="E84" s="87"/>
      <c r="F84" s="85"/>
      <c r="G84" s="88"/>
      <c r="H84" s="88"/>
      <c r="I84" s="88"/>
      <c r="J84" s="89"/>
      <c r="K84" s="89"/>
      <c r="L84" s="83">
        <f t="shared" si="3"/>
        <v>0</v>
      </c>
      <c r="M84" s="89"/>
      <c r="N84" s="83">
        <f t="shared" si="4"/>
        <v>0</v>
      </c>
      <c r="O84" s="87"/>
      <c r="P84" s="81" t="str">
        <f ca="1">IF(FILAMENT[[#This Row],[ID]] &lt;&gt; "", IF(A84 = "000", A84 &amp; " | None", A84 &amp; " | " &amp; F84 &amp; " | " &amp; B84 &amp; " | " &amp; E84  &amp; " | " &amp; H84 &amp; "g | " &amp; I84 &amp; "mm"), "")</f>
        <v/>
      </c>
    </row>
    <row r="85" spans="1:16" ht="22.5" customHeight="1">
      <c r="A85" s="108" t="str">
        <f ca="1">IF(FILAMENT[[#This Row],[PRODUCT]] &lt;&gt; "", IF(ROW() = 2, "000", TEXT(INDIRECT("A" &amp; ROW() - 1) + 1, "000")), "")</f>
        <v/>
      </c>
      <c r="B85" s="85"/>
      <c r="C85" s="85"/>
      <c r="D85" s="86"/>
      <c r="E85" s="87"/>
      <c r="F85" s="85"/>
      <c r="G85" s="88"/>
      <c r="H85" s="88"/>
      <c r="I85" s="88"/>
      <c r="J85" s="89"/>
      <c r="K85" s="89"/>
      <c r="L85" s="83">
        <f t="shared" si="3"/>
        <v>0</v>
      </c>
      <c r="M85" s="89"/>
      <c r="N85" s="83">
        <f t="shared" si="4"/>
        <v>0</v>
      </c>
      <c r="O85" s="87"/>
      <c r="P85" s="81" t="str">
        <f ca="1">IF(FILAMENT[[#This Row],[ID]] &lt;&gt; "", IF(A85 = "000", A85 &amp; " | None", A85 &amp; " | " &amp; F85 &amp; " | " &amp; B85 &amp; " | " &amp; E85  &amp; " | " &amp; H85 &amp; "g | " &amp; I85 &amp; "mm"), "")</f>
        <v/>
      </c>
    </row>
    <row r="86" spans="1:16" ht="22.5" customHeight="1">
      <c r="A86" s="108" t="str">
        <f ca="1">IF(FILAMENT[[#This Row],[PRODUCT]] &lt;&gt; "", IF(ROW() = 2, "000", TEXT(INDIRECT("A" &amp; ROW() - 1) + 1, "000")), "")</f>
        <v/>
      </c>
      <c r="B86" s="85"/>
      <c r="C86" s="85"/>
      <c r="D86" s="86"/>
      <c r="E86" s="87"/>
      <c r="F86" s="85"/>
      <c r="G86" s="88"/>
      <c r="H86" s="88"/>
      <c r="I86" s="88"/>
      <c r="J86" s="89"/>
      <c r="K86" s="89"/>
      <c r="L86" s="83">
        <f t="shared" si="3"/>
        <v>0</v>
      </c>
      <c r="M86" s="89"/>
      <c r="N86" s="83">
        <f t="shared" si="4"/>
        <v>0</v>
      </c>
      <c r="O86" s="87"/>
      <c r="P86" s="81" t="str">
        <f ca="1">IF(FILAMENT[[#This Row],[ID]] &lt;&gt; "", IF(A86 = "000", A86 &amp; " | None", A86 &amp; " | " &amp; F86 &amp; " | " &amp; B86 &amp; " | " &amp; E86  &amp; " | " &amp; H86 &amp; "g | " &amp; I86 &amp; "mm"), "")</f>
        <v/>
      </c>
    </row>
    <row r="87" spans="1:16" ht="22.5" customHeight="1">
      <c r="A87" s="108" t="str">
        <f ca="1">IF(FILAMENT[[#This Row],[PRODUCT]] &lt;&gt; "", IF(ROW() = 2, "000", TEXT(INDIRECT("A" &amp; ROW() - 1) + 1, "000")), "")</f>
        <v/>
      </c>
      <c r="B87" s="85"/>
      <c r="C87" s="85"/>
      <c r="D87" s="86"/>
      <c r="E87" s="87"/>
      <c r="F87" s="85"/>
      <c r="G87" s="88"/>
      <c r="H87" s="88"/>
      <c r="I87" s="88"/>
      <c r="J87" s="89"/>
      <c r="K87" s="89"/>
      <c r="L87" s="83">
        <f t="shared" si="3"/>
        <v>0</v>
      </c>
      <c r="M87" s="89"/>
      <c r="N87" s="83">
        <f t="shared" si="4"/>
        <v>0</v>
      </c>
      <c r="O87" s="87"/>
      <c r="P87" s="81" t="str">
        <f ca="1">IF(FILAMENT[[#This Row],[ID]] &lt;&gt; "", IF(A87 = "000", A87 &amp; " | None", A87 &amp; " | " &amp; F87 &amp; " | " &amp; B87 &amp; " | " &amp; E87  &amp; " | " &amp; H87 &amp; "g | " &amp; I87 &amp; "mm"), "")</f>
        <v/>
      </c>
    </row>
    <row r="88" spans="1:16" ht="22.5" customHeight="1">
      <c r="A88" s="108" t="str">
        <f ca="1">IF(FILAMENT[[#This Row],[PRODUCT]] &lt;&gt; "", IF(ROW() = 2, "000", TEXT(INDIRECT("A" &amp; ROW() - 1) + 1, "000")), "")</f>
        <v/>
      </c>
      <c r="B88" s="85"/>
      <c r="C88" s="85"/>
      <c r="D88" s="86"/>
      <c r="E88" s="87"/>
      <c r="F88" s="85"/>
      <c r="G88" s="88"/>
      <c r="H88" s="88"/>
      <c r="I88" s="88"/>
      <c r="J88" s="89"/>
      <c r="K88" s="89"/>
      <c r="L88" s="83">
        <f t="shared" si="3"/>
        <v>0</v>
      </c>
      <c r="M88" s="89"/>
      <c r="N88" s="83">
        <f t="shared" si="4"/>
        <v>0</v>
      </c>
      <c r="O88" s="87"/>
      <c r="P88" s="81" t="str">
        <f ca="1">IF(FILAMENT[[#This Row],[ID]] &lt;&gt; "", IF(A88 = "000", A88 &amp; " | None", A88 &amp; " | " &amp; F88 &amp; " | " &amp; B88 &amp; " | " &amp; E88  &amp; " | " &amp; H88 &amp; "g | " &amp; I88 &amp; "mm"), "")</f>
        <v/>
      </c>
    </row>
    <row r="89" spans="1:16" ht="22.5" customHeight="1">
      <c r="A89" s="108" t="str">
        <f ca="1">IF(FILAMENT[[#This Row],[PRODUCT]] &lt;&gt; "", IF(ROW() = 2, "000", TEXT(INDIRECT("A" &amp; ROW() - 1) + 1, "000")), "")</f>
        <v/>
      </c>
      <c r="B89" s="85"/>
      <c r="C89" s="85"/>
      <c r="D89" s="86"/>
      <c r="E89" s="87"/>
      <c r="F89" s="85"/>
      <c r="G89" s="88"/>
      <c r="H89" s="88"/>
      <c r="I89" s="88"/>
      <c r="J89" s="89"/>
      <c r="K89" s="89"/>
      <c r="L89" s="83">
        <f t="shared" si="3"/>
        <v>0</v>
      </c>
      <c r="M89" s="89"/>
      <c r="N89" s="83">
        <f t="shared" si="4"/>
        <v>0</v>
      </c>
      <c r="O89" s="87"/>
      <c r="P89" s="81" t="str">
        <f ca="1">IF(FILAMENT[[#This Row],[ID]] &lt;&gt; "", IF(A89 = "000", A89 &amp; " | None", A89 &amp; " | " &amp; F89 &amp; " | " &amp; B89 &amp; " | " &amp; E89  &amp; " | " &amp; H89 &amp; "g | " &amp; I89 &amp; "mm"), "")</f>
        <v/>
      </c>
    </row>
    <row r="90" spans="1:16" ht="22.5" customHeight="1">
      <c r="A90" s="108" t="str">
        <f ca="1">IF(FILAMENT[[#This Row],[PRODUCT]] &lt;&gt; "", IF(ROW() = 2, "000", TEXT(INDIRECT("A" &amp; ROW() - 1) + 1, "000")), "")</f>
        <v/>
      </c>
      <c r="B90" s="85"/>
      <c r="C90" s="85"/>
      <c r="D90" s="86"/>
      <c r="E90" s="87"/>
      <c r="F90" s="85"/>
      <c r="G90" s="88"/>
      <c r="H90" s="88"/>
      <c r="I90" s="88"/>
      <c r="J90" s="89"/>
      <c r="K90" s="89"/>
      <c r="L90" s="83">
        <f t="shared" si="3"/>
        <v>0</v>
      </c>
      <c r="M90" s="89"/>
      <c r="N90" s="83">
        <f t="shared" si="4"/>
        <v>0</v>
      </c>
      <c r="O90" s="87"/>
      <c r="P90" s="81" t="str">
        <f ca="1">IF(FILAMENT[[#This Row],[ID]] &lt;&gt; "", IF(A90 = "000", A90 &amp; " | None", A90 &amp; " | " &amp; F90 &amp; " | " &amp; B90 &amp; " | " &amp; E90  &amp; " | " &amp; H90 &amp; "g | " &amp; I90 &amp; "mm"), "")</f>
        <v/>
      </c>
    </row>
    <row r="91" spans="1:16" ht="22.5" customHeight="1">
      <c r="A91" s="108" t="str">
        <f ca="1">IF(FILAMENT[[#This Row],[PRODUCT]] &lt;&gt; "", IF(ROW() = 2, "000", TEXT(INDIRECT("A" &amp; ROW() - 1) + 1, "000")), "")</f>
        <v/>
      </c>
      <c r="B91" s="85"/>
      <c r="C91" s="85"/>
      <c r="D91" s="86"/>
      <c r="E91" s="87"/>
      <c r="F91" s="85"/>
      <c r="G91" s="88"/>
      <c r="H91" s="88"/>
      <c r="I91" s="88"/>
      <c r="J91" s="89"/>
      <c r="K91" s="89"/>
      <c r="L91" s="83">
        <f t="shared" si="3"/>
        <v>0</v>
      </c>
      <c r="M91" s="89"/>
      <c r="N91" s="83">
        <f t="shared" si="4"/>
        <v>0</v>
      </c>
      <c r="O91" s="87"/>
      <c r="P91" s="81" t="str">
        <f ca="1">IF(FILAMENT[[#This Row],[ID]] &lt;&gt; "", IF(A91 = "000", A91 &amp; " | None", A91 &amp; " | " &amp; F91 &amp; " | " &amp; B91 &amp; " | " &amp; E91  &amp; " | " &amp; H91 &amp; "g | " &amp; I91 &amp; "mm"), "")</f>
        <v/>
      </c>
    </row>
    <row r="92" spans="1:16" ht="22.5" customHeight="1">
      <c r="A92" s="108" t="str">
        <f ca="1">IF(FILAMENT[[#This Row],[PRODUCT]] &lt;&gt; "", IF(ROW() = 2, "000", TEXT(INDIRECT("A" &amp; ROW() - 1) + 1, "000")), "")</f>
        <v/>
      </c>
      <c r="B92" s="85"/>
      <c r="C92" s="85"/>
      <c r="D92" s="86"/>
      <c r="E92" s="87"/>
      <c r="F92" s="85"/>
      <c r="G92" s="88"/>
      <c r="H92" s="88"/>
      <c r="I92" s="88"/>
      <c r="J92" s="89"/>
      <c r="K92" s="89"/>
      <c r="L92" s="83">
        <f t="shared" si="3"/>
        <v>0</v>
      </c>
      <c r="M92" s="89"/>
      <c r="N92" s="83">
        <f t="shared" si="4"/>
        <v>0</v>
      </c>
      <c r="O92" s="87"/>
      <c r="P92" s="81" t="str">
        <f ca="1">IF(FILAMENT[[#This Row],[ID]] &lt;&gt; "", IF(A92 = "000", A92 &amp; " | None", A92 &amp; " | " &amp; F92 &amp; " | " &amp; B92 &amp; " | " &amp; E92  &amp; " | " &amp; H92 &amp; "g | " &amp; I92 &amp; "mm"), "")</f>
        <v/>
      </c>
    </row>
    <row r="93" spans="1:16" ht="22.5" customHeight="1">
      <c r="A93" s="108" t="str">
        <f ca="1">IF(FILAMENT[[#This Row],[PRODUCT]] &lt;&gt; "", IF(ROW() = 2, "000", TEXT(INDIRECT("A" &amp; ROW() - 1) + 1, "000")), "")</f>
        <v/>
      </c>
      <c r="B93" s="85"/>
      <c r="C93" s="85"/>
      <c r="D93" s="86"/>
      <c r="E93" s="87"/>
      <c r="F93" s="85"/>
      <c r="G93" s="88"/>
      <c r="H93" s="88"/>
      <c r="I93" s="88"/>
      <c r="J93" s="89"/>
      <c r="K93" s="89"/>
      <c r="L93" s="83">
        <f t="shared" si="3"/>
        <v>0</v>
      </c>
      <c r="M93" s="89"/>
      <c r="N93" s="83">
        <f t="shared" si="4"/>
        <v>0</v>
      </c>
      <c r="O93" s="87"/>
      <c r="P93" s="81" t="str">
        <f ca="1">IF(FILAMENT[[#This Row],[ID]] &lt;&gt; "", IF(A93 = "000", A93 &amp; " | None", A93 &amp; " | " &amp; F93 &amp; " | " &amp; B93 &amp; " | " &amp; E93  &amp; " | " &amp; H93 &amp; "g | " &amp; I93 &amp; "mm"), "")</f>
        <v/>
      </c>
    </row>
    <row r="94" spans="1:16" ht="22.5" customHeight="1">
      <c r="A94" s="108" t="str">
        <f ca="1">IF(FILAMENT[[#This Row],[PRODUCT]] &lt;&gt; "", IF(ROW() = 2, "000", TEXT(INDIRECT("A" &amp; ROW() - 1) + 1, "000")), "")</f>
        <v/>
      </c>
      <c r="B94" s="85"/>
      <c r="C94" s="85"/>
      <c r="D94" s="86"/>
      <c r="E94" s="87"/>
      <c r="F94" s="85"/>
      <c r="G94" s="88"/>
      <c r="H94" s="88"/>
      <c r="I94" s="88"/>
      <c r="J94" s="89"/>
      <c r="K94" s="89"/>
      <c r="L94" s="83">
        <f t="shared" si="3"/>
        <v>0</v>
      </c>
      <c r="M94" s="89"/>
      <c r="N94" s="83">
        <f t="shared" si="4"/>
        <v>0</v>
      </c>
      <c r="O94" s="87"/>
      <c r="P94" s="81" t="str">
        <f ca="1">IF(FILAMENT[[#This Row],[ID]] &lt;&gt; "", IF(A94 = "000", A94 &amp; " | None", A94 &amp; " | " &amp; F94 &amp; " | " &amp; B94 &amp; " | " &amp; E94  &amp; " | " &amp; H94 &amp; "g | " &amp; I94 &amp; "mm"), "")</f>
        <v/>
      </c>
    </row>
    <row r="95" spans="1:16" ht="22.5" customHeight="1">
      <c r="A95" s="108" t="str">
        <f ca="1">IF(FILAMENT[[#This Row],[PRODUCT]] &lt;&gt; "", IF(ROW() = 2, "000", TEXT(INDIRECT("A" &amp; ROW() - 1) + 1, "000")), "")</f>
        <v/>
      </c>
      <c r="B95" s="85"/>
      <c r="C95" s="85"/>
      <c r="D95" s="86"/>
      <c r="E95" s="87"/>
      <c r="F95" s="85"/>
      <c r="G95" s="88"/>
      <c r="H95" s="88"/>
      <c r="I95" s="88"/>
      <c r="J95" s="89"/>
      <c r="K95" s="89"/>
      <c r="L95" s="83">
        <f t="shared" si="3"/>
        <v>0</v>
      </c>
      <c r="M95" s="89"/>
      <c r="N95" s="83">
        <f t="shared" si="4"/>
        <v>0</v>
      </c>
      <c r="O95" s="87"/>
      <c r="P95" s="81" t="str">
        <f ca="1">IF(FILAMENT[[#This Row],[ID]] &lt;&gt; "", IF(A95 = "000", A95 &amp; " | None", A95 &amp; " | " &amp; F95 &amp; " | " &amp; B95 &amp; " | " &amp; E95  &amp; " | " &amp; H95 &amp; "g | " &amp; I95 &amp; "mm"), "")</f>
        <v/>
      </c>
    </row>
    <row r="96" spans="1:16" ht="22.5" customHeight="1">
      <c r="A96" s="108" t="str">
        <f ca="1">IF(FILAMENT[[#This Row],[PRODUCT]] &lt;&gt; "", IF(ROW() = 2, "000", TEXT(INDIRECT("A" &amp; ROW() - 1) + 1, "000")), "")</f>
        <v/>
      </c>
      <c r="B96" s="85"/>
      <c r="C96" s="85"/>
      <c r="D96" s="86"/>
      <c r="E96" s="87"/>
      <c r="F96" s="85"/>
      <c r="G96" s="88"/>
      <c r="H96" s="88"/>
      <c r="I96" s="88"/>
      <c r="J96" s="89"/>
      <c r="K96" s="89"/>
      <c r="L96" s="83">
        <f t="shared" si="3"/>
        <v>0</v>
      </c>
      <c r="M96" s="89"/>
      <c r="N96" s="83">
        <f t="shared" si="4"/>
        <v>0</v>
      </c>
      <c r="O96" s="87"/>
      <c r="P96" s="81" t="str">
        <f ca="1">IF(FILAMENT[[#This Row],[ID]] &lt;&gt; "", IF(A96 = "000", A96 &amp; " | None", A96 &amp; " | " &amp; F96 &amp; " | " &amp; B96 &amp; " | " &amp; E96  &amp; " | " &amp; H96 &amp; "g | " &amp; I96 &amp; "mm"), "")</f>
        <v/>
      </c>
    </row>
    <row r="97" spans="1:16" ht="22.5" customHeight="1">
      <c r="A97" s="108" t="str">
        <f ca="1">IF(FILAMENT[[#This Row],[PRODUCT]] &lt;&gt; "", IF(ROW() = 2, "000", TEXT(INDIRECT("A" &amp; ROW() - 1) + 1, "000")), "")</f>
        <v/>
      </c>
      <c r="B97" s="85"/>
      <c r="C97" s="85"/>
      <c r="D97" s="86"/>
      <c r="E97" s="87"/>
      <c r="F97" s="85"/>
      <c r="G97" s="88"/>
      <c r="H97" s="88"/>
      <c r="I97" s="88"/>
      <c r="J97" s="89"/>
      <c r="K97" s="89"/>
      <c r="L97" s="83">
        <f t="shared" si="3"/>
        <v>0</v>
      </c>
      <c r="M97" s="89"/>
      <c r="N97" s="83">
        <f t="shared" si="4"/>
        <v>0</v>
      </c>
      <c r="O97" s="87"/>
      <c r="P97" s="81" t="str">
        <f ca="1">IF(FILAMENT[[#This Row],[ID]] &lt;&gt; "", IF(A97 = "000", A97 &amp; " | None", A97 &amp; " | " &amp; F97 &amp; " | " &amp; B97 &amp; " | " &amp; E97  &amp; " | " &amp; H97 &amp; "g | " &amp; I97 &amp; "mm"), "")</f>
        <v/>
      </c>
    </row>
    <row r="98" spans="1:16" ht="22.5" customHeight="1">
      <c r="A98" s="108" t="str">
        <f ca="1">IF(FILAMENT[[#This Row],[PRODUCT]] &lt;&gt; "", IF(ROW() = 2, "000", TEXT(INDIRECT("A" &amp; ROW() - 1) + 1, "000")), "")</f>
        <v/>
      </c>
      <c r="B98" s="85"/>
      <c r="C98" s="85"/>
      <c r="D98" s="86"/>
      <c r="E98" s="87"/>
      <c r="F98" s="85"/>
      <c r="G98" s="88"/>
      <c r="H98" s="88"/>
      <c r="I98" s="88"/>
      <c r="J98" s="89"/>
      <c r="K98" s="89"/>
      <c r="L98" s="83">
        <f t="shared" si="3"/>
        <v>0</v>
      </c>
      <c r="M98" s="89"/>
      <c r="N98" s="83">
        <f t="shared" si="4"/>
        <v>0</v>
      </c>
      <c r="O98" s="87"/>
      <c r="P98" s="81" t="str">
        <f ca="1">IF(FILAMENT[[#This Row],[ID]] &lt;&gt; "", IF(A98 = "000", A98 &amp; " | None", A98 &amp; " | " &amp; F98 &amp; " | " &amp; B98 &amp; " | " &amp; E98  &amp; " | " &amp; H98 &amp; "g | " &amp; I98 &amp; "mm"), "")</f>
        <v/>
      </c>
    </row>
    <row r="99" spans="1:16" ht="22.5" customHeight="1">
      <c r="A99" s="108" t="str">
        <f ca="1">IF(FILAMENT[[#This Row],[PRODUCT]] &lt;&gt; "", IF(ROW() = 2, "000", TEXT(INDIRECT("A" &amp; ROW() - 1) + 1, "000")), "")</f>
        <v/>
      </c>
      <c r="B99" s="85"/>
      <c r="C99" s="85"/>
      <c r="D99" s="86"/>
      <c r="E99" s="87"/>
      <c r="F99" s="85"/>
      <c r="G99" s="88"/>
      <c r="H99" s="88"/>
      <c r="I99" s="88"/>
      <c r="J99" s="89"/>
      <c r="K99" s="89"/>
      <c r="L99" s="83">
        <f t="shared" si="3"/>
        <v>0</v>
      </c>
      <c r="M99" s="89"/>
      <c r="N99" s="83">
        <f t="shared" si="4"/>
        <v>0</v>
      </c>
      <c r="O99" s="87"/>
      <c r="P99" s="81" t="str">
        <f ca="1">IF(FILAMENT[[#This Row],[ID]] &lt;&gt; "", IF(A99 = "000", A99 &amp; " | None", A99 &amp; " | " &amp; F99 &amp; " | " &amp; B99 &amp; " | " &amp; E99  &amp; " | " &amp; H99 &amp; "g | " &amp; I99 &amp; "mm"), "")</f>
        <v/>
      </c>
    </row>
    <row r="100" spans="1:16" ht="22.5" customHeight="1">
      <c r="A100" s="108" t="str">
        <f ca="1">IF(FILAMENT[[#This Row],[PRODUCT]] &lt;&gt; "", IF(ROW() = 2, "000", TEXT(INDIRECT("A" &amp; ROW() - 1) + 1, "000")), "")</f>
        <v/>
      </c>
      <c r="B100" s="85"/>
      <c r="C100" s="85"/>
      <c r="D100" s="86"/>
      <c r="E100" s="87"/>
      <c r="F100" s="85"/>
      <c r="G100" s="88"/>
      <c r="H100" s="88"/>
      <c r="I100" s="88"/>
      <c r="J100" s="89"/>
      <c r="K100" s="89"/>
      <c r="L100" s="83">
        <f t="shared" si="3"/>
        <v>0</v>
      </c>
      <c r="M100" s="89"/>
      <c r="N100" s="83">
        <f t="shared" si="4"/>
        <v>0</v>
      </c>
      <c r="O100" s="87"/>
      <c r="P100" s="81" t="str">
        <f ca="1">IF(FILAMENT[[#This Row],[ID]] &lt;&gt; "", IF(A100 = "000", A100 &amp; " | None", A100 &amp; " | " &amp; F100 &amp; " | " &amp; B100 &amp; " | " &amp; E100  &amp; " | " &amp; H100 &amp; "g | " &amp; I100 &amp; "mm"), "")</f>
        <v/>
      </c>
    </row>
    <row r="101" spans="1:16" ht="22.5" customHeight="1">
      <c r="A101" s="108" t="str">
        <f ca="1">IF(FILAMENT[[#This Row],[PRODUCT]] &lt;&gt; "", IF(ROW() = 2, "000", TEXT(INDIRECT("A" &amp; ROW() - 1) + 1, "000")), "")</f>
        <v/>
      </c>
      <c r="B101" s="85"/>
      <c r="C101" s="85"/>
      <c r="D101" s="86"/>
      <c r="E101" s="87"/>
      <c r="F101" s="85"/>
      <c r="G101" s="88"/>
      <c r="H101" s="88"/>
      <c r="I101" s="88"/>
      <c r="J101" s="89"/>
      <c r="K101" s="89"/>
      <c r="L101" s="83">
        <f t="shared" si="3"/>
        <v>0</v>
      </c>
      <c r="M101" s="89"/>
      <c r="N101" s="83">
        <f t="shared" si="4"/>
        <v>0</v>
      </c>
      <c r="O101" s="87"/>
      <c r="P101" s="81" t="str">
        <f ca="1">IF(FILAMENT[[#This Row],[ID]] &lt;&gt; "", IF(A101 = "000", A101 &amp; " | None", A101 &amp; " | " &amp; F101 &amp; " | " &amp; B101 &amp; " | " &amp; E101  &amp; " | " &amp; H101 &amp; "g | " &amp; I101 &amp; "mm"), "")</f>
        <v/>
      </c>
    </row>
    <row r="102" spans="1:16" ht="22.5" customHeight="1">
      <c r="A102" s="108" t="str">
        <f ca="1">IF(FILAMENT[[#This Row],[PRODUCT]] &lt;&gt; "", IF(ROW() = 2, "000", TEXT(INDIRECT("A" &amp; ROW() - 1) + 1, "000")), "")</f>
        <v/>
      </c>
      <c r="B102" s="85"/>
      <c r="C102" s="85"/>
      <c r="D102" s="86"/>
      <c r="E102" s="87"/>
      <c r="F102" s="85"/>
      <c r="G102" s="88"/>
      <c r="H102" s="88"/>
      <c r="I102" s="88"/>
      <c r="J102" s="89"/>
      <c r="K102" s="89"/>
      <c r="L102" s="83">
        <f t="shared" si="3"/>
        <v>0</v>
      </c>
      <c r="M102" s="89"/>
      <c r="N102" s="83">
        <f t="shared" si="4"/>
        <v>0</v>
      </c>
      <c r="O102" s="87"/>
      <c r="P102" s="81" t="str">
        <f ca="1">IF(FILAMENT[[#This Row],[ID]] &lt;&gt; "", IF(A102 = "000", A102 &amp; " | None", A102 &amp; " | " &amp; F102 &amp; " | " &amp; B102 &amp; " | " &amp; E102  &amp; " | " &amp; H102 &amp; "g | " &amp; I102 &amp; "mm"), "")</f>
        <v/>
      </c>
    </row>
    <row r="103" spans="1:16" ht="22.5" customHeight="1">
      <c r="A103" s="108" t="str">
        <f ca="1">IF(FILAMENT[[#This Row],[PRODUCT]] &lt;&gt; "", IF(ROW() = 2, "000", TEXT(INDIRECT("A" &amp; ROW() - 1) + 1, "000")), "")</f>
        <v/>
      </c>
      <c r="B103" s="85"/>
      <c r="C103" s="85"/>
      <c r="D103" s="86"/>
      <c r="E103" s="87"/>
      <c r="F103" s="85"/>
      <c r="G103" s="88"/>
      <c r="H103" s="88"/>
      <c r="I103" s="88"/>
      <c r="J103" s="89"/>
      <c r="K103" s="89"/>
      <c r="L103" s="83">
        <f t="shared" si="3"/>
        <v>0</v>
      </c>
      <c r="M103" s="89"/>
      <c r="N103" s="83">
        <f t="shared" si="4"/>
        <v>0</v>
      </c>
      <c r="O103" s="87"/>
      <c r="P103" s="81" t="str">
        <f ca="1">IF(FILAMENT[[#This Row],[ID]] &lt;&gt; "", IF(A103 = "000", A103 &amp; " | None", A103 &amp; " | " &amp; F103 &amp; " | " &amp; B103 &amp; " | " &amp; E103  &amp; " | " &amp; H103 &amp; "g | " &amp; I103 &amp; "mm"), "")</f>
        <v/>
      </c>
    </row>
    <row r="104" spans="1:16" ht="22.5" customHeight="1">
      <c r="A104" s="108" t="str">
        <f ca="1">IF(FILAMENT[[#This Row],[PRODUCT]] &lt;&gt; "", IF(ROW() = 2, "000", TEXT(INDIRECT("A" &amp; ROW() - 1) + 1, "000")), "")</f>
        <v/>
      </c>
      <c r="B104" s="85"/>
      <c r="C104" s="85"/>
      <c r="D104" s="86"/>
      <c r="E104" s="87"/>
      <c r="F104" s="85"/>
      <c r="G104" s="88"/>
      <c r="H104" s="88"/>
      <c r="I104" s="88"/>
      <c r="J104" s="89"/>
      <c r="K104" s="89"/>
      <c r="L104" s="83">
        <f t="shared" si="3"/>
        <v>0</v>
      </c>
      <c r="M104" s="89"/>
      <c r="N104" s="83">
        <f t="shared" si="4"/>
        <v>0</v>
      </c>
      <c r="O104" s="87"/>
      <c r="P104" s="81" t="str">
        <f ca="1">IF(FILAMENT[[#This Row],[ID]] &lt;&gt; "", IF(A104 = "000", A104 &amp; " | None", A104 &amp; " | " &amp; F104 &amp; " | " &amp; B104 &amp; " | " &amp; E104  &amp; " | " &amp; H104 &amp; "g | " &amp; I104 &amp; "mm"), "")</f>
        <v/>
      </c>
    </row>
    <row r="105" spans="1:16" ht="22.5" customHeight="1">
      <c r="A105" s="108" t="str">
        <f ca="1">IF(FILAMENT[[#This Row],[PRODUCT]] &lt;&gt; "", IF(ROW() = 2, "000", TEXT(INDIRECT("A" &amp; ROW() - 1) + 1, "000")), "")</f>
        <v/>
      </c>
      <c r="B105" s="85"/>
      <c r="C105" s="85"/>
      <c r="D105" s="86"/>
      <c r="E105" s="87"/>
      <c r="F105" s="85"/>
      <c r="G105" s="88"/>
      <c r="H105" s="88"/>
      <c r="I105" s="88"/>
      <c r="J105" s="89"/>
      <c r="K105" s="89"/>
      <c r="L105" s="83">
        <f t="shared" si="3"/>
        <v>0</v>
      </c>
      <c r="M105" s="89"/>
      <c r="N105" s="83">
        <f t="shared" si="4"/>
        <v>0</v>
      </c>
      <c r="O105" s="87"/>
      <c r="P105" s="81" t="str">
        <f ca="1">IF(FILAMENT[[#This Row],[ID]] &lt;&gt; "", IF(A105 = "000", A105 &amp; " | None", A105 &amp; " | " &amp; F105 &amp; " | " &amp; B105 &amp; " | " &amp; E105  &amp; " | " &amp; H105 &amp; "g | " &amp; I105 &amp; "mm"), "")</f>
        <v/>
      </c>
    </row>
    <row r="106" spans="1:16" ht="22.5" customHeight="1">
      <c r="A106" s="108" t="str">
        <f ca="1">IF(FILAMENT[[#This Row],[PRODUCT]] &lt;&gt; "", IF(ROW() = 2, "000", TEXT(INDIRECT("A" &amp; ROW() - 1) + 1, "000")), "")</f>
        <v/>
      </c>
      <c r="B106" s="85"/>
      <c r="C106" s="85"/>
      <c r="D106" s="86"/>
      <c r="E106" s="87"/>
      <c r="F106" s="85"/>
      <c r="G106" s="88"/>
      <c r="H106" s="88"/>
      <c r="I106" s="88"/>
      <c r="J106" s="89"/>
      <c r="K106" s="89"/>
      <c r="L106" s="83">
        <f t="shared" si="3"/>
        <v>0</v>
      </c>
      <c r="M106" s="89"/>
      <c r="N106" s="83">
        <f t="shared" si="4"/>
        <v>0</v>
      </c>
      <c r="O106" s="87"/>
      <c r="P106" s="81" t="str">
        <f ca="1">IF(FILAMENT[[#This Row],[ID]] &lt;&gt; "", IF(A106 = "000", A106 &amp; " | None", A106 &amp; " | " &amp; F106 &amp; " | " &amp; B106 &amp; " | " &amp; E106  &amp; " | " &amp; H106 &amp; "g | " &amp; I106 &amp; "mm"), "")</f>
        <v/>
      </c>
    </row>
    <row r="107" spans="1:16" ht="22.5" customHeight="1">
      <c r="A107" s="108" t="str">
        <f ca="1">IF(FILAMENT[[#This Row],[PRODUCT]] &lt;&gt; "", IF(ROW() = 2, "000", TEXT(INDIRECT("A" &amp; ROW() - 1) + 1, "000")), "")</f>
        <v/>
      </c>
      <c r="B107" s="85"/>
      <c r="C107" s="85"/>
      <c r="D107" s="86"/>
      <c r="E107" s="87"/>
      <c r="F107" s="85"/>
      <c r="G107" s="88"/>
      <c r="H107" s="88"/>
      <c r="I107" s="88"/>
      <c r="J107" s="89"/>
      <c r="K107" s="89"/>
      <c r="L107" s="83">
        <f t="shared" si="3"/>
        <v>0</v>
      </c>
      <c r="M107" s="89"/>
      <c r="N107" s="83">
        <f t="shared" si="4"/>
        <v>0</v>
      </c>
      <c r="O107" s="87"/>
      <c r="P107" s="81" t="str">
        <f ca="1">IF(FILAMENT[[#This Row],[ID]] &lt;&gt; "", IF(A107 = "000", A107 &amp; " | None", A107 &amp; " | " &amp; F107 &amp; " | " &amp; B107 &amp; " | " &amp; E107  &amp; " | " &amp; H107 &amp; "g | " &amp; I107 &amp; "mm"), "")</f>
        <v/>
      </c>
    </row>
    <row r="108" spans="1:16" ht="22.5" customHeight="1">
      <c r="A108" s="108" t="str">
        <f ca="1">IF(FILAMENT[[#This Row],[PRODUCT]] &lt;&gt; "", IF(ROW() = 2, "000", TEXT(INDIRECT("A" &amp; ROW() - 1) + 1, "000")), "")</f>
        <v/>
      </c>
      <c r="B108" s="85"/>
      <c r="C108" s="85"/>
      <c r="D108" s="86"/>
      <c r="E108" s="87"/>
      <c r="F108" s="85"/>
      <c r="G108" s="88"/>
      <c r="H108" s="88"/>
      <c r="I108" s="88"/>
      <c r="J108" s="89"/>
      <c r="K108" s="89"/>
      <c r="L108" s="83">
        <f t="shared" si="3"/>
        <v>0</v>
      </c>
      <c r="M108" s="89"/>
      <c r="N108" s="83">
        <f t="shared" si="4"/>
        <v>0</v>
      </c>
      <c r="O108" s="87"/>
      <c r="P108" s="81" t="str">
        <f ca="1">IF(FILAMENT[[#This Row],[ID]] &lt;&gt; "", IF(A108 = "000", A108 &amp; " | None", A108 &amp; " | " &amp; F108 &amp; " | " &amp; B108 &amp; " | " &amp; E108  &amp; " | " &amp; H108 &amp; "g | " &amp; I108 &amp; "mm"), "")</f>
        <v/>
      </c>
    </row>
    <row r="109" spans="1:16" ht="22.5" customHeight="1">
      <c r="A109" s="108" t="str">
        <f ca="1">IF(FILAMENT[[#This Row],[PRODUCT]] &lt;&gt; "", IF(ROW() = 2, "000", TEXT(INDIRECT("A" &amp; ROW() - 1) + 1, "000")), "")</f>
        <v/>
      </c>
      <c r="B109" s="85"/>
      <c r="C109" s="85"/>
      <c r="D109" s="86"/>
      <c r="E109" s="87"/>
      <c r="F109" s="85"/>
      <c r="G109" s="88"/>
      <c r="H109" s="88"/>
      <c r="I109" s="88"/>
      <c r="J109" s="89"/>
      <c r="K109" s="89"/>
      <c r="L109" s="83">
        <f t="shared" si="3"/>
        <v>0</v>
      </c>
      <c r="M109" s="89"/>
      <c r="N109" s="83">
        <f t="shared" si="4"/>
        <v>0</v>
      </c>
      <c r="O109" s="87"/>
      <c r="P109" s="81" t="str">
        <f ca="1">IF(FILAMENT[[#This Row],[ID]] &lt;&gt; "", IF(A109 = "000", A109 &amp; " | None", A109 &amp; " | " &amp; F109 &amp; " | " &amp; B109 &amp; " | " &amp; E109  &amp; " | " &amp; H109 &amp; "g | " &amp; I109 &amp; "mm"), "")</f>
        <v/>
      </c>
    </row>
    <row r="110" spans="1:16" ht="22.5" customHeight="1">
      <c r="A110" s="108" t="str">
        <f ca="1">IF(FILAMENT[[#This Row],[PRODUCT]] &lt;&gt; "", IF(ROW() = 2, "000", TEXT(INDIRECT("A" &amp; ROW() - 1) + 1, "000")), "")</f>
        <v/>
      </c>
      <c r="B110" s="85"/>
      <c r="C110" s="85"/>
      <c r="D110" s="86"/>
      <c r="E110" s="87"/>
      <c r="F110" s="85"/>
      <c r="G110" s="88"/>
      <c r="H110" s="88"/>
      <c r="I110" s="88"/>
      <c r="J110" s="89"/>
      <c r="K110" s="89"/>
      <c r="L110" s="83">
        <f t="shared" si="3"/>
        <v>0</v>
      </c>
      <c r="M110" s="89"/>
      <c r="N110" s="83">
        <f t="shared" si="4"/>
        <v>0</v>
      </c>
      <c r="O110" s="87"/>
      <c r="P110" s="81" t="str">
        <f ca="1">IF(FILAMENT[[#This Row],[ID]] &lt;&gt; "", IF(A110 = "000", A110 &amp; " | None", A110 &amp; " | " &amp; F110 &amp; " | " &amp; B110 &amp; " | " &amp; E110  &amp; " | " &amp; H110 &amp; "g | " &amp; I110 &amp; "mm"), "")</f>
        <v/>
      </c>
    </row>
    <row r="111" spans="1:16" ht="22.5" customHeight="1">
      <c r="A111" s="108" t="str">
        <f ca="1">IF(FILAMENT[[#This Row],[PRODUCT]] &lt;&gt; "", IF(ROW() = 2, "000", TEXT(INDIRECT("A" &amp; ROW() - 1) + 1, "000")), "")</f>
        <v/>
      </c>
      <c r="B111" s="85"/>
      <c r="C111" s="85"/>
      <c r="D111" s="86"/>
      <c r="E111" s="87"/>
      <c r="F111" s="85"/>
      <c r="G111" s="88"/>
      <c r="H111" s="88"/>
      <c r="I111" s="88"/>
      <c r="J111" s="89"/>
      <c r="K111" s="89"/>
      <c r="L111" s="83">
        <f t="shared" si="3"/>
        <v>0</v>
      </c>
      <c r="M111" s="89"/>
      <c r="N111" s="83">
        <f t="shared" si="4"/>
        <v>0</v>
      </c>
      <c r="O111" s="87"/>
      <c r="P111" s="81" t="str">
        <f ca="1">IF(FILAMENT[[#This Row],[ID]] &lt;&gt; "", IF(A111 = "000", A111 &amp; " | None", A111 &amp; " | " &amp; F111 &amp; " | " &amp; B111 &amp; " | " &amp; E111  &amp; " | " &amp; H111 &amp; "g | " &amp; I111 &amp; "mm"), "")</f>
        <v/>
      </c>
    </row>
    <row r="112" spans="1:16" ht="22.5" customHeight="1">
      <c r="A112" s="108" t="str">
        <f ca="1">IF(FILAMENT[[#This Row],[PRODUCT]] &lt;&gt; "", IF(ROW() = 2, "000", TEXT(INDIRECT("A" &amp; ROW() - 1) + 1, "000")), "")</f>
        <v/>
      </c>
      <c r="B112" s="85"/>
      <c r="C112" s="85"/>
      <c r="D112" s="86"/>
      <c r="E112" s="87"/>
      <c r="F112" s="85"/>
      <c r="G112" s="88"/>
      <c r="H112" s="88"/>
      <c r="I112" s="88"/>
      <c r="J112" s="89"/>
      <c r="K112" s="89"/>
      <c r="L112" s="83">
        <f t="shared" si="3"/>
        <v>0</v>
      </c>
      <c r="M112" s="89"/>
      <c r="N112" s="83">
        <f t="shared" si="4"/>
        <v>0</v>
      </c>
      <c r="O112" s="87"/>
      <c r="P112" s="81" t="str">
        <f ca="1">IF(FILAMENT[[#This Row],[ID]] &lt;&gt; "", IF(A112 = "000", A112 &amp; " | None", A112 &amp; " | " &amp; F112 &amp; " | " &amp; B112 &amp; " | " &amp; E112  &amp; " | " &amp; H112 &amp; "g | " &amp; I112 &amp; "mm"), "")</f>
        <v/>
      </c>
    </row>
    <row r="113" spans="1:16" ht="22.5" customHeight="1">
      <c r="A113" s="108" t="str">
        <f ca="1">IF(FILAMENT[[#This Row],[PRODUCT]] &lt;&gt; "", IF(ROW() = 2, "000", TEXT(INDIRECT("A" &amp; ROW() - 1) + 1, "000")), "")</f>
        <v/>
      </c>
      <c r="B113" s="85"/>
      <c r="C113" s="85"/>
      <c r="D113" s="86"/>
      <c r="E113" s="87"/>
      <c r="F113" s="85"/>
      <c r="G113" s="88"/>
      <c r="H113" s="88"/>
      <c r="I113" s="88"/>
      <c r="J113" s="89"/>
      <c r="K113" s="89"/>
      <c r="L113" s="83">
        <f t="shared" si="3"/>
        <v>0</v>
      </c>
      <c r="M113" s="89"/>
      <c r="N113" s="83">
        <f t="shared" si="4"/>
        <v>0</v>
      </c>
      <c r="O113" s="87"/>
      <c r="P113" s="81" t="str">
        <f ca="1">IF(FILAMENT[[#This Row],[ID]] &lt;&gt; "", IF(A113 = "000", A113 &amp; " | None", A113 &amp; " | " &amp; F113 &amp; " | " &amp; B113 &amp; " | " &amp; E113  &amp; " | " &amp; H113 &amp; "g | " &amp; I113 &amp; "mm"), "")</f>
        <v/>
      </c>
    </row>
    <row r="114" spans="1:16" ht="22.5" customHeight="1">
      <c r="A114" s="108" t="str">
        <f ca="1">IF(FILAMENT[[#This Row],[PRODUCT]] &lt;&gt; "", IF(ROW() = 2, "000", TEXT(INDIRECT("A" &amp; ROW() - 1) + 1, "000")), "")</f>
        <v/>
      </c>
      <c r="B114" s="85"/>
      <c r="C114" s="85"/>
      <c r="D114" s="86"/>
      <c r="E114" s="87"/>
      <c r="F114" s="85"/>
      <c r="G114" s="88"/>
      <c r="H114" s="88"/>
      <c r="I114" s="88"/>
      <c r="J114" s="89"/>
      <c r="K114" s="89"/>
      <c r="L114" s="83">
        <f t="shared" si="3"/>
        <v>0</v>
      </c>
      <c r="M114" s="89"/>
      <c r="N114" s="83">
        <f t="shared" si="4"/>
        <v>0</v>
      </c>
      <c r="O114" s="87"/>
      <c r="P114" s="81" t="str">
        <f ca="1">IF(FILAMENT[[#This Row],[ID]] &lt;&gt; "", IF(A114 = "000", A114 &amp; " | None", A114 &amp; " | " &amp; F114 &amp; " | " &amp; B114 &amp; " | " &amp; E114  &amp; " | " &amp; H114 &amp; "g | " &amp; I114 &amp; "mm"), "")</f>
        <v/>
      </c>
    </row>
    <row r="115" spans="1:16" ht="22.5" customHeight="1">
      <c r="A115" s="108" t="str">
        <f ca="1">IF(FILAMENT[[#This Row],[PRODUCT]] &lt;&gt; "", IF(ROW() = 2, "000", TEXT(INDIRECT("A" &amp; ROW() - 1) + 1, "000")), "")</f>
        <v/>
      </c>
      <c r="B115" s="85"/>
      <c r="C115" s="85"/>
      <c r="D115" s="86"/>
      <c r="E115" s="87"/>
      <c r="F115" s="85"/>
      <c r="G115" s="88"/>
      <c r="H115" s="88"/>
      <c r="I115" s="88"/>
      <c r="J115" s="89"/>
      <c r="K115" s="89"/>
      <c r="L115" s="83">
        <f t="shared" si="3"/>
        <v>0</v>
      </c>
      <c r="M115" s="89"/>
      <c r="N115" s="83">
        <f t="shared" si="4"/>
        <v>0</v>
      </c>
      <c r="O115" s="87"/>
      <c r="P115" s="81" t="str">
        <f ca="1">IF(FILAMENT[[#This Row],[ID]] &lt;&gt; "", IF(A115 = "000", A115 &amp; " | None", A115 &amp; " | " &amp; F115 &amp; " | " &amp; B115 &amp; " | " &amp; E115  &amp; " | " &amp; H115 &amp; "g | " &amp; I115 &amp; "mm"), "")</f>
        <v/>
      </c>
    </row>
    <row r="116" spans="1:16" ht="22.5" customHeight="1">
      <c r="A116" s="108" t="str">
        <f ca="1">IF(FILAMENT[[#This Row],[PRODUCT]] &lt;&gt; "", IF(ROW() = 2, "000", TEXT(INDIRECT("A" &amp; ROW() - 1) + 1, "000")), "")</f>
        <v/>
      </c>
      <c r="B116" s="85"/>
      <c r="C116" s="85"/>
      <c r="D116" s="86"/>
      <c r="E116" s="87"/>
      <c r="F116" s="85"/>
      <c r="G116" s="88"/>
      <c r="H116" s="88"/>
      <c r="I116" s="88"/>
      <c r="J116" s="89"/>
      <c r="K116" s="89"/>
      <c r="L116" s="83">
        <f t="shared" si="3"/>
        <v>0</v>
      </c>
      <c r="M116" s="89"/>
      <c r="N116" s="83">
        <f t="shared" si="4"/>
        <v>0</v>
      </c>
      <c r="O116" s="87"/>
      <c r="P116" s="81" t="str">
        <f ca="1">IF(FILAMENT[[#This Row],[ID]] &lt;&gt; "", IF(A116 = "000", A116 &amp; " | None", A116 &amp; " | " &amp; F116 &amp; " | " &amp; B116 &amp; " | " &amp; E116  &amp; " | " &amp; H116 &amp; "g | " &amp; I116 &amp; "mm"), "")</f>
        <v/>
      </c>
    </row>
    <row r="117" spans="1:16" ht="22.5" customHeight="1">
      <c r="A117" s="108" t="str">
        <f ca="1">IF(FILAMENT[[#This Row],[PRODUCT]] &lt;&gt; "", IF(ROW() = 2, "000", TEXT(INDIRECT("A" &amp; ROW() - 1) + 1, "000")), "")</f>
        <v/>
      </c>
      <c r="B117" s="85"/>
      <c r="C117" s="85"/>
      <c r="D117" s="86"/>
      <c r="E117" s="87"/>
      <c r="F117" s="85"/>
      <c r="G117" s="88"/>
      <c r="H117" s="88"/>
      <c r="I117" s="88"/>
      <c r="J117" s="89"/>
      <c r="K117" s="89"/>
      <c r="L117" s="83">
        <f t="shared" si="3"/>
        <v>0</v>
      </c>
      <c r="M117" s="89"/>
      <c r="N117" s="83">
        <f t="shared" si="4"/>
        <v>0</v>
      </c>
      <c r="O117" s="87"/>
      <c r="P117" s="81" t="str">
        <f ca="1">IF(FILAMENT[[#This Row],[ID]] &lt;&gt; "", IF(A117 = "000", A117 &amp; " | None", A117 &amp; " | " &amp; F117 &amp; " | " &amp; B117 &amp; " | " &amp; E117  &amp; " | " &amp; H117 &amp; "g | " &amp; I117 &amp; "mm"), "")</f>
        <v/>
      </c>
    </row>
    <row r="118" spans="1:16" ht="22.5" customHeight="1">
      <c r="A118" s="108" t="str">
        <f ca="1">IF(FILAMENT[[#This Row],[PRODUCT]] &lt;&gt; "", IF(ROW() = 2, "000", TEXT(INDIRECT("A" &amp; ROW() - 1) + 1, "000")), "")</f>
        <v/>
      </c>
      <c r="B118" s="85"/>
      <c r="C118" s="85"/>
      <c r="D118" s="86"/>
      <c r="E118" s="87"/>
      <c r="F118" s="85"/>
      <c r="G118" s="88"/>
      <c r="H118" s="88"/>
      <c r="I118" s="88"/>
      <c r="J118" s="89"/>
      <c r="K118" s="89"/>
      <c r="L118" s="83">
        <f t="shared" si="3"/>
        <v>0</v>
      </c>
      <c r="M118" s="89"/>
      <c r="N118" s="83">
        <f t="shared" si="4"/>
        <v>0</v>
      </c>
      <c r="O118" s="87"/>
      <c r="P118" s="81" t="str">
        <f ca="1">IF(FILAMENT[[#This Row],[ID]] &lt;&gt; "", IF(A118 = "000", A118 &amp; " | None", A118 &amp; " | " &amp; F118 &amp; " | " &amp; B118 &amp; " | " &amp; E118  &amp; " | " &amp; H118 &amp; "g | " &amp; I118 &amp; "mm"), "")</f>
        <v/>
      </c>
    </row>
    <row r="119" spans="1:16" ht="22.5" customHeight="1">
      <c r="A119" s="108" t="str">
        <f ca="1">IF(FILAMENT[[#This Row],[PRODUCT]] &lt;&gt; "", IF(ROW() = 2, "000", TEXT(INDIRECT("A" &amp; ROW() - 1) + 1, "000")), "")</f>
        <v/>
      </c>
      <c r="B119" s="85"/>
      <c r="C119" s="85"/>
      <c r="D119" s="86"/>
      <c r="E119" s="87"/>
      <c r="F119" s="85"/>
      <c r="G119" s="88"/>
      <c r="H119" s="88"/>
      <c r="I119" s="88"/>
      <c r="J119" s="89"/>
      <c r="K119" s="89"/>
      <c r="L119" s="83">
        <f t="shared" si="3"/>
        <v>0</v>
      </c>
      <c r="M119" s="89"/>
      <c r="N119" s="83">
        <f t="shared" si="4"/>
        <v>0</v>
      </c>
      <c r="O119" s="87"/>
      <c r="P119" s="81" t="str">
        <f ca="1">IF(FILAMENT[[#This Row],[ID]] &lt;&gt; "", IF(A119 = "000", A119 &amp; " | None", A119 &amp; " | " &amp; F119 &amp; " | " &amp; B119 &amp; " | " &amp; E119  &amp; " | " &amp; H119 &amp; "g | " &amp; I119 &amp; "mm"), "")</f>
        <v/>
      </c>
    </row>
    <row r="120" spans="1:16" ht="22.5" customHeight="1">
      <c r="A120" s="108" t="str">
        <f ca="1">IF(FILAMENT[[#This Row],[PRODUCT]] &lt;&gt; "", IF(ROW() = 2, "000", TEXT(INDIRECT("A" &amp; ROW() - 1) + 1, "000")), "")</f>
        <v/>
      </c>
      <c r="B120" s="85"/>
      <c r="C120" s="85"/>
      <c r="D120" s="86"/>
      <c r="E120" s="87"/>
      <c r="F120" s="85"/>
      <c r="G120" s="88"/>
      <c r="H120" s="88"/>
      <c r="I120" s="88"/>
      <c r="J120" s="89"/>
      <c r="K120" s="89"/>
      <c r="L120" s="83">
        <f t="shared" si="3"/>
        <v>0</v>
      </c>
      <c r="M120" s="89"/>
      <c r="N120" s="83">
        <f t="shared" si="4"/>
        <v>0</v>
      </c>
      <c r="O120" s="87"/>
      <c r="P120" s="81" t="str">
        <f ca="1">IF(FILAMENT[[#This Row],[ID]] &lt;&gt; "", IF(A120 = "000", A120 &amp; " | None", A120 &amp; " | " &amp; F120 &amp; " | " &amp; B120 &amp; " | " &amp; E120  &amp; " | " &amp; H120 &amp; "g | " &amp; I120 &amp; "mm"), "")</f>
        <v/>
      </c>
    </row>
    <row r="121" spans="1:16" ht="22.5" customHeight="1">
      <c r="A121" s="108" t="str">
        <f ca="1">IF(FILAMENT[[#This Row],[PRODUCT]] &lt;&gt; "", IF(ROW() = 2, "000", TEXT(INDIRECT("A" &amp; ROW() - 1) + 1, "000")), "")</f>
        <v/>
      </c>
      <c r="B121" s="85"/>
      <c r="C121" s="85"/>
      <c r="D121" s="86"/>
      <c r="E121" s="87"/>
      <c r="F121" s="85"/>
      <c r="G121" s="88"/>
      <c r="H121" s="88"/>
      <c r="I121" s="88"/>
      <c r="J121" s="89"/>
      <c r="K121" s="89"/>
      <c r="L121" s="83">
        <f t="shared" si="3"/>
        <v>0</v>
      </c>
      <c r="M121" s="89"/>
      <c r="N121" s="83">
        <f t="shared" si="4"/>
        <v>0</v>
      </c>
      <c r="O121" s="87"/>
      <c r="P121" s="81" t="str">
        <f ca="1">IF(FILAMENT[[#This Row],[ID]] &lt;&gt; "", IF(A121 = "000", A121 &amp; " | None", A121 &amp; " | " &amp; F121 &amp; " | " &amp; B121 &amp; " | " &amp; E121  &amp; " | " &amp; H121 &amp; "g | " &amp; I121 &amp; "mm"), "")</f>
        <v/>
      </c>
    </row>
    <row r="122" spans="1:16" ht="22.5" customHeight="1">
      <c r="A122" s="108" t="str">
        <f ca="1">IF(FILAMENT[[#This Row],[PRODUCT]] &lt;&gt; "", IF(ROW() = 2, "000", TEXT(INDIRECT("A" &amp; ROW() - 1) + 1, "000")), "")</f>
        <v/>
      </c>
      <c r="B122" s="85"/>
      <c r="C122" s="85"/>
      <c r="D122" s="86"/>
      <c r="E122" s="87"/>
      <c r="F122" s="85"/>
      <c r="G122" s="88"/>
      <c r="H122" s="88"/>
      <c r="I122" s="88"/>
      <c r="J122" s="89"/>
      <c r="K122" s="89"/>
      <c r="L122" s="83">
        <f t="shared" si="3"/>
        <v>0</v>
      </c>
      <c r="M122" s="89"/>
      <c r="N122" s="83">
        <f t="shared" si="4"/>
        <v>0</v>
      </c>
      <c r="O122" s="87"/>
      <c r="P122" s="81" t="str">
        <f ca="1">IF(FILAMENT[[#This Row],[ID]] &lt;&gt; "", IF(A122 = "000", A122 &amp; " | None", A122 &amp; " | " &amp; F122 &amp; " | " &amp; B122 &amp; " | " &amp; E122  &amp; " | " &amp; H122 &amp; "g | " &amp; I122 &amp; "mm"), "")</f>
        <v/>
      </c>
    </row>
    <row r="123" spans="1:16" ht="22.5" customHeight="1">
      <c r="A123" s="108" t="str">
        <f ca="1">IF(FILAMENT[[#This Row],[PRODUCT]] &lt;&gt; "", IF(ROW() = 2, "000", TEXT(INDIRECT("A" &amp; ROW() - 1) + 1, "000")), "")</f>
        <v/>
      </c>
      <c r="B123" s="85"/>
      <c r="C123" s="85"/>
      <c r="D123" s="86"/>
      <c r="E123" s="87"/>
      <c r="F123" s="85"/>
      <c r="G123" s="88"/>
      <c r="H123" s="88"/>
      <c r="I123" s="88"/>
      <c r="J123" s="89"/>
      <c r="K123" s="89"/>
      <c r="L123" s="83">
        <f t="shared" si="3"/>
        <v>0</v>
      </c>
      <c r="M123" s="89"/>
      <c r="N123" s="83">
        <f t="shared" si="4"/>
        <v>0</v>
      </c>
      <c r="O123" s="87"/>
      <c r="P123" s="81" t="str">
        <f ca="1">IF(FILAMENT[[#This Row],[ID]] &lt;&gt; "", IF(A123 = "000", A123 &amp; " | None", A123 &amp; " | " &amp; F123 &amp; " | " &amp; B123 &amp; " | " &amp; E123  &amp; " | " &amp; H123 &amp; "g | " &amp; I123 &amp; "mm"), "")</f>
        <v/>
      </c>
    </row>
    <row r="124" spans="1:16" ht="22.5" customHeight="1">
      <c r="A124" s="108" t="str">
        <f ca="1">IF(FILAMENT[[#This Row],[PRODUCT]] &lt;&gt; "", IF(ROW() = 2, "000", TEXT(INDIRECT("A" &amp; ROW() - 1) + 1, "000")), "")</f>
        <v/>
      </c>
      <c r="B124" s="85"/>
      <c r="C124" s="85"/>
      <c r="D124" s="86"/>
      <c r="E124" s="87"/>
      <c r="F124" s="85"/>
      <c r="G124" s="88"/>
      <c r="H124" s="88"/>
      <c r="I124" s="88"/>
      <c r="J124" s="89"/>
      <c r="K124" s="89"/>
      <c r="L124" s="83">
        <f t="shared" si="3"/>
        <v>0</v>
      </c>
      <c r="M124" s="89"/>
      <c r="N124" s="83">
        <f t="shared" si="4"/>
        <v>0</v>
      </c>
      <c r="O124" s="87"/>
      <c r="P124" s="81" t="str">
        <f ca="1">IF(FILAMENT[[#This Row],[ID]] &lt;&gt; "", IF(A124 = "000", A124 &amp; " | None", A124 &amp; " | " &amp; F124 &amp; " | " &amp; B124 &amp; " | " &amp; E124  &amp; " | " &amp; H124 &amp; "g | " &amp; I124 &amp; "mm"), "")</f>
        <v/>
      </c>
    </row>
    <row r="125" spans="1:16" ht="22.5" customHeight="1">
      <c r="A125" s="108" t="str">
        <f ca="1">IF(FILAMENT[[#This Row],[PRODUCT]] &lt;&gt; "", IF(ROW() = 2, "000", TEXT(INDIRECT("A" &amp; ROW() - 1) + 1, "000")), "")</f>
        <v/>
      </c>
      <c r="B125" s="85"/>
      <c r="C125" s="85"/>
      <c r="D125" s="86"/>
      <c r="E125" s="87"/>
      <c r="F125" s="85"/>
      <c r="G125" s="88"/>
      <c r="H125" s="88"/>
      <c r="I125" s="88"/>
      <c r="J125" s="89"/>
      <c r="K125" s="89"/>
      <c r="L125" s="83">
        <f t="shared" si="3"/>
        <v>0</v>
      </c>
      <c r="M125" s="89"/>
      <c r="N125" s="83">
        <f t="shared" si="4"/>
        <v>0</v>
      </c>
      <c r="O125" s="87"/>
      <c r="P125" s="81" t="str">
        <f ca="1">IF(FILAMENT[[#This Row],[ID]] &lt;&gt; "", IF(A125 = "000", A125 &amp; " | None", A125 &amp; " | " &amp; F125 &amp; " | " &amp; B125 &amp; " | " &amp; E125  &amp; " | " &amp; H125 &amp; "g | " &amp; I125 &amp; "mm"), "")</f>
        <v/>
      </c>
    </row>
    <row r="126" spans="1:16" ht="22.5" customHeight="1">
      <c r="A126" s="108" t="str">
        <f ca="1">IF(FILAMENT[[#This Row],[PRODUCT]] &lt;&gt; "", IF(ROW() = 2, "000", TEXT(INDIRECT("A" &amp; ROW() - 1) + 1, "000")), "")</f>
        <v/>
      </c>
      <c r="B126" s="85"/>
      <c r="C126" s="85"/>
      <c r="D126" s="86"/>
      <c r="E126" s="87"/>
      <c r="F126" s="85"/>
      <c r="G126" s="88"/>
      <c r="H126" s="88"/>
      <c r="I126" s="88"/>
      <c r="J126" s="89"/>
      <c r="K126" s="89"/>
      <c r="L126" s="83">
        <f t="shared" si="3"/>
        <v>0</v>
      </c>
      <c r="M126" s="89"/>
      <c r="N126" s="83">
        <f t="shared" si="4"/>
        <v>0</v>
      </c>
      <c r="O126" s="87"/>
      <c r="P126" s="81" t="str">
        <f ca="1">IF(FILAMENT[[#This Row],[ID]] &lt;&gt; "", IF(A126 = "000", A126 &amp; " | None", A126 &amp; " | " &amp; F126 &amp; " | " &amp; B126 &amp; " | " &amp; E126  &amp; " | " &amp; H126 &amp; "g | " &amp; I126 &amp; "mm"), "")</f>
        <v/>
      </c>
    </row>
    <row r="127" spans="1:16" ht="22.5" customHeight="1">
      <c r="A127" s="108" t="str">
        <f ca="1">IF(FILAMENT[[#This Row],[PRODUCT]] &lt;&gt; "", IF(ROW() = 2, "000", TEXT(INDIRECT("A" &amp; ROW() - 1) + 1, "000")), "")</f>
        <v/>
      </c>
      <c r="B127" s="85"/>
      <c r="C127" s="85"/>
      <c r="D127" s="86"/>
      <c r="E127" s="87"/>
      <c r="F127" s="85"/>
      <c r="G127" s="88"/>
      <c r="H127" s="88"/>
      <c r="I127" s="88"/>
      <c r="J127" s="89"/>
      <c r="K127" s="89"/>
      <c r="L127" s="83">
        <f t="shared" si="3"/>
        <v>0</v>
      </c>
      <c r="M127" s="89"/>
      <c r="N127" s="83">
        <f t="shared" si="4"/>
        <v>0</v>
      </c>
      <c r="O127" s="87"/>
      <c r="P127" s="81" t="str">
        <f ca="1">IF(FILAMENT[[#This Row],[ID]] &lt;&gt; "", IF(A127 = "000", A127 &amp; " | None", A127 &amp; " | " &amp; F127 &amp; " | " &amp; B127 &amp; " | " &amp; E127  &amp; " | " &amp; H127 &amp; "g | " &amp; I127 &amp; "mm"), "")</f>
        <v/>
      </c>
    </row>
    <row r="128" spans="1:16" ht="22.5" customHeight="1">
      <c r="A128" s="108" t="str">
        <f ca="1">IF(FILAMENT[[#This Row],[PRODUCT]] &lt;&gt; "", IF(ROW() = 2, "000", TEXT(INDIRECT("A" &amp; ROW() - 1) + 1, "000")), "")</f>
        <v/>
      </c>
      <c r="B128" s="85"/>
      <c r="C128" s="85"/>
      <c r="D128" s="86"/>
      <c r="E128" s="87"/>
      <c r="F128" s="85"/>
      <c r="G128" s="88"/>
      <c r="H128" s="88"/>
      <c r="I128" s="88"/>
      <c r="J128" s="89"/>
      <c r="K128" s="89"/>
      <c r="L128" s="83">
        <f t="shared" si="3"/>
        <v>0</v>
      </c>
      <c r="M128" s="89"/>
      <c r="N128" s="83">
        <f t="shared" si="4"/>
        <v>0</v>
      </c>
      <c r="O128" s="87"/>
      <c r="P128" s="81" t="str">
        <f ca="1">IF(FILAMENT[[#This Row],[ID]] &lt;&gt; "", IF(A128 = "000", A128 &amp; " | None", A128 &amp; " | " &amp; F128 &amp; " | " &amp; B128 &amp; " | " &amp; E128  &amp; " | " &amp; H128 &amp; "g | " &amp; I128 &amp; "mm"), "")</f>
        <v/>
      </c>
    </row>
    <row r="129" spans="1:16" ht="22.5" customHeight="1">
      <c r="A129" s="108" t="str">
        <f ca="1">IF(FILAMENT[[#This Row],[PRODUCT]] &lt;&gt; "", IF(ROW() = 2, "000", TEXT(INDIRECT("A" &amp; ROW() - 1) + 1, "000")), "")</f>
        <v/>
      </c>
      <c r="B129" s="85"/>
      <c r="C129" s="85"/>
      <c r="D129" s="86"/>
      <c r="E129" s="87"/>
      <c r="F129" s="85"/>
      <c r="G129" s="88"/>
      <c r="H129" s="88"/>
      <c r="I129" s="88"/>
      <c r="J129" s="89"/>
      <c r="K129" s="89"/>
      <c r="L129" s="83">
        <f t="shared" si="3"/>
        <v>0</v>
      </c>
      <c r="M129" s="89"/>
      <c r="N129" s="83">
        <f t="shared" si="4"/>
        <v>0</v>
      </c>
      <c r="O129" s="87"/>
      <c r="P129" s="81" t="str">
        <f ca="1">IF(FILAMENT[[#This Row],[ID]] &lt;&gt; "", IF(A129 = "000", A129 &amp; " | None", A129 &amp; " | " &amp; F129 &amp; " | " &amp; B129 &amp; " | " &amp; E129  &amp; " | " &amp; H129 &amp; "g | " &amp; I129 &amp; "mm"), "")</f>
        <v/>
      </c>
    </row>
    <row r="130" spans="1:16" ht="22.5" customHeight="1">
      <c r="A130" s="108" t="str">
        <f ca="1">IF(FILAMENT[[#This Row],[PRODUCT]] &lt;&gt; "", IF(ROW() = 2, "000", TEXT(INDIRECT("A" &amp; ROW() - 1) + 1, "000")), "")</f>
        <v/>
      </c>
      <c r="B130" s="85"/>
      <c r="C130" s="85"/>
      <c r="D130" s="86"/>
      <c r="E130" s="87"/>
      <c r="F130" s="85"/>
      <c r="G130" s="88"/>
      <c r="H130" s="88"/>
      <c r="I130" s="88"/>
      <c r="J130" s="89"/>
      <c r="K130" s="89"/>
      <c r="L130" s="83">
        <f t="shared" ref="L130:L193" si="5">K130 * 0.06</f>
        <v>0</v>
      </c>
      <c r="M130" s="89"/>
      <c r="N130" s="83">
        <f t="shared" ref="N130:N193" si="6">K130 + L130 + M130</f>
        <v>0</v>
      </c>
      <c r="O130" s="87"/>
      <c r="P130" s="81" t="str">
        <f ca="1">IF(FILAMENT[[#This Row],[ID]] &lt;&gt; "", IF(A130 = "000", A130 &amp; " | None", A130 &amp; " | " &amp; F130 &amp; " | " &amp; B130 &amp; " | " &amp; E130  &amp; " | " &amp; H130 &amp; "g | " &amp; I130 &amp; "mm"), "")</f>
        <v/>
      </c>
    </row>
    <row r="131" spans="1:16" ht="22.5" customHeight="1">
      <c r="A131" s="108" t="str">
        <f ca="1">IF(FILAMENT[[#This Row],[PRODUCT]] &lt;&gt; "", IF(ROW() = 2, "000", TEXT(INDIRECT("A" &amp; ROW() - 1) + 1, "000")), "")</f>
        <v/>
      </c>
      <c r="B131" s="85"/>
      <c r="C131" s="85"/>
      <c r="D131" s="86"/>
      <c r="E131" s="87"/>
      <c r="F131" s="85"/>
      <c r="G131" s="88"/>
      <c r="H131" s="88"/>
      <c r="I131" s="88"/>
      <c r="J131" s="89"/>
      <c r="K131" s="89"/>
      <c r="L131" s="83">
        <f t="shared" si="5"/>
        <v>0</v>
      </c>
      <c r="M131" s="89"/>
      <c r="N131" s="83">
        <f t="shared" si="6"/>
        <v>0</v>
      </c>
      <c r="O131" s="87"/>
      <c r="P131" s="81" t="str">
        <f ca="1">IF(FILAMENT[[#This Row],[ID]] &lt;&gt; "", IF(A131 = "000", A131 &amp; " | None", A131 &amp; " | " &amp; F131 &amp; " | " &amp; B131 &amp; " | " &amp; E131  &amp; " | " &amp; H131 &amp; "g | " &amp; I131 &amp; "mm"), "")</f>
        <v/>
      </c>
    </row>
    <row r="132" spans="1:16" ht="22.5" customHeight="1">
      <c r="A132" s="108" t="str">
        <f ca="1">IF(FILAMENT[[#This Row],[PRODUCT]] &lt;&gt; "", IF(ROW() = 2, "000", TEXT(INDIRECT("A" &amp; ROW() - 1) + 1, "000")), "")</f>
        <v/>
      </c>
      <c r="B132" s="85"/>
      <c r="C132" s="85"/>
      <c r="D132" s="86"/>
      <c r="E132" s="87"/>
      <c r="F132" s="85"/>
      <c r="G132" s="88"/>
      <c r="H132" s="88"/>
      <c r="I132" s="88"/>
      <c r="J132" s="89"/>
      <c r="K132" s="89"/>
      <c r="L132" s="83">
        <f t="shared" si="5"/>
        <v>0</v>
      </c>
      <c r="M132" s="89"/>
      <c r="N132" s="83">
        <f t="shared" si="6"/>
        <v>0</v>
      </c>
      <c r="O132" s="87"/>
      <c r="P132" s="81" t="str">
        <f ca="1">IF(FILAMENT[[#This Row],[ID]] &lt;&gt; "", IF(A132 = "000", A132 &amp; " | None", A132 &amp; " | " &amp; F132 &amp; " | " &amp; B132 &amp; " | " &amp; E132  &amp; " | " &amp; H132 &amp; "g | " &amp; I132 &amp; "mm"), "")</f>
        <v/>
      </c>
    </row>
    <row r="133" spans="1:16" ht="22.5" customHeight="1">
      <c r="A133" s="108" t="str">
        <f ca="1">IF(FILAMENT[[#This Row],[PRODUCT]] &lt;&gt; "", IF(ROW() = 2, "000", TEXT(INDIRECT("A" &amp; ROW() - 1) + 1, "000")), "")</f>
        <v/>
      </c>
      <c r="B133" s="85"/>
      <c r="C133" s="85"/>
      <c r="D133" s="86"/>
      <c r="E133" s="87"/>
      <c r="F133" s="85"/>
      <c r="G133" s="88"/>
      <c r="H133" s="88"/>
      <c r="I133" s="88"/>
      <c r="J133" s="89"/>
      <c r="K133" s="89"/>
      <c r="L133" s="83">
        <f t="shared" si="5"/>
        <v>0</v>
      </c>
      <c r="M133" s="89"/>
      <c r="N133" s="83">
        <f t="shared" si="6"/>
        <v>0</v>
      </c>
      <c r="O133" s="87"/>
      <c r="P133" s="81" t="str">
        <f ca="1">IF(FILAMENT[[#This Row],[ID]] &lt;&gt; "", IF(A133 = "000", A133 &amp; " | None", A133 &amp; " | " &amp; F133 &amp; " | " &amp; B133 &amp; " | " &amp; E133  &amp; " | " &amp; H133 &amp; "g | " &amp; I133 &amp; "mm"), "")</f>
        <v/>
      </c>
    </row>
    <row r="134" spans="1:16" ht="22.5" customHeight="1">
      <c r="A134" s="108" t="str">
        <f ca="1">IF(FILAMENT[[#This Row],[PRODUCT]] &lt;&gt; "", IF(ROW() = 2, "000", TEXT(INDIRECT("A" &amp; ROW() - 1) + 1, "000")), "")</f>
        <v/>
      </c>
      <c r="B134" s="85"/>
      <c r="C134" s="85"/>
      <c r="D134" s="86"/>
      <c r="E134" s="87"/>
      <c r="F134" s="85"/>
      <c r="G134" s="88"/>
      <c r="H134" s="88"/>
      <c r="I134" s="88"/>
      <c r="J134" s="89"/>
      <c r="K134" s="89"/>
      <c r="L134" s="83">
        <f t="shared" si="5"/>
        <v>0</v>
      </c>
      <c r="M134" s="89"/>
      <c r="N134" s="83">
        <f t="shared" si="6"/>
        <v>0</v>
      </c>
      <c r="O134" s="87"/>
      <c r="P134" s="81" t="str">
        <f ca="1">IF(FILAMENT[[#This Row],[ID]] &lt;&gt; "", IF(A134 = "000", A134 &amp; " | None", A134 &amp; " | " &amp; F134 &amp; " | " &amp; B134 &amp; " | " &amp; E134  &amp; " | " &amp; H134 &amp; "g | " &amp; I134 &amp; "mm"), "")</f>
        <v/>
      </c>
    </row>
    <row r="135" spans="1:16" ht="22.5" customHeight="1">
      <c r="A135" s="108" t="str">
        <f ca="1">IF(FILAMENT[[#This Row],[PRODUCT]] &lt;&gt; "", IF(ROW() = 2, "000", TEXT(INDIRECT("A" &amp; ROW() - 1) + 1, "000")), "")</f>
        <v/>
      </c>
      <c r="B135" s="85"/>
      <c r="C135" s="85"/>
      <c r="D135" s="86"/>
      <c r="E135" s="87"/>
      <c r="F135" s="85"/>
      <c r="G135" s="88"/>
      <c r="H135" s="88"/>
      <c r="I135" s="88"/>
      <c r="J135" s="89"/>
      <c r="K135" s="89"/>
      <c r="L135" s="83">
        <f t="shared" si="5"/>
        <v>0</v>
      </c>
      <c r="M135" s="89"/>
      <c r="N135" s="83">
        <f t="shared" si="6"/>
        <v>0</v>
      </c>
      <c r="O135" s="87"/>
      <c r="P135" s="81" t="str">
        <f ca="1">IF(FILAMENT[[#This Row],[ID]] &lt;&gt; "", IF(A135 = "000", A135 &amp; " | None", A135 &amp; " | " &amp; F135 &amp; " | " &amp; B135 &amp; " | " &amp; E135  &amp; " | " &amp; H135 &amp; "g | " &amp; I135 &amp; "mm"), "")</f>
        <v/>
      </c>
    </row>
    <row r="136" spans="1:16" ht="22.5" customHeight="1">
      <c r="A136" s="108" t="str">
        <f ca="1">IF(FILAMENT[[#This Row],[PRODUCT]] &lt;&gt; "", IF(ROW() = 2, "000", TEXT(INDIRECT("A" &amp; ROW() - 1) + 1, "000")), "")</f>
        <v/>
      </c>
      <c r="B136" s="85"/>
      <c r="C136" s="85"/>
      <c r="D136" s="86"/>
      <c r="E136" s="87"/>
      <c r="F136" s="85"/>
      <c r="G136" s="88"/>
      <c r="H136" s="88"/>
      <c r="I136" s="88"/>
      <c r="J136" s="89"/>
      <c r="K136" s="89"/>
      <c r="L136" s="83">
        <f t="shared" si="5"/>
        <v>0</v>
      </c>
      <c r="M136" s="89"/>
      <c r="N136" s="83">
        <f t="shared" si="6"/>
        <v>0</v>
      </c>
      <c r="O136" s="87"/>
      <c r="P136" s="81" t="str">
        <f ca="1">IF(FILAMENT[[#This Row],[ID]] &lt;&gt; "", IF(A136 = "000", A136 &amp; " | None", A136 &amp; " | " &amp; F136 &amp; " | " &amp; B136 &amp; " | " &amp; E136  &amp; " | " &amp; H136 &amp; "g | " &amp; I136 &amp; "mm"), "")</f>
        <v/>
      </c>
    </row>
    <row r="137" spans="1:16" ht="22.5" customHeight="1">
      <c r="A137" s="108" t="str">
        <f ca="1">IF(FILAMENT[[#This Row],[PRODUCT]] &lt;&gt; "", IF(ROW() = 2, "000", TEXT(INDIRECT("A" &amp; ROW() - 1) + 1, "000")), "")</f>
        <v/>
      </c>
      <c r="B137" s="85"/>
      <c r="C137" s="85"/>
      <c r="D137" s="86"/>
      <c r="E137" s="87"/>
      <c r="F137" s="85"/>
      <c r="G137" s="88"/>
      <c r="H137" s="88"/>
      <c r="I137" s="88"/>
      <c r="J137" s="89"/>
      <c r="K137" s="89"/>
      <c r="L137" s="83">
        <f t="shared" si="5"/>
        <v>0</v>
      </c>
      <c r="M137" s="89"/>
      <c r="N137" s="83">
        <f t="shared" si="6"/>
        <v>0</v>
      </c>
      <c r="O137" s="87"/>
      <c r="P137" s="81" t="str">
        <f ca="1">IF(FILAMENT[[#This Row],[ID]] &lt;&gt; "", IF(A137 = "000", A137 &amp; " | None", A137 &amp; " | " &amp; F137 &amp; " | " &amp; B137 &amp; " | " &amp; E137  &amp; " | " &amp; H137 &amp; "g | " &amp; I137 &amp; "mm"), "")</f>
        <v/>
      </c>
    </row>
    <row r="138" spans="1:16" ht="22.5" customHeight="1">
      <c r="A138" s="108" t="str">
        <f ca="1">IF(FILAMENT[[#This Row],[PRODUCT]] &lt;&gt; "", IF(ROW() = 2, "000", TEXT(INDIRECT("A" &amp; ROW() - 1) + 1, "000")), "")</f>
        <v/>
      </c>
      <c r="B138" s="85"/>
      <c r="C138" s="85"/>
      <c r="D138" s="86"/>
      <c r="E138" s="87"/>
      <c r="F138" s="85"/>
      <c r="G138" s="88"/>
      <c r="H138" s="88"/>
      <c r="I138" s="88"/>
      <c r="J138" s="89"/>
      <c r="K138" s="89"/>
      <c r="L138" s="83">
        <f t="shared" si="5"/>
        <v>0</v>
      </c>
      <c r="M138" s="89"/>
      <c r="N138" s="83">
        <f t="shared" si="6"/>
        <v>0</v>
      </c>
      <c r="O138" s="87"/>
      <c r="P138" s="81" t="str">
        <f ca="1">IF(FILAMENT[[#This Row],[ID]] &lt;&gt; "", IF(A138 = "000", A138 &amp; " | None", A138 &amp; " | " &amp; F138 &amp; " | " &amp; B138 &amp; " | " &amp; E138  &amp; " | " &amp; H138 &amp; "g | " &amp; I138 &amp; "mm"), "")</f>
        <v/>
      </c>
    </row>
    <row r="139" spans="1:16" ht="22.5" customHeight="1">
      <c r="A139" s="108" t="str">
        <f ca="1">IF(FILAMENT[[#This Row],[PRODUCT]] &lt;&gt; "", IF(ROW() = 2, "000", TEXT(INDIRECT("A" &amp; ROW() - 1) + 1, "000")), "")</f>
        <v/>
      </c>
      <c r="B139" s="85"/>
      <c r="C139" s="85"/>
      <c r="D139" s="86"/>
      <c r="E139" s="87"/>
      <c r="F139" s="85"/>
      <c r="G139" s="88"/>
      <c r="H139" s="88"/>
      <c r="I139" s="88"/>
      <c r="J139" s="89"/>
      <c r="K139" s="89"/>
      <c r="L139" s="83">
        <f t="shared" si="5"/>
        <v>0</v>
      </c>
      <c r="M139" s="89"/>
      <c r="N139" s="83">
        <f t="shared" si="6"/>
        <v>0</v>
      </c>
      <c r="O139" s="87"/>
      <c r="P139" s="81" t="str">
        <f ca="1">IF(FILAMENT[[#This Row],[ID]] &lt;&gt; "", IF(A139 = "000", A139 &amp; " | None", A139 &amp; " | " &amp; F139 &amp; " | " &amp; B139 &amp; " | " &amp; E139  &amp; " | " &amp; H139 &amp; "g | " &amp; I139 &amp; "mm"), "")</f>
        <v/>
      </c>
    </row>
    <row r="140" spans="1:16" ht="22.5" customHeight="1">
      <c r="A140" s="108" t="str">
        <f ca="1">IF(FILAMENT[[#This Row],[PRODUCT]] &lt;&gt; "", IF(ROW() = 2, "000", TEXT(INDIRECT("A" &amp; ROW() - 1) + 1, "000")), "")</f>
        <v/>
      </c>
      <c r="B140" s="85"/>
      <c r="C140" s="85"/>
      <c r="D140" s="86"/>
      <c r="E140" s="87"/>
      <c r="F140" s="85"/>
      <c r="G140" s="88"/>
      <c r="H140" s="88"/>
      <c r="I140" s="88"/>
      <c r="J140" s="89"/>
      <c r="K140" s="89"/>
      <c r="L140" s="83">
        <f t="shared" si="5"/>
        <v>0</v>
      </c>
      <c r="M140" s="89"/>
      <c r="N140" s="83">
        <f t="shared" si="6"/>
        <v>0</v>
      </c>
      <c r="O140" s="87"/>
      <c r="P140" s="81" t="str">
        <f ca="1">IF(FILAMENT[[#This Row],[ID]] &lt;&gt; "", IF(A140 = "000", A140 &amp; " | None", A140 &amp; " | " &amp; F140 &amp; " | " &amp; B140 &amp; " | " &amp; E140  &amp; " | " &amp; H140 &amp; "g | " &amp; I140 &amp; "mm"), "")</f>
        <v/>
      </c>
    </row>
    <row r="141" spans="1:16" ht="22.5" customHeight="1">
      <c r="A141" s="108" t="str">
        <f ca="1">IF(FILAMENT[[#This Row],[PRODUCT]] &lt;&gt; "", IF(ROW() = 2, "000", TEXT(INDIRECT("A" &amp; ROW() - 1) + 1, "000")), "")</f>
        <v/>
      </c>
      <c r="B141" s="85"/>
      <c r="C141" s="85"/>
      <c r="D141" s="86"/>
      <c r="E141" s="87"/>
      <c r="F141" s="85"/>
      <c r="G141" s="88"/>
      <c r="H141" s="88"/>
      <c r="I141" s="88"/>
      <c r="J141" s="89"/>
      <c r="K141" s="89"/>
      <c r="L141" s="83">
        <f t="shared" si="5"/>
        <v>0</v>
      </c>
      <c r="M141" s="89"/>
      <c r="N141" s="83">
        <f t="shared" si="6"/>
        <v>0</v>
      </c>
      <c r="O141" s="87"/>
      <c r="P141" s="81" t="str">
        <f ca="1">IF(FILAMENT[[#This Row],[ID]] &lt;&gt; "", IF(A141 = "000", A141 &amp; " | None", A141 &amp; " | " &amp; F141 &amp; " | " &amp; B141 &amp; " | " &amp; E141  &amp; " | " &amp; H141 &amp; "g | " &amp; I141 &amp; "mm"), "")</f>
        <v/>
      </c>
    </row>
    <row r="142" spans="1:16" ht="22.5" customHeight="1">
      <c r="A142" s="108" t="str">
        <f ca="1">IF(FILAMENT[[#This Row],[PRODUCT]] &lt;&gt; "", IF(ROW() = 2, "000", TEXT(INDIRECT("A" &amp; ROW() - 1) + 1, "000")), "")</f>
        <v/>
      </c>
      <c r="B142" s="85"/>
      <c r="C142" s="85"/>
      <c r="D142" s="86"/>
      <c r="E142" s="87"/>
      <c r="F142" s="85"/>
      <c r="G142" s="88"/>
      <c r="H142" s="88"/>
      <c r="I142" s="88"/>
      <c r="J142" s="89"/>
      <c r="K142" s="89"/>
      <c r="L142" s="83">
        <f t="shared" si="5"/>
        <v>0</v>
      </c>
      <c r="M142" s="89"/>
      <c r="N142" s="83">
        <f t="shared" si="6"/>
        <v>0</v>
      </c>
      <c r="O142" s="87"/>
      <c r="P142" s="81" t="str">
        <f ca="1">IF(FILAMENT[[#This Row],[ID]] &lt;&gt; "", IF(A142 = "000", A142 &amp; " | None", A142 &amp; " | " &amp; F142 &amp; " | " &amp; B142 &amp; " | " &amp; E142  &amp; " | " &amp; H142 &amp; "g | " &amp; I142 &amp; "mm"), "")</f>
        <v/>
      </c>
    </row>
    <row r="143" spans="1:16" ht="22.5" customHeight="1">
      <c r="A143" s="108" t="str">
        <f ca="1">IF(FILAMENT[[#This Row],[PRODUCT]] &lt;&gt; "", IF(ROW() = 2, "000", TEXT(INDIRECT("A" &amp; ROW() - 1) + 1, "000")), "")</f>
        <v/>
      </c>
      <c r="B143" s="85"/>
      <c r="C143" s="85"/>
      <c r="D143" s="86"/>
      <c r="E143" s="87"/>
      <c r="F143" s="85"/>
      <c r="G143" s="88"/>
      <c r="H143" s="88"/>
      <c r="I143" s="88"/>
      <c r="J143" s="89"/>
      <c r="K143" s="89"/>
      <c r="L143" s="83">
        <f t="shared" si="5"/>
        <v>0</v>
      </c>
      <c r="M143" s="89"/>
      <c r="N143" s="83">
        <f t="shared" si="6"/>
        <v>0</v>
      </c>
      <c r="O143" s="87"/>
      <c r="P143" s="81" t="str">
        <f ca="1">IF(FILAMENT[[#This Row],[ID]] &lt;&gt; "", IF(A143 = "000", A143 &amp; " | None", A143 &amp; " | " &amp; F143 &amp; " | " &amp; B143 &amp; " | " &amp; E143  &amp; " | " &amp; H143 &amp; "g | " &amp; I143 &amp; "mm"), "")</f>
        <v/>
      </c>
    </row>
    <row r="144" spans="1:16" ht="22.5" customHeight="1">
      <c r="A144" s="108" t="str">
        <f ca="1">IF(FILAMENT[[#This Row],[PRODUCT]] &lt;&gt; "", IF(ROW() = 2, "000", TEXT(INDIRECT("A" &amp; ROW() - 1) + 1, "000")), "")</f>
        <v/>
      </c>
      <c r="B144" s="85"/>
      <c r="C144" s="85"/>
      <c r="D144" s="86"/>
      <c r="E144" s="87"/>
      <c r="F144" s="85"/>
      <c r="G144" s="88"/>
      <c r="H144" s="88"/>
      <c r="I144" s="88"/>
      <c r="J144" s="89"/>
      <c r="K144" s="89"/>
      <c r="L144" s="83">
        <f t="shared" si="5"/>
        <v>0</v>
      </c>
      <c r="M144" s="89"/>
      <c r="N144" s="83">
        <f t="shared" si="6"/>
        <v>0</v>
      </c>
      <c r="O144" s="87"/>
      <c r="P144" s="81" t="str">
        <f ca="1">IF(FILAMENT[[#This Row],[ID]] &lt;&gt; "", IF(A144 = "000", A144 &amp; " | None", A144 &amp; " | " &amp; F144 &amp; " | " &amp; B144 &amp; " | " &amp; E144  &amp; " | " &amp; H144 &amp; "g | " &amp; I144 &amp; "mm"), "")</f>
        <v/>
      </c>
    </row>
    <row r="145" spans="1:16" ht="22.5" customHeight="1">
      <c r="A145" s="108" t="str">
        <f ca="1">IF(FILAMENT[[#This Row],[PRODUCT]] &lt;&gt; "", IF(ROW() = 2, "000", TEXT(INDIRECT("A" &amp; ROW() - 1) + 1, "000")), "")</f>
        <v/>
      </c>
      <c r="B145" s="85"/>
      <c r="C145" s="85"/>
      <c r="D145" s="86"/>
      <c r="E145" s="87"/>
      <c r="F145" s="85"/>
      <c r="G145" s="88"/>
      <c r="H145" s="88"/>
      <c r="I145" s="88"/>
      <c r="J145" s="89"/>
      <c r="K145" s="89"/>
      <c r="L145" s="83">
        <f t="shared" si="5"/>
        <v>0</v>
      </c>
      <c r="M145" s="89"/>
      <c r="N145" s="83">
        <f t="shared" si="6"/>
        <v>0</v>
      </c>
      <c r="O145" s="87"/>
      <c r="P145" s="81" t="str">
        <f ca="1">IF(FILAMENT[[#This Row],[ID]] &lt;&gt; "", IF(A145 = "000", A145 &amp; " | None", A145 &amp; " | " &amp; F145 &amp; " | " &amp; B145 &amp; " | " &amp; E145  &amp; " | " &amp; H145 &amp; "g | " &amp; I145 &amp; "mm"), "")</f>
        <v/>
      </c>
    </row>
    <row r="146" spans="1:16" ht="22.5" customHeight="1">
      <c r="A146" s="108" t="str">
        <f ca="1">IF(FILAMENT[[#This Row],[PRODUCT]] &lt;&gt; "", IF(ROW() = 2, "000", TEXT(INDIRECT("A" &amp; ROW() - 1) + 1, "000")), "")</f>
        <v/>
      </c>
      <c r="B146" s="85"/>
      <c r="C146" s="85"/>
      <c r="D146" s="86"/>
      <c r="E146" s="87"/>
      <c r="F146" s="85"/>
      <c r="G146" s="88"/>
      <c r="H146" s="88"/>
      <c r="I146" s="88"/>
      <c r="J146" s="89"/>
      <c r="K146" s="89"/>
      <c r="L146" s="83">
        <f t="shared" si="5"/>
        <v>0</v>
      </c>
      <c r="M146" s="89"/>
      <c r="N146" s="83">
        <f t="shared" si="6"/>
        <v>0</v>
      </c>
      <c r="O146" s="87"/>
      <c r="P146" s="81" t="str">
        <f ca="1">IF(FILAMENT[[#This Row],[ID]] &lt;&gt; "", IF(A146 = "000", A146 &amp; " | None", A146 &amp; " | " &amp; F146 &amp; " | " &amp; B146 &amp; " | " &amp; E146  &amp; " | " &amp; H146 &amp; "g | " &amp; I146 &amp; "mm"), "")</f>
        <v/>
      </c>
    </row>
    <row r="147" spans="1:16" ht="22.5" customHeight="1">
      <c r="A147" s="108" t="str">
        <f ca="1">IF(FILAMENT[[#This Row],[PRODUCT]] &lt;&gt; "", IF(ROW() = 2, "000", TEXT(INDIRECT("A" &amp; ROW() - 1) + 1, "000")), "")</f>
        <v/>
      </c>
      <c r="B147" s="85"/>
      <c r="C147" s="85"/>
      <c r="D147" s="86"/>
      <c r="E147" s="87"/>
      <c r="F147" s="85"/>
      <c r="G147" s="88"/>
      <c r="H147" s="88"/>
      <c r="I147" s="88"/>
      <c r="J147" s="89"/>
      <c r="K147" s="89"/>
      <c r="L147" s="83">
        <f t="shared" si="5"/>
        <v>0</v>
      </c>
      <c r="M147" s="89"/>
      <c r="N147" s="83">
        <f t="shared" si="6"/>
        <v>0</v>
      </c>
      <c r="O147" s="87"/>
      <c r="P147" s="81" t="str">
        <f ca="1">IF(FILAMENT[[#This Row],[ID]] &lt;&gt; "", IF(A147 = "000", A147 &amp; " | None", A147 &amp; " | " &amp; F147 &amp; " | " &amp; B147 &amp; " | " &amp; E147  &amp; " | " &amp; H147 &amp; "g | " &amp; I147 &amp; "mm"), "")</f>
        <v/>
      </c>
    </row>
    <row r="148" spans="1:16" ht="22.5" customHeight="1">
      <c r="A148" s="108" t="str">
        <f ca="1">IF(FILAMENT[[#This Row],[PRODUCT]] &lt;&gt; "", IF(ROW() = 2, "000", TEXT(INDIRECT("A" &amp; ROW() - 1) + 1, "000")), "")</f>
        <v/>
      </c>
      <c r="B148" s="85"/>
      <c r="C148" s="85"/>
      <c r="D148" s="86"/>
      <c r="E148" s="87"/>
      <c r="F148" s="85"/>
      <c r="G148" s="88"/>
      <c r="H148" s="88"/>
      <c r="I148" s="88"/>
      <c r="J148" s="89"/>
      <c r="K148" s="89"/>
      <c r="L148" s="83">
        <f t="shared" si="5"/>
        <v>0</v>
      </c>
      <c r="M148" s="89"/>
      <c r="N148" s="83">
        <f t="shared" si="6"/>
        <v>0</v>
      </c>
      <c r="O148" s="87"/>
      <c r="P148" s="81" t="str">
        <f ca="1">IF(FILAMENT[[#This Row],[ID]] &lt;&gt; "", IF(A148 = "000", A148 &amp; " | None", A148 &amp; " | " &amp; F148 &amp; " | " &amp; B148 &amp; " | " &amp; E148  &amp; " | " &amp; H148 &amp; "g | " &amp; I148 &amp; "mm"), "")</f>
        <v/>
      </c>
    </row>
    <row r="149" spans="1:16" ht="22.5" customHeight="1">
      <c r="A149" s="108" t="str">
        <f ca="1">IF(FILAMENT[[#This Row],[PRODUCT]] &lt;&gt; "", IF(ROW() = 2, "000", TEXT(INDIRECT("A" &amp; ROW() - 1) + 1, "000")), "")</f>
        <v/>
      </c>
      <c r="B149" s="85"/>
      <c r="C149" s="85"/>
      <c r="D149" s="86"/>
      <c r="E149" s="87"/>
      <c r="F149" s="85"/>
      <c r="G149" s="88"/>
      <c r="H149" s="88"/>
      <c r="I149" s="88"/>
      <c r="J149" s="89"/>
      <c r="K149" s="89"/>
      <c r="L149" s="83">
        <f t="shared" si="5"/>
        <v>0</v>
      </c>
      <c r="M149" s="89"/>
      <c r="N149" s="83">
        <f t="shared" si="6"/>
        <v>0</v>
      </c>
      <c r="O149" s="87"/>
      <c r="P149" s="81" t="str">
        <f ca="1">IF(FILAMENT[[#This Row],[ID]] &lt;&gt; "", IF(A149 = "000", A149 &amp; " | None", A149 &amp; " | " &amp; F149 &amp; " | " &amp; B149 &amp; " | " &amp; E149  &amp; " | " &amp; H149 &amp; "g | " &amp; I149 &amp; "mm"), "")</f>
        <v/>
      </c>
    </row>
    <row r="150" spans="1:16" ht="22.5" customHeight="1">
      <c r="A150" s="108" t="str">
        <f ca="1">IF(FILAMENT[[#This Row],[PRODUCT]] &lt;&gt; "", IF(ROW() = 2, "000", TEXT(INDIRECT("A" &amp; ROW() - 1) + 1, "000")), "")</f>
        <v/>
      </c>
      <c r="B150" s="85"/>
      <c r="C150" s="85"/>
      <c r="D150" s="86"/>
      <c r="E150" s="87"/>
      <c r="F150" s="85"/>
      <c r="G150" s="88"/>
      <c r="H150" s="88"/>
      <c r="I150" s="88"/>
      <c r="J150" s="89"/>
      <c r="K150" s="89"/>
      <c r="L150" s="83">
        <f t="shared" si="5"/>
        <v>0</v>
      </c>
      <c r="M150" s="89"/>
      <c r="N150" s="83">
        <f t="shared" si="6"/>
        <v>0</v>
      </c>
      <c r="O150" s="87"/>
      <c r="P150" s="81" t="str">
        <f ca="1">IF(FILAMENT[[#This Row],[ID]] &lt;&gt; "", IF(A150 = "000", A150 &amp; " | None", A150 &amp; " | " &amp; F150 &amp; " | " &amp; B150 &amp; " | " &amp; E150  &amp; " | " &amp; H150 &amp; "g | " &amp; I150 &amp; "mm"), "")</f>
        <v/>
      </c>
    </row>
    <row r="151" spans="1:16" ht="22.5" customHeight="1">
      <c r="A151" s="108" t="str">
        <f ca="1">IF(FILAMENT[[#This Row],[PRODUCT]] &lt;&gt; "", IF(ROW() = 2, "000", TEXT(INDIRECT("A" &amp; ROW() - 1) + 1, "000")), "")</f>
        <v/>
      </c>
      <c r="B151" s="85"/>
      <c r="C151" s="85"/>
      <c r="D151" s="86"/>
      <c r="E151" s="87"/>
      <c r="F151" s="85"/>
      <c r="G151" s="88"/>
      <c r="H151" s="88"/>
      <c r="I151" s="88"/>
      <c r="J151" s="89"/>
      <c r="K151" s="89"/>
      <c r="L151" s="83">
        <f t="shared" si="5"/>
        <v>0</v>
      </c>
      <c r="M151" s="89"/>
      <c r="N151" s="83">
        <f t="shared" si="6"/>
        <v>0</v>
      </c>
      <c r="O151" s="87"/>
      <c r="P151" s="81" t="str">
        <f ca="1">IF(FILAMENT[[#This Row],[ID]] &lt;&gt; "", IF(A151 = "000", A151 &amp; " | None", A151 &amp; " | " &amp; F151 &amp; " | " &amp; B151 &amp; " | " &amp; E151  &amp; " | " &amp; H151 &amp; "g | " &amp; I151 &amp; "mm"), "")</f>
        <v/>
      </c>
    </row>
    <row r="152" spans="1:16" ht="22.5" customHeight="1">
      <c r="A152" s="108" t="str">
        <f ca="1">IF(FILAMENT[[#This Row],[PRODUCT]] &lt;&gt; "", IF(ROW() = 2, "000", TEXT(INDIRECT("A" &amp; ROW() - 1) + 1, "000")), "")</f>
        <v/>
      </c>
      <c r="B152" s="85"/>
      <c r="C152" s="85"/>
      <c r="D152" s="86"/>
      <c r="E152" s="87"/>
      <c r="F152" s="85"/>
      <c r="G152" s="88"/>
      <c r="H152" s="88"/>
      <c r="I152" s="88"/>
      <c r="J152" s="89"/>
      <c r="K152" s="89"/>
      <c r="L152" s="83">
        <f t="shared" si="5"/>
        <v>0</v>
      </c>
      <c r="M152" s="89"/>
      <c r="N152" s="83">
        <f t="shared" si="6"/>
        <v>0</v>
      </c>
      <c r="O152" s="87"/>
      <c r="P152" s="81" t="str">
        <f ca="1">IF(FILAMENT[[#This Row],[ID]] &lt;&gt; "", IF(A152 = "000", A152 &amp; " | None", A152 &amp; " | " &amp; F152 &amp; " | " &amp; B152 &amp; " | " &amp; E152  &amp; " | " &amp; H152 &amp; "g | " &amp; I152 &amp; "mm"), "")</f>
        <v/>
      </c>
    </row>
    <row r="153" spans="1:16" ht="22.5" customHeight="1">
      <c r="A153" s="108" t="str">
        <f ca="1">IF(FILAMENT[[#This Row],[PRODUCT]] &lt;&gt; "", IF(ROW() = 2, "000", TEXT(INDIRECT("A" &amp; ROW() - 1) + 1, "000")), "")</f>
        <v/>
      </c>
      <c r="B153" s="85"/>
      <c r="C153" s="85"/>
      <c r="D153" s="86"/>
      <c r="E153" s="87"/>
      <c r="F153" s="85"/>
      <c r="G153" s="88"/>
      <c r="H153" s="88"/>
      <c r="I153" s="88"/>
      <c r="J153" s="89"/>
      <c r="K153" s="89"/>
      <c r="L153" s="83">
        <f t="shared" si="5"/>
        <v>0</v>
      </c>
      <c r="M153" s="89"/>
      <c r="N153" s="83">
        <f t="shared" si="6"/>
        <v>0</v>
      </c>
      <c r="O153" s="87"/>
      <c r="P153" s="81" t="str">
        <f ca="1">IF(FILAMENT[[#This Row],[ID]] &lt;&gt; "", IF(A153 = "000", A153 &amp; " | None", A153 &amp; " | " &amp; F153 &amp; " | " &amp; B153 &amp; " | " &amp; E153  &amp; " | " &amp; H153 &amp; "g | " &amp; I153 &amp; "mm"), "")</f>
        <v/>
      </c>
    </row>
    <row r="154" spans="1:16" ht="22.5" customHeight="1">
      <c r="A154" s="108" t="str">
        <f ca="1">IF(FILAMENT[[#This Row],[PRODUCT]] &lt;&gt; "", IF(ROW() = 2, "000", TEXT(INDIRECT("A" &amp; ROW() - 1) + 1, "000")), "")</f>
        <v/>
      </c>
      <c r="B154" s="85"/>
      <c r="C154" s="85"/>
      <c r="D154" s="86"/>
      <c r="E154" s="87"/>
      <c r="F154" s="85"/>
      <c r="G154" s="88"/>
      <c r="H154" s="88"/>
      <c r="I154" s="88"/>
      <c r="J154" s="89"/>
      <c r="K154" s="89"/>
      <c r="L154" s="83">
        <f t="shared" si="5"/>
        <v>0</v>
      </c>
      <c r="M154" s="89"/>
      <c r="N154" s="83">
        <f t="shared" si="6"/>
        <v>0</v>
      </c>
      <c r="O154" s="87"/>
      <c r="P154" s="81" t="str">
        <f ca="1">IF(FILAMENT[[#This Row],[ID]] &lt;&gt; "", IF(A154 = "000", A154 &amp; " | None", A154 &amp; " | " &amp; F154 &amp; " | " &amp; B154 &amp; " | " &amp; E154  &amp; " | " &amp; H154 &amp; "g | " &amp; I154 &amp; "mm"), "")</f>
        <v/>
      </c>
    </row>
    <row r="155" spans="1:16" ht="22.5" customHeight="1">
      <c r="A155" s="108" t="str">
        <f ca="1">IF(FILAMENT[[#This Row],[PRODUCT]] &lt;&gt; "", IF(ROW() = 2, "000", TEXT(INDIRECT("A" &amp; ROW() - 1) + 1, "000")), "")</f>
        <v/>
      </c>
      <c r="B155" s="85"/>
      <c r="C155" s="85"/>
      <c r="D155" s="86"/>
      <c r="E155" s="87"/>
      <c r="F155" s="85"/>
      <c r="G155" s="88"/>
      <c r="H155" s="88"/>
      <c r="I155" s="88"/>
      <c r="J155" s="89"/>
      <c r="K155" s="89"/>
      <c r="L155" s="83">
        <f t="shared" si="5"/>
        <v>0</v>
      </c>
      <c r="M155" s="89"/>
      <c r="N155" s="83">
        <f t="shared" si="6"/>
        <v>0</v>
      </c>
      <c r="O155" s="87"/>
      <c r="P155" s="81" t="str">
        <f ca="1">IF(FILAMENT[[#This Row],[ID]] &lt;&gt; "", IF(A155 = "000", A155 &amp; " | None", A155 &amp; " | " &amp; F155 &amp; " | " &amp; B155 &amp; " | " &amp; E155  &amp; " | " &amp; H155 &amp; "g | " &amp; I155 &amp; "mm"), "")</f>
        <v/>
      </c>
    </row>
    <row r="156" spans="1:16" ht="22.5" customHeight="1">
      <c r="A156" s="108" t="str">
        <f ca="1">IF(FILAMENT[[#This Row],[PRODUCT]] &lt;&gt; "", IF(ROW() = 2, "000", TEXT(INDIRECT("A" &amp; ROW() - 1) + 1, "000")), "")</f>
        <v/>
      </c>
      <c r="B156" s="85"/>
      <c r="C156" s="85"/>
      <c r="D156" s="86"/>
      <c r="E156" s="87"/>
      <c r="F156" s="85"/>
      <c r="G156" s="88"/>
      <c r="H156" s="88"/>
      <c r="I156" s="88"/>
      <c r="J156" s="89"/>
      <c r="K156" s="89"/>
      <c r="L156" s="83">
        <f t="shared" si="5"/>
        <v>0</v>
      </c>
      <c r="M156" s="89"/>
      <c r="N156" s="83">
        <f t="shared" si="6"/>
        <v>0</v>
      </c>
      <c r="O156" s="87"/>
      <c r="P156" s="81" t="str">
        <f ca="1">IF(FILAMENT[[#This Row],[ID]] &lt;&gt; "", IF(A156 = "000", A156 &amp; " | None", A156 &amp; " | " &amp; F156 &amp; " | " &amp; B156 &amp; " | " &amp; E156  &amp; " | " &amp; H156 &amp; "g | " &amp; I156 &amp; "mm"), "")</f>
        <v/>
      </c>
    </row>
    <row r="157" spans="1:16" ht="22.5" customHeight="1">
      <c r="A157" s="108" t="str">
        <f ca="1">IF(FILAMENT[[#This Row],[PRODUCT]] &lt;&gt; "", IF(ROW() = 2, "000", TEXT(INDIRECT("A" &amp; ROW() - 1) + 1, "000")), "")</f>
        <v/>
      </c>
      <c r="B157" s="85"/>
      <c r="C157" s="85"/>
      <c r="D157" s="86"/>
      <c r="E157" s="87"/>
      <c r="F157" s="85"/>
      <c r="G157" s="88"/>
      <c r="H157" s="88"/>
      <c r="I157" s="88"/>
      <c r="J157" s="89"/>
      <c r="K157" s="89"/>
      <c r="L157" s="83">
        <f t="shared" si="5"/>
        <v>0</v>
      </c>
      <c r="M157" s="89"/>
      <c r="N157" s="83">
        <f t="shared" si="6"/>
        <v>0</v>
      </c>
      <c r="O157" s="87"/>
      <c r="P157" s="81" t="str">
        <f ca="1">IF(FILAMENT[[#This Row],[ID]] &lt;&gt; "", IF(A157 = "000", A157 &amp; " | None", A157 &amp; " | " &amp; F157 &amp; " | " &amp; B157 &amp; " | " &amp; E157  &amp; " | " &amp; H157 &amp; "g | " &amp; I157 &amp; "mm"), "")</f>
        <v/>
      </c>
    </row>
    <row r="158" spans="1:16" ht="22.5" customHeight="1">
      <c r="A158" s="108" t="str">
        <f ca="1">IF(FILAMENT[[#This Row],[PRODUCT]] &lt;&gt; "", IF(ROW() = 2, "000", TEXT(INDIRECT("A" &amp; ROW() - 1) + 1, "000")), "")</f>
        <v/>
      </c>
      <c r="B158" s="85"/>
      <c r="C158" s="85"/>
      <c r="D158" s="86"/>
      <c r="E158" s="87"/>
      <c r="F158" s="85"/>
      <c r="G158" s="88"/>
      <c r="H158" s="88"/>
      <c r="I158" s="88"/>
      <c r="J158" s="89"/>
      <c r="K158" s="89"/>
      <c r="L158" s="83">
        <f t="shared" si="5"/>
        <v>0</v>
      </c>
      <c r="M158" s="89"/>
      <c r="N158" s="83">
        <f t="shared" si="6"/>
        <v>0</v>
      </c>
      <c r="O158" s="87"/>
      <c r="P158" s="81" t="str">
        <f ca="1">IF(FILAMENT[[#This Row],[ID]] &lt;&gt; "", IF(A158 = "000", A158 &amp; " | None", A158 &amp; " | " &amp; F158 &amp; " | " &amp; B158 &amp; " | " &amp; E158  &amp; " | " &amp; H158 &amp; "g | " &amp; I158 &amp; "mm"), "")</f>
        <v/>
      </c>
    </row>
    <row r="159" spans="1:16" ht="22.5" customHeight="1">
      <c r="A159" s="108" t="str">
        <f ca="1">IF(FILAMENT[[#This Row],[PRODUCT]] &lt;&gt; "", IF(ROW() = 2, "000", TEXT(INDIRECT("A" &amp; ROW() - 1) + 1, "000")), "")</f>
        <v/>
      </c>
      <c r="B159" s="85"/>
      <c r="C159" s="85"/>
      <c r="D159" s="86"/>
      <c r="E159" s="87"/>
      <c r="F159" s="85"/>
      <c r="G159" s="88"/>
      <c r="H159" s="88"/>
      <c r="I159" s="88"/>
      <c r="J159" s="89"/>
      <c r="K159" s="89"/>
      <c r="L159" s="83">
        <f t="shared" si="5"/>
        <v>0</v>
      </c>
      <c r="M159" s="89"/>
      <c r="N159" s="83">
        <f t="shared" si="6"/>
        <v>0</v>
      </c>
      <c r="O159" s="87"/>
      <c r="P159" s="81" t="str">
        <f ca="1">IF(FILAMENT[[#This Row],[ID]] &lt;&gt; "", IF(A159 = "000", A159 &amp; " | None", A159 &amp; " | " &amp; F159 &amp; " | " &amp; B159 &amp; " | " &amp; E159  &amp; " | " &amp; H159 &amp; "g | " &amp; I159 &amp; "mm"), "")</f>
        <v/>
      </c>
    </row>
    <row r="160" spans="1:16" ht="22.5" customHeight="1">
      <c r="A160" s="108" t="str">
        <f ca="1">IF(FILAMENT[[#This Row],[PRODUCT]] &lt;&gt; "", IF(ROW() = 2, "000", TEXT(INDIRECT("A" &amp; ROW() - 1) + 1, "000")), "")</f>
        <v/>
      </c>
      <c r="B160" s="85"/>
      <c r="C160" s="85"/>
      <c r="D160" s="86"/>
      <c r="E160" s="87"/>
      <c r="F160" s="85"/>
      <c r="G160" s="88"/>
      <c r="H160" s="88"/>
      <c r="I160" s="88"/>
      <c r="J160" s="89"/>
      <c r="K160" s="89"/>
      <c r="L160" s="83">
        <f t="shared" si="5"/>
        <v>0</v>
      </c>
      <c r="M160" s="89"/>
      <c r="N160" s="83">
        <f t="shared" si="6"/>
        <v>0</v>
      </c>
      <c r="O160" s="87"/>
      <c r="P160" s="81" t="str">
        <f ca="1">IF(FILAMENT[[#This Row],[ID]] &lt;&gt; "", IF(A160 = "000", A160 &amp; " | None", A160 &amp; " | " &amp; F160 &amp; " | " &amp; B160 &amp; " | " &amp; E160  &amp; " | " &amp; H160 &amp; "g | " &amp; I160 &amp; "mm"), "")</f>
        <v/>
      </c>
    </row>
    <row r="161" spans="1:16" ht="22.5" customHeight="1">
      <c r="A161" s="108" t="str">
        <f ca="1">IF(FILAMENT[[#This Row],[PRODUCT]] &lt;&gt; "", IF(ROW() = 2, "000", TEXT(INDIRECT("A" &amp; ROW() - 1) + 1, "000")), "")</f>
        <v/>
      </c>
      <c r="B161" s="85"/>
      <c r="C161" s="85"/>
      <c r="D161" s="86"/>
      <c r="E161" s="87"/>
      <c r="F161" s="85"/>
      <c r="G161" s="88"/>
      <c r="H161" s="88"/>
      <c r="I161" s="88"/>
      <c r="J161" s="89"/>
      <c r="K161" s="89"/>
      <c r="L161" s="83">
        <f t="shared" si="5"/>
        <v>0</v>
      </c>
      <c r="M161" s="89"/>
      <c r="N161" s="83">
        <f t="shared" si="6"/>
        <v>0</v>
      </c>
      <c r="O161" s="87"/>
      <c r="P161" s="81" t="str">
        <f ca="1">IF(FILAMENT[[#This Row],[ID]] &lt;&gt; "", IF(A161 = "000", A161 &amp; " | None", A161 &amp; " | " &amp; F161 &amp; " | " &amp; B161 &amp; " | " &amp; E161  &amp; " | " &amp; H161 &amp; "g | " &amp; I161 &amp; "mm"), "")</f>
        <v/>
      </c>
    </row>
    <row r="162" spans="1:16" ht="22.5" customHeight="1">
      <c r="A162" s="108" t="str">
        <f ca="1">IF(FILAMENT[[#This Row],[PRODUCT]] &lt;&gt; "", IF(ROW() = 2, "000", TEXT(INDIRECT("A" &amp; ROW() - 1) + 1, "000")), "")</f>
        <v/>
      </c>
      <c r="B162" s="85"/>
      <c r="C162" s="85"/>
      <c r="D162" s="86"/>
      <c r="E162" s="87"/>
      <c r="F162" s="85"/>
      <c r="G162" s="88"/>
      <c r="H162" s="88"/>
      <c r="I162" s="88"/>
      <c r="J162" s="89"/>
      <c r="K162" s="89"/>
      <c r="L162" s="83">
        <f t="shared" si="5"/>
        <v>0</v>
      </c>
      <c r="M162" s="89"/>
      <c r="N162" s="83">
        <f t="shared" si="6"/>
        <v>0</v>
      </c>
      <c r="O162" s="87"/>
      <c r="P162" s="81" t="str">
        <f ca="1">IF(FILAMENT[[#This Row],[ID]] &lt;&gt; "", IF(A162 = "000", A162 &amp; " | None", A162 &amp; " | " &amp; F162 &amp; " | " &amp; B162 &amp; " | " &amp; E162  &amp; " | " &amp; H162 &amp; "g | " &amp; I162 &amp; "mm"), "")</f>
        <v/>
      </c>
    </row>
    <row r="163" spans="1:16" ht="22.5" customHeight="1">
      <c r="A163" s="108" t="str">
        <f ca="1">IF(FILAMENT[[#This Row],[PRODUCT]] &lt;&gt; "", IF(ROW() = 2, "000", TEXT(INDIRECT("A" &amp; ROW() - 1) + 1, "000")), "")</f>
        <v/>
      </c>
      <c r="B163" s="85"/>
      <c r="C163" s="85"/>
      <c r="D163" s="86"/>
      <c r="E163" s="87"/>
      <c r="F163" s="85"/>
      <c r="G163" s="88"/>
      <c r="H163" s="88"/>
      <c r="I163" s="88"/>
      <c r="J163" s="89"/>
      <c r="K163" s="89"/>
      <c r="L163" s="83">
        <f t="shared" si="5"/>
        <v>0</v>
      </c>
      <c r="M163" s="89"/>
      <c r="N163" s="83">
        <f t="shared" si="6"/>
        <v>0</v>
      </c>
      <c r="O163" s="87"/>
      <c r="P163" s="81" t="str">
        <f ca="1">IF(FILAMENT[[#This Row],[ID]] &lt;&gt; "", IF(A163 = "000", A163 &amp; " | None", A163 &amp; " | " &amp; F163 &amp; " | " &amp; B163 &amp; " | " &amp; E163  &amp; " | " &amp; H163 &amp; "g | " &amp; I163 &amp; "mm"), "")</f>
        <v/>
      </c>
    </row>
    <row r="164" spans="1:16" ht="22.5" customHeight="1">
      <c r="A164" s="108" t="str">
        <f ca="1">IF(FILAMENT[[#This Row],[PRODUCT]] &lt;&gt; "", IF(ROW() = 2, "000", TEXT(INDIRECT("A" &amp; ROW() - 1) + 1, "000")), "")</f>
        <v/>
      </c>
      <c r="B164" s="85"/>
      <c r="C164" s="85"/>
      <c r="D164" s="86"/>
      <c r="E164" s="87"/>
      <c r="F164" s="85"/>
      <c r="G164" s="88"/>
      <c r="H164" s="88"/>
      <c r="I164" s="88"/>
      <c r="J164" s="89"/>
      <c r="K164" s="89"/>
      <c r="L164" s="83">
        <f t="shared" si="5"/>
        <v>0</v>
      </c>
      <c r="M164" s="89"/>
      <c r="N164" s="83">
        <f t="shared" si="6"/>
        <v>0</v>
      </c>
      <c r="O164" s="87"/>
      <c r="P164" s="81" t="str">
        <f ca="1">IF(FILAMENT[[#This Row],[ID]] &lt;&gt; "", IF(A164 = "000", A164 &amp; " | None", A164 &amp; " | " &amp; F164 &amp; " | " &amp; B164 &amp; " | " &amp; E164  &amp; " | " &amp; H164 &amp; "g | " &amp; I164 &amp; "mm"), "")</f>
        <v/>
      </c>
    </row>
    <row r="165" spans="1:16" ht="22.5" customHeight="1">
      <c r="A165" s="108" t="str">
        <f ca="1">IF(FILAMENT[[#This Row],[PRODUCT]] &lt;&gt; "", IF(ROW() = 2, "000", TEXT(INDIRECT("A" &amp; ROW() - 1) + 1, "000")), "")</f>
        <v/>
      </c>
      <c r="B165" s="85"/>
      <c r="C165" s="85"/>
      <c r="D165" s="86"/>
      <c r="E165" s="87"/>
      <c r="F165" s="85"/>
      <c r="G165" s="88"/>
      <c r="H165" s="88"/>
      <c r="I165" s="88"/>
      <c r="J165" s="89"/>
      <c r="K165" s="89"/>
      <c r="L165" s="83">
        <f t="shared" si="5"/>
        <v>0</v>
      </c>
      <c r="M165" s="89"/>
      <c r="N165" s="83">
        <f t="shared" si="6"/>
        <v>0</v>
      </c>
      <c r="O165" s="87"/>
      <c r="P165" s="81" t="str">
        <f ca="1">IF(FILAMENT[[#This Row],[ID]] &lt;&gt; "", IF(A165 = "000", A165 &amp; " | None", A165 &amp; " | " &amp; F165 &amp; " | " &amp; B165 &amp; " | " &amp; E165  &amp; " | " &amp; H165 &amp; "g | " &amp; I165 &amp; "mm"), "")</f>
        <v/>
      </c>
    </row>
    <row r="166" spans="1:16" ht="22.5" customHeight="1">
      <c r="A166" s="108" t="str">
        <f ca="1">IF(FILAMENT[[#This Row],[PRODUCT]] &lt;&gt; "", IF(ROW() = 2, "000", TEXT(INDIRECT("A" &amp; ROW() - 1) + 1, "000")), "")</f>
        <v/>
      </c>
      <c r="B166" s="85"/>
      <c r="C166" s="85"/>
      <c r="D166" s="86"/>
      <c r="E166" s="87"/>
      <c r="F166" s="85"/>
      <c r="G166" s="88"/>
      <c r="H166" s="88"/>
      <c r="I166" s="88"/>
      <c r="J166" s="89"/>
      <c r="K166" s="89"/>
      <c r="L166" s="83">
        <f t="shared" si="5"/>
        <v>0</v>
      </c>
      <c r="M166" s="89"/>
      <c r="N166" s="83">
        <f t="shared" si="6"/>
        <v>0</v>
      </c>
      <c r="O166" s="87"/>
      <c r="P166" s="81" t="str">
        <f ca="1">IF(FILAMENT[[#This Row],[ID]] &lt;&gt; "", IF(A166 = "000", A166 &amp; " | None", A166 &amp; " | " &amp; F166 &amp; " | " &amp; B166 &amp; " | " &amp; E166  &amp; " | " &amp; H166 &amp; "g | " &amp; I166 &amp; "mm"), "")</f>
        <v/>
      </c>
    </row>
    <row r="167" spans="1:16" ht="22.5" customHeight="1">
      <c r="A167" s="108" t="str">
        <f ca="1">IF(FILAMENT[[#This Row],[PRODUCT]] &lt;&gt; "", IF(ROW() = 2, "000", TEXT(INDIRECT("A" &amp; ROW() - 1) + 1, "000")), "")</f>
        <v/>
      </c>
      <c r="B167" s="85"/>
      <c r="C167" s="85"/>
      <c r="D167" s="86"/>
      <c r="E167" s="87"/>
      <c r="F167" s="85"/>
      <c r="G167" s="88"/>
      <c r="H167" s="88"/>
      <c r="I167" s="88"/>
      <c r="J167" s="89"/>
      <c r="K167" s="89"/>
      <c r="L167" s="83">
        <f t="shared" si="5"/>
        <v>0</v>
      </c>
      <c r="M167" s="89"/>
      <c r="N167" s="83">
        <f t="shared" si="6"/>
        <v>0</v>
      </c>
      <c r="O167" s="87"/>
      <c r="P167" s="81" t="str">
        <f ca="1">IF(FILAMENT[[#This Row],[ID]] &lt;&gt; "", IF(A167 = "000", A167 &amp; " | None", A167 &amp; " | " &amp; F167 &amp; " | " &amp; B167 &amp; " | " &amp; E167  &amp; " | " &amp; H167 &amp; "g | " &amp; I167 &amp; "mm"), "")</f>
        <v/>
      </c>
    </row>
    <row r="168" spans="1:16" ht="22.5" customHeight="1">
      <c r="A168" s="108" t="str">
        <f ca="1">IF(FILAMENT[[#This Row],[PRODUCT]] &lt;&gt; "", IF(ROW() = 2, "000", TEXT(INDIRECT("A" &amp; ROW() - 1) + 1, "000")), "")</f>
        <v/>
      </c>
      <c r="B168" s="85"/>
      <c r="C168" s="85"/>
      <c r="D168" s="86"/>
      <c r="E168" s="87"/>
      <c r="F168" s="85"/>
      <c r="G168" s="88"/>
      <c r="H168" s="88"/>
      <c r="I168" s="88"/>
      <c r="J168" s="89"/>
      <c r="K168" s="89"/>
      <c r="L168" s="83">
        <f t="shared" si="5"/>
        <v>0</v>
      </c>
      <c r="M168" s="89"/>
      <c r="N168" s="83">
        <f t="shared" si="6"/>
        <v>0</v>
      </c>
      <c r="O168" s="87"/>
      <c r="P168" s="81" t="str">
        <f ca="1">IF(FILAMENT[[#This Row],[ID]] &lt;&gt; "", IF(A168 = "000", A168 &amp; " | None", A168 &amp; " | " &amp; F168 &amp; " | " &amp; B168 &amp; " | " &amp; E168  &amp; " | " &amp; H168 &amp; "g | " &amp; I168 &amp; "mm"), "")</f>
        <v/>
      </c>
    </row>
    <row r="169" spans="1:16" ht="22.5" customHeight="1">
      <c r="A169" s="108" t="str">
        <f ca="1">IF(FILAMENT[[#This Row],[PRODUCT]] &lt;&gt; "", IF(ROW() = 2, "000", TEXT(INDIRECT("A" &amp; ROW() - 1) + 1, "000")), "")</f>
        <v/>
      </c>
      <c r="B169" s="85"/>
      <c r="C169" s="85"/>
      <c r="D169" s="86"/>
      <c r="E169" s="87"/>
      <c r="F169" s="85"/>
      <c r="G169" s="88"/>
      <c r="H169" s="88"/>
      <c r="I169" s="88"/>
      <c r="J169" s="89"/>
      <c r="K169" s="89"/>
      <c r="L169" s="83">
        <f t="shared" si="5"/>
        <v>0</v>
      </c>
      <c r="M169" s="89"/>
      <c r="N169" s="83">
        <f t="shared" si="6"/>
        <v>0</v>
      </c>
      <c r="O169" s="87"/>
      <c r="P169" s="81" t="str">
        <f ca="1">IF(FILAMENT[[#This Row],[ID]] &lt;&gt; "", IF(A169 = "000", A169 &amp; " | None", A169 &amp; " | " &amp; F169 &amp; " | " &amp; B169 &amp; " | " &amp; E169  &amp; " | " &amp; H169 &amp; "g | " &amp; I169 &amp; "mm"), "")</f>
        <v/>
      </c>
    </row>
    <row r="170" spans="1:16" ht="22.5" customHeight="1">
      <c r="A170" s="108" t="str">
        <f ca="1">IF(FILAMENT[[#This Row],[PRODUCT]] &lt;&gt; "", IF(ROW() = 2, "000", TEXT(INDIRECT("A" &amp; ROW() - 1) + 1, "000")), "")</f>
        <v/>
      </c>
      <c r="B170" s="85"/>
      <c r="C170" s="85"/>
      <c r="D170" s="86"/>
      <c r="E170" s="87"/>
      <c r="F170" s="85"/>
      <c r="G170" s="88"/>
      <c r="H170" s="88"/>
      <c r="I170" s="88"/>
      <c r="J170" s="89"/>
      <c r="K170" s="89"/>
      <c r="L170" s="83">
        <f t="shared" si="5"/>
        <v>0</v>
      </c>
      <c r="M170" s="89"/>
      <c r="N170" s="83">
        <f t="shared" si="6"/>
        <v>0</v>
      </c>
      <c r="O170" s="87"/>
      <c r="P170" s="81" t="str">
        <f ca="1">IF(FILAMENT[[#This Row],[ID]] &lt;&gt; "", IF(A170 = "000", A170 &amp; " | None", A170 &amp; " | " &amp; F170 &amp; " | " &amp; B170 &amp; " | " &amp; E170  &amp; " | " &amp; H170 &amp; "g | " &amp; I170 &amp; "mm"), "")</f>
        <v/>
      </c>
    </row>
    <row r="171" spans="1:16" ht="22.5" customHeight="1">
      <c r="A171" s="108" t="str">
        <f ca="1">IF(FILAMENT[[#This Row],[PRODUCT]] &lt;&gt; "", IF(ROW() = 2, "000", TEXT(INDIRECT("A" &amp; ROW() - 1) + 1, "000")), "")</f>
        <v/>
      </c>
      <c r="B171" s="85"/>
      <c r="C171" s="85"/>
      <c r="D171" s="86"/>
      <c r="E171" s="87"/>
      <c r="F171" s="85"/>
      <c r="G171" s="88"/>
      <c r="H171" s="88"/>
      <c r="I171" s="88"/>
      <c r="J171" s="89"/>
      <c r="K171" s="89"/>
      <c r="L171" s="83">
        <f t="shared" si="5"/>
        <v>0</v>
      </c>
      <c r="M171" s="89"/>
      <c r="N171" s="83">
        <f t="shared" si="6"/>
        <v>0</v>
      </c>
      <c r="O171" s="87"/>
      <c r="P171" s="81" t="str">
        <f ca="1">IF(FILAMENT[[#This Row],[ID]] &lt;&gt; "", IF(A171 = "000", A171 &amp; " | None", A171 &amp; " | " &amp; F171 &amp; " | " &amp; B171 &amp; " | " &amp; E171  &amp; " | " &amp; H171 &amp; "g | " &amp; I171 &amp; "mm"), "")</f>
        <v/>
      </c>
    </row>
    <row r="172" spans="1:16" ht="22.5" customHeight="1">
      <c r="A172" s="108" t="str">
        <f ca="1">IF(FILAMENT[[#This Row],[PRODUCT]] &lt;&gt; "", IF(ROW() = 2, "000", TEXT(INDIRECT("A" &amp; ROW() - 1) + 1, "000")), "")</f>
        <v/>
      </c>
      <c r="B172" s="85"/>
      <c r="C172" s="85"/>
      <c r="D172" s="86"/>
      <c r="E172" s="87"/>
      <c r="F172" s="85"/>
      <c r="G172" s="88"/>
      <c r="H172" s="88"/>
      <c r="I172" s="88"/>
      <c r="J172" s="89"/>
      <c r="K172" s="89"/>
      <c r="L172" s="83">
        <f t="shared" si="5"/>
        <v>0</v>
      </c>
      <c r="M172" s="89"/>
      <c r="N172" s="83">
        <f t="shared" si="6"/>
        <v>0</v>
      </c>
      <c r="O172" s="87"/>
      <c r="P172" s="81" t="str">
        <f ca="1">IF(FILAMENT[[#This Row],[ID]] &lt;&gt; "", IF(A172 = "000", A172 &amp; " | None", A172 &amp; " | " &amp; F172 &amp; " | " &amp; B172 &amp; " | " &amp; E172  &amp; " | " &amp; H172 &amp; "g | " &amp; I172 &amp; "mm"), "")</f>
        <v/>
      </c>
    </row>
    <row r="173" spans="1:16" ht="22.5" customHeight="1">
      <c r="A173" s="108" t="str">
        <f ca="1">IF(FILAMENT[[#This Row],[PRODUCT]] &lt;&gt; "", IF(ROW() = 2, "000", TEXT(INDIRECT("A" &amp; ROW() - 1) + 1, "000")), "")</f>
        <v/>
      </c>
      <c r="B173" s="85"/>
      <c r="C173" s="85"/>
      <c r="D173" s="86"/>
      <c r="E173" s="87"/>
      <c r="F173" s="85"/>
      <c r="G173" s="88"/>
      <c r="H173" s="88"/>
      <c r="I173" s="88"/>
      <c r="J173" s="89"/>
      <c r="K173" s="89"/>
      <c r="L173" s="83">
        <f t="shared" si="5"/>
        <v>0</v>
      </c>
      <c r="M173" s="89"/>
      <c r="N173" s="83">
        <f t="shared" si="6"/>
        <v>0</v>
      </c>
      <c r="O173" s="87"/>
      <c r="P173" s="81" t="str">
        <f ca="1">IF(FILAMENT[[#This Row],[ID]] &lt;&gt; "", IF(A173 = "000", A173 &amp; " | None", A173 &amp; " | " &amp; F173 &amp; " | " &amp; B173 &amp; " | " &amp; E173  &amp; " | " &amp; H173 &amp; "g | " &amp; I173 &amp; "mm"), "")</f>
        <v/>
      </c>
    </row>
    <row r="174" spans="1:16" ht="22.5" customHeight="1">
      <c r="A174" s="108" t="str">
        <f ca="1">IF(FILAMENT[[#This Row],[PRODUCT]] &lt;&gt; "", IF(ROW() = 2, "000", TEXT(INDIRECT("A" &amp; ROW() - 1) + 1, "000")), "")</f>
        <v/>
      </c>
      <c r="B174" s="85"/>
      <c r="C174" s="85"/>
      <c r="D174" s="86"/>
      <c r="E174" s="87"/>
      <c r="F174" s="85"/>
      <c r="G174" s="88"/>
      <c r="H174" s="88"/>
      <c r="I174" s="88"/>
      <c r="J174" s="89"/>
      <c r="K174" s="89"/>
      <c r="L174" s="83">
        <f t="shared" si="5"/>
        <v>0</v>
      </c>
      <c r="M174" s="89"/>
      <c r="N174" s="83">
        <f t="shared" si="6"/>
        <v>0</v>
      </c>
      <c r="O174" s="87"/>
      <c r="P174" s="81" t="str">
        <f ca="1">IF(FILAMENT[[#This Row],[ID]] &lt;&gt; "", IF(A174 = "000", A174 &amp; " | None", A174 &amp; " | " &amp; F174 &amp; " | " &amp; B174 &amp; " | " &amp; E174  &amp; " | " &amp; H174 &amp; "g | " &amp; I174 &amp; "mm"), "")</f>
        <v/>
      </c>
    </row>
    <row r="175" spans="1:16" ht="22.5" customHeight="1">
      <c r="A175" s="108" t="str">
        <f ca="1">IF(FILAMENT[[#This Row],[PRODUCT]] &lt;&gt; "", IF(ROW() = 2, "000", TEXT(INDIRECT("A" &amp; ROW() - 1) + 1, "000")), "")</f>
        <v/>
      </c>
      <c r="B175" s="85"/>
      <c r="C175" s="85"/>
      <c r="D175" s="86"/>
      <c r="E175" s="87"/>
      <c r="F175" s="85"/>
      <c r="G175" s="88"/>
      <c r="H175" s="88"/>
      <c r="I175" s="88"/>
      <c r="J175" s="89"/>
      <c r="K175" s="89"/>
      <c r="L175" s="83">
        <f t="shared" si="5"/>
        <v>0</v>
      </c>
      <c r="M175" s="89"/>
      <c r="N175" s="83">
        <f t="shared" si="6"/>
        <v>0</v>
      </c>
      <c r="O175" s="87"/>
      <c r="P175" s="81" t="str">
        <f ca="1">IF(FILAMENT[[#This Row],[ID]] &lt;&gt; "", IF(A175 = "000", A175 &amp; " | None", A175 &amp; " | " &amp; F175 &amp; " | " &amp; B175 &amp; " | " &amp; E175  &amp; " | " &amp; H175 &amp; "g | " &amp; I175 &amp; "mm"), "")</f>
        <v/>
      </c>
    </row>
    <row r="176" spans="1:16" ht="22.5" customHeight="1">
      <c r="A176" s="108" t="str">
        <f ca="1">IF(FILAMENT[[#This Row],[PRODUCT]] &lt;&gt; "", IF(ROW() = 2, "000", TEXT(INDIRECT("A" &amp; ROW() - 1) + 1, "000")), "")</f>
        <v/>
      </c>
      <c r="B176" s="85"/>
      <c r="C176" s="85"/>
      <c r="D176" s="86"/>
      <c r="E176" s="87"/>
      <c r="F176" s="85"/>
      <c r="G176" s="88"/>
      <c r="H176" s="88"/>
      <c r="I176" s="88"/>
      <c r="J176" s="89"/>
      <c r="K176" s="89"/>
      <c r="L176" s="83">
        <f t="shared" si="5"/>
        <v>0</v>
      </c>
      <c r="M176" s="89"/>
      <c r="N176" s="83">
        <f t="shared" si="6"/>
        <v>0</v>
      </c>
      <c r="O176" s="87"/>
      <c r="P176" s="81" t="str">
        <f ca="1">IF(FILAMENT[[#This Row],[ID]] &lt;&gt; "", IF(A176 = "000", A176 &amp; " | None", A176 &amp; " | " &amp; F176 &amp; " | " &amp; B176 &amp; " | " &amp; E176  &amp; " | " &amp; H176 &amp; "g | " &amp; I176 &amp; "mm"), "")</f>
        <v/>
      </c>
    </row>
    <row r="177" spans="1:16" ht="22.5" customHeight="1">
      <c r="A177" s="108" t="str">
        <f ca="1">IF(FILAMENT[[#This Row],[PRODUCT]] &lt;&gt; "", IF(ROW() = 2, "000", TEXT(INDIRECT("A" &amp; ROW() - 1) + 1, "000")), "")</f>
        <v/>
      </c>
      <c r="B177" s="85"/>
      <c r="C177" s="85"/>
      <c r="D177" s="86"/>
      <c r="E177" s="87"/>
      <c r="F177" s="85"/>
      <c r="G177" s="88"/>
      <c r="H177" s="88"/>
      <c r="I177" s="88"/>
      <c r="J177" s="89"/>
      <c r="K177" s="89"/>
      <c r="L177" s="83">
        <f t="shared" si="5"/>
        <v>0</v>
      </c>
      <c r="M177" s="89"/>
      <c r="N177" s="83">
        <f t="shared" si="6"/>
        <v>0</v>
      </c>
      <c r="O177" s="87"/>
      <c r="P177" s="81" t="str">
        <f ca="1">IF(FILAMENT[[#This Row],[ID]] &lt;&gt; "", IF(A177 = "000", A177 &amp; " | None", A177 &amp; " | " &amp; F177 &amp; " | " &amp; B177 &amp; " | " &amp; E177  &amp; " | " &amp; H177 &amp; "g | " &amp; I177 &amp; "mm"), "")</f>
        <v/>
      </c>
    </row>
    <row r="178" spans="1:16" ht="22.5" customHeight="1">
      <c r="A178" s="108" t="str">
        <f ca="1">IF(FILAMENT[[#This Row],[PRODUCT]] &lt;&gt; "", IF(ROW() = 2, "000", TEXT(INDIRECT("A" &amp; ROW() - 1) + 1, "000")), "")</f>
        <v/>
      </c>
      <c r="B178" s="85"/>
      <c r="C178" s="85"/>
      <c r="D178" s="86"/>
      <c r="E178" s="87"/>
      <c r="F178" s="85"/>
      <c r="G178" s="88"/>
      <c r="H178" s="88"/>
      <c r="I178" s="88"/>
      <c r="J178" s="89"/>
      <c r="K178" s="89"/>
      <c r="L178" s="83">
        <f t="shared" si="5"/>
        <v>0</v>
      </c>
      <c r="M178" s="89"/>
      <c r="N178" s="83">
        <f t="shared" si="6"/>
        <v>0</v>
      </c>
      <c r="O178" s="87"/>
      <c r="P178" s="81" t="str">
        <f ca="1">IF(FILAMENT[[#This Row],[ID]] &lt;&gt; "", IF(A178 = "000", A178 &amp; " | None", A178 &amp; " | " &amp; F178 &amp; " | " &amp; B178 &amp; " | " &amp; E178  &amp; " | " &amp; H178 &amp; "g | " &amp; I178 &amp; "mm"), "")</f>
        <v/>
      </c>
    </row>
    <row r="179" spans="1:16" ht="22.5" customHeight="1">
      <c r="A179" s="108" t="str">
        <f ca="1">IF(FILAMENT[[#This Row],[PRODUCT]] &lt;&gt; "", IF(ROW() = 2, "000", TEXT(INDIRECT("A" &amp; ROW() - 1) + 1, "000")), "")</f>
        <v/>
      </c>
      <c r="B179" s="85"/>
      <c r="C179" s="85"/>
      <c r="D179" s="86"/>
      <c r="E179" s="87"/>
      <c r="F179" s="85"/>
      <c r="G179" s="88"/>
      <c r="H179" s="88"/>
      <c r="I179" s="88"/>
      <c r="J179" s="89"/>
      <c r="K179" s="89"/>
      <c r="L179" s="83">
        <f t="shared" si="5"/>
        <v>0</v>
      </c>
      <c r="M179" s="89"/>
      <c r="N179" s="83">
        <f t="shared" si="6"/>
        <v>0</v>
      </c>
      <c r="O179" s="87"/>
      <c r="P179" s="81" t="str">
        <f ca="1">IF(FILAMENT[[#This Row],[ID]] &lt;&gt; "", IF(A179 = "000", A179 &amp; " | None", A179 &amp; " | " &amp; F179 &amp; " | " &amp; B179 &amp; " | " &amp; E179  &amp; " | " &amp; H179 &amp; "g | " &amp; I179 &amp; "mm"), "")</f>
        <v/>
      </c>
    </row>
    <row r="180" spans="1:16" ht="22.5" customHeight="1">
      <c r="A180" s="108" t="str">
        <f ca="1">IF(FILAMENT[[#This Row],[PRODUCT]] &lt;&gt; "", IF(ROW() = 2, "000", TEXT(INDIRECT("A" &amp; ROW() - 1) + 1, "000")), "")</f>
        <v/>
      </c>
      <c r="B180" s="85"/>
      <c r="C180" s="85"/>
      <c r="D180" s="86"/>
      <c r="E180" s="87"/>
      <c r="F180" s="85"/>
      <c r="G180" s="88"/>
      <c r="H180" s="88"/>
      <c r="I180" s="88"/>
      <c r="J180" s="89"/>
      <c r="K180" s="89"/>
      <c r="L180" s="83">
        <f t="shared" si="5"/>
        <v>0</v>
      </c>
      <c r="M180" s="89"/>
      <c r="N180" s="83">
        <f t="shared" si="6"/>
        <v>0</v>
      </c>
      <c r="O180" s="87"/>
      <c r="P180" s="81" t="str">
        <f ca="1">IF(FILAMENT[[#This Row],[ID]] &lt;&gt; "", IF(A180 = "000", A180 &amp; " | None", A180 &amp; " | " &amp; F180 &amp; " | " &amp; B180 &amp; " | " &amp; E180  &amp; " | " &amp; H180 &amp; "g | " &amp; I180 &amp; "mm"), "")</f>
        <v/>
      </c>
    </row>
    <row r="181" spans="1:16" ht="22.5" customHeight="1">
      <c r="A181" s="108" t="str">
        <f ca="1">IF(FILAMENT[[#This Row],[PRODUCT]] &lt;&gt; "", IF(ROW() = 2, "000", TEXT(INDIRECT("A" &amp; ROW() - 1) + 1, "000")), "")</f>
        <v/>
      </c>
      <c r="B181" s="85"/>
      <c r="C181" s="85"/>
      <c r="D181" s="86"/>
      <c r="E181" s="87"/>
      <c r="F181" s="85"/>
      <c r="G181" s="88"/>
      <c r="H181" s="88"/>
      <c r="I181" s="88"/>
      <c r="J181" s="89"/>
      <c r="K181" s="89"/>
      <c r="L181" s="83">
        <f t="shared" si="5"/>
        <v>0</v>
      </c>
      <c r="M181" s="89"/>
      <c r="N181" s="83">
        <f t="shared" si="6"/>
        <v>0</v>
      </c>
      <c r="O181" s="87"/>
      <c r="P181" s="81" t="str">
        <f ca="1">IF(FILAMENT[[#This Row],[ID]] &lt;&gt; "", IF(A181 = "000", A181 &amp; " | None", A181 &amp; " | " &amp; F181 &amp; " | " &amp; B181 &amp; " | " &amp; E181  &amp; " | " &amp; H181 &amp; "g | " &amp; I181 &amp; "mm"), "")</f>
        <v/>
      </c>
    </row>
    <row r="182" spans="1:16" ht="22.5" customHeight="1">
      <c r="A182" s="108" t="str">
        <f ca="1">IF(FILAMENT[[#This Row],[PRODUCT]] &lt;&gt; "", IF(ROW() = 2, "000", TEXT(INDIRECT("A" &amp; ROW() - 1) + 1, "000")), "")</f>
        <v/>
      </c>
      <c r="B182" s="85"/>
      <c r="C182" s="85"/>
      <c r="D182" s="86"/>
      <c r="E182" s="87"/>
      <c r="F182" s="85"/>
      <c r="G182" s="88"/>
      <c r="H182" s="88"/>
      <c r="I182" s="88"/>
      <c r="J182" s="89"/>
      <c r="K182" s="89"/>
      <c r="L182" s="83">
        <f t="shared" si="5"/>
        <v>0</v>
      </c>
      <c r="M182" s="89"/>
      <c r="N182" s="83">
        <f t="shared" si="6"/>
        <v>0</v>
      </c>
      <c r="O182" s="87"/>
      <c r="P182" s="81" t="str">
        <f ca="1">IF(FILAMENT[[#This Row],[ID]] &lt;&gt; "", IF(A182 = "000", A182 &amp; " | None", A182 &amp; " | " &amp; F182 &amp; " | " &amp; B182 &amp; " | " &amp; E182  &amp; " | " &amp; H182 &amp; "g | " &amp; I182 &amp; "mm"), "")</f>
        <v/>
      </c>
    </row>
    <row r="183" spans="1:16" ht="22.5" customHeight="1">
      <c r="A183" s="108" t="str">
        <f ca="1">IF(FILAMENT[[#This Row],[PRODUCT]] &lt;&gt; "", IF(ROW() = 2, "000", TEXT(INDIRECT("A" &amp; ROW() - 1) + 1, "000")), "")</f>
        <v/>
      </c>
      <c r="B183" s="85"/>
      <c r="C183" s="85"/>
      <c r="D183" s="86"/>
      <c r="E183" s="87"/>
      <c r="F183" s="85"/>
      <c r="G183" s="88"/>
      <c r="H183" s="88"/>
      <c r="I183" s="88"/>
      <c r="J183" s="89"/>
      <c r="K183" s="89"/>
      <c r="L183" s="83">
        <f t="shared" si="5"/>
        <v>0</v>
      </c>
      <c r="M183" s="89"/>
      <c r="N183" s="83">
        <f t="shared" si="6"/>
        <v>0</v>
      </c>
      <c r="O183" s="87"/>
      <c r="P183" s="81" t="str">
        <f ca="1">IF(FILAMENT[[#This Row],[ID]] &lt;&gt; "", IF(A183 = "000", A183 &amp; " | None", A183 &amp; " | " &amp; F183 &amp; " | " &amp; B183 &amp; " | " &amp; E183  &amp; " | " &amp; H183 &amp; "g | " &amp; I183 &amp; "mm"), "")</f>
        <v/>
      </c>
    </row>
    <row r="184" spans="1:16" ht="22.5" customHeight="1">
      <c r="A184" s="108" t="str">
        <f ca="1">IF(FILAMENT[[#This Row],[PRODUCT]] &lt;&gt; "", IF(ROW() = 2, "000", TEXT(INDIRECT("A" &amp; ROW() - 1) + 1, "000")), "")</f>
        <v/>
      </c>
      <c r="B184" s="85"/>
      <c r="C184" s="85"/>
      <c r="D184" s="86"/>
      <c r="E184" s="87"/>
      <c r="F184" s="85"/>
      <c r="G184" s="88"/>
      <c r="H184" s="88"/>
      <c r="I184" s="88"/>
      <c r="J184" s="89"/>
      <c r="K184" s="89"/>
      <c r="L184" s="83">
        <f t="shared" si="5"/>
        <v>0</v>
      </c>
      <c r="M184" s="89"/>
      <c r="N184" s="83">
        <f t="shared" si="6"/>
        <v>0</v>
      </c>
      <c r="O184" s="87"/>
      <c r="P184" s="81" t="str">
        <f ca="1">IF(FILAMENT[[#This Row],[ID]] &lt;&gt; "", IF(A184 = "000", A184 &amp; " | None", A184 &amp; " | " &amp; F184 &amp; " | " &amp; B184 &amp; " | " &amp; E184  &amp; " | " &amp; H184 &amp; "g | " &amp; I184 &amp; "mm"), "")</f>
        <v/>
      </c>
    </row>
    <row r="185" spans="1:16" ht="22.5" customHeight="1">
      <c r="A185" s="108" t="str">
        <f ca="1">IF(FILAMENT[[#This Row],[PRODUCT]] &lt;&gt; "", IF(ROW() = 2, "000", TEXT(INDIRECT("A" &amp; ROW() - 1) + 1, "000")), "")</f>
        <v/>
      </c>
      <c r="B185" s="85"/>
      <c r="C185" s="85"/>
      <c r="D185" s="86"/>
      <c r="E185" s="87"/>
      <c r="F185" s="85"/>
      <c r="G185" s="88"/>
      <c r="H185" s="88"/>
      <c r="I185" s="88"/>
      <c r="J185" s="89"/>
      <c r="K185" s="89"/>
      <c r="L185" s="83">
        <f t="shared" si="5"/>
        <v>0</v>
      </c>
      <c r="M185" s="89"/>
      <c r="N185" s="83">
        <f t="shared" si="6"/>
        <v>0</v>
      </c>
      <c r="O185" s="87"/>
      <c r="P185" s="81" t="str">
        <f ca="1">IF(FILAMENT[[#This Row],[ID]] &lt;&gt; "", IF(A185 = "000", A185 &amp; " | None", A185 &amp; " | " &amp; F185 &amp; " | " &amp; B185 &amp; " | " &amp; E185  &amp; " | " &amp; H185 &amp; "g | " &amp; I185 &amp; "mm"), "")</f>
        <v/>
      </c>
    </row>
    <row r="186" spans="1:16" ht="22.5" customHeight="1">
      <c r="A186" s="108" t="str">
        <f ca="1">IF(FILAMENT[[#This Row],[PRODUCT]] &lt;&gt; "", IF(ROW() = 2, "000", TEXT(INDIRECT("A" &amp; ROW() - 1) + 1, "000")), "")</f>
        <v/>
      </c>
      <c r="B186" s="85"/>
      <c r="C186" s="85"/>
      <c r="D186" s="86"/>
      <c r="E186" s="87"/>
      <c r="F186" s="85"/>
      <c r="G186" s="88"/>
      <c r="H186" s="88"/>
      <c r="I186" s="88"/>
      <c r="J186" s="89"/>
      <c r="K186" s="89"/>
      <c r="L186" s="83">
        <f t="shared" si="5"/>
        <v>0</v>
      </c>
      <c r="M186" s="89"/>
      <c r="N186" s="83">
        <f t="shared" si="6"/>
        <v>0</v>
      </c>
      <c r="O186" s="87"/>
      <c r="P186" s="81" t="str">
        <f ca="1">IF(FILAMENT[[#This Row],[ID]] &lt;&gt; "", IF(A186 = "000", A186 &amp; " | None", A186 &amp; " | " &amp; F186 &amp; " | " &amp; B186 &amp; " | " &amp; E186  &amp; " | " &amp; H186 &amp; "g | " &amp; I186 &amp; "mm"), "")</f>
        <v/>
      </c>
    </row>
    <row r="187" spans="1:16" ht="22.5" customHeight="1">
      <c r="A187" s="108" t="str">
        <f ca="1">IF(FILAMENT[[#This Row],[PRODUCT]] &lt;&gt; "", IF(ROW() = 2, "000", TEXT(INDIRECT("A" &amp; ROW() - 1) + 1, "000")), "")</f>
        <v/>
      </c>
      <c r="B187" s="85"/>
      <c r="C187" s="85"/>
      <c r="D187" s="86"/>
      <c r="E187" s="87"/>
      <c r="F187" s="85"/>
      <c r="G187" s="88"/>
      <c r="H187" s="88"/>
      <c r="I187" s="88"/>
      <c r="J187" s="89"/>
      <c r="K187" s="89"/>
      <c r="L187" s="83">
        <f t="shared" si="5"/>
        <v>0</v>
      </c>
      <c r="M187" s="89"/>
      <c r="N187" s="83">
        <f t="shared" si="6"/>
        <v>0</v>
      </c>
      <c r="O187" s="87"/>
      <c r="P187" s="81" t="str">
        <f ca="1">IF(FILAMENT[[#This Row],[ID]] &lt;&gt; "", IF(A187 = "000", A187 &amp; " | None", A187 &amp; " | " &amp; F187 &amp; " | " &amp; B187 &amp; " | " &amp; E187  &amp; " | " &amp; H187 &amp; "g | " &amp; I187 &amp; "mm"), "")</f>
        <v/>
      </c>
    </row>
    <row r="188" spans="1:16" ht="22.5" customHeight="1">
      <c r="A188" s="108" t="str">
        <f ca="1">IF(FILAMENT[[#This Row],[PRODUCT]] &lt;&gt; "", IF(ROW() = 2, "000", TEXT(INDIRECT("A" &amp; ROW() - 1) + 1, "000")), "")</f>
        <v/>
      </c>
      <c r="B188" s="85"/>
      <c r="C188" s="85"/>
      <c r="D188" s="86"/>
      <c r="E188" s="87"/>
      <c r="F188" s="85"/>
      <c r="G188" s="88"/>
      <c r="H188" s="88"/>
      <c r="I188" s="88"/>
      <c r="J188" s="89"/>
      <c r="K188" s="89"/>
      <c r="L188" s="83">
        <f t="shared" si="5"/>
        <v>0</v>
      </c>
      <c r="M188" s="89"/>
      <c r="N188" s="83">
        <f t="shared" si="6"/>
        <v>0</v>
      </c>
      <c r="O188" s="87"/>
      <c r="P188" s="81" t="str">
        <f ca="1">IF(FILAMENT[[#This Row],[ID]] &lt;&gt; "", IF(A188 = "000", A188 &amp; " | None", A188 &amp; " | " &amp; F188 &amp; " | " &amp; B188 &amp; " | " &amp; E188  &amp; " | " &amp; H188 &amp; "g | " &amp; I188 &amp; "mm"), "")</f>
        <v/>
      </c>
    </row>
    <row r="189" spans="1:16" ht="22.5" customHeight="1">
      <c r="A189" s="108" t="str">
        <f ca="1">IF(FILAMENT[[#This Row],[PRODUCT]] &lt;&gt; "", IF(ROW() = 2, "000", TEXT(INDIRECT("A" &amp; ROW() - 1) + 1, "000")), "")</f>
        <v/>
      </c>
      <c r="B189" s="85"/>
      <c r="C189" s="85"/>
      <c r="D189" s="86"/>
      <c r="E189" s="87"/>
      <c r="F189" s="85"/>
      <c r="G189" s="88"/>
      <c r="H189" s="88"/>
      <c r="I189" s="88"/>
      <c r="J189" s="89"/>
      <c r="K189" s="89"/>
      <c r="L189" s="83">
        <f t="shared" si="5"/>
        <v>0</v>
      </c>
      <c r="M189" s="89"/>
      <c r="N189" s="83">
        <f t="shared" si="6"/>
        <v>0</v>
      </c>
      <c r="O189" s="87"/>
      <c r="P189" s="81" t="str">
        <f ca="1">IF(FILAMENT[[#This Row],[ID]] &lt;&gt; "", IF(A189 = "000", A189 &amp; " | None", A189 &amp; " | " &amp; F189 &amp; " | " &amp; B189 &amp; " | " &amp; E189  &amp; " | " &amp; H189 &amp; "g | " &amp; I189 &amp; "mm"), "")</f>
        <v/>
      </c>
    </row>
    <row r="190" spans="1:16" ht="22.5" customHeight="1">
      <c r="A190" s="108" t="str">
        <f ca="1">IF(FILAMENT[[#This Row],[PRODUCT]] &lt;&gt; "", IF(ROW() = 2, "000", TEXT(INDIRECT("A" &amp; ROW() - 1) + 1, "000")), "")</f>
        <v/>
      </c>
      <c r="B190" s="85"/>
      <c r="C190" s="85"/>
      <c r="D190" s="86"/>
      <c r="E190" s="87"/>
      <c r="F190" s="85"/>
      <c r="G190" s="88"/>
      <c r="H190" s="88"/>
      <c r="I190" s="88"/>
      <c r="J190" s="89"/>
      <c r="K190" s="89"/>
      <c r="L190" s="83">
        <f t="shared" si="5"/>
        <v>0</v>
      </c>
      <c r="M190" s="89"/>
      <c r="N190" s="83">
        <f t="shared" si="6"/>
        <v>0</v>
      </c>
      <c r="O190" s="87"/>
      <c r="P190" s="81" t="str">
        <f ca="1">IF(FILAMENT[[#This Row],[ID]] &lt;&gt; "", IF(A190 = "000", A190 &amp; " | None", A190 &amp; " | " &amp; F190 &amp; " | " &amp; B190 &amp; " | " &amp; E190  &amp; " | " &amp; H190 &amp; "g | " &amp; I190 &amp; "mm"), "")</f>
        <v/>
      </c>
    </row>
    <row r="191" spans="1:16" ht="22.5" customHeight="1">
      <c r="A191" s="108" t="str">
        <f ca="1">IF(FILAMENT[[#This Row],[PRODUCT]] &lt;&gt; "", IF(ROW() = 2, "000", TEXT(INDIRECT("A" &amp; ROW() - 1) + 1, "000")), "")</f>
        <v/>
      </c>
      <c r="B191" s="85"/>
      <c r="C191" s="85"/>
      <c r="D191" s="86"/>
      <c r="E191" s="87"/>
      <c r="F191" s="85"/>
      <c r="G191" s="88"/>
      <c r="H191" s="88"/>
      <c r="I191" s="88"/>
      <c r="J191" s="89"/>
      <c r="K191" s="89"/>
      <c r="L191" s="83">
        <f t="shared" si="5"/>
        <v>0</v>
      </c>
      <c r="M191" s="89"/>
      <c r="N191" s="83">
        <f t="shared" si="6"/>
        <v>0</v>
      </c>
      <c r="O191" s="87"/>
      <c r="P191" s="81" t="str">
        <f ca="1">IF(FILAMENT[[#This Row],[ID]] &lt;&gt; "", IF(A191 = "000", A191 &amp; " | None", A191 &amp; " | " &amp; F191 &amp; " | " &amp; B191 &amp; " | " &amp; E191  &amp; " | " &amp; H191 &amp; "g | " &amp; I191 &amp; "mm"), "")</f>
        <v/>
      </c>
    </row>
    <row r="192" spans="1:16" ht="22.5" customHeight="1">
      <c r="A192" s="108" t="str">
        <f ca="1">IF(FILAMENT[[#This Row],[PRODUCT]] &lt;&gt; "", IF(ROW() = 2, "000", TEXT(INDIRECT("A" &amp; ROW() - 1) + 1, "000")), "")</f>
        <v/>
      </c>
      <c r="B192" s="85"/>
      <c r="C192" s="85"/>
      <c r="D192" s="86"/>
      <c r="E192" s="87"/>
      <c r="F192" s="85"/>
      <c r="G192" s="88"/>
      <c r="H192" s="88"/>
      <c r="I192" s="88"/>
      <c r="J192" s="89"/>
      <c r="K192" s="89"/>
      <c r="L192" s="83">
        <f t="shared" si="5"/>
        <v>0</v>
      </c>
      <c r="M192" s="89"/>
      <c r="N192" s="83">
        <f t="shared" si="6"/>
        <v>0</v>
      </c>
      <c r="O192" s="87"/>
      <c r="P192" s="81" t="str">
        <f ca="1">IF(FILAMENT[[#This Row],[ID]] &lt;&gt; "", IF(A192 = "000", A192 &amp; " | None", A192 &amp; " | " &amp; F192 &amp; " | " &amp; B192 &amp; " | " &amp; E192  &amp; " | " &amp; H192 &amp; "g | " &amp; I192 &amp; "mm"), "")</f>
        <v/>
      </c>
    </row>
    <row r="193" spans="1:16" ht="22.5" customHeight="1">
      <c r="A193" s="108" t="str">
        <f ca="1">IF(FILAMENT[[#This Row],[PRODUCT]] &lt;&gt; "", IF(ROW() = 2, "000", TEXT(INDIRECT("A" &amp; ROW() - 1) + 1, "000")), "")</f>
        <v/>
      </c>
      <c r="B193" s="85"/>
      <c r="C193" s="85"/>
      <c r="D193" s="86"/>
      <c r="E193" s="87"/>
      <c r="F193" s="85"/>
      <c r="G193" s="88"/>
      <c r="H193" s="88"/>
      <c r="I193" s="88"/>
      <c r="J193" s="89"/>
      <c r="K193" s="89"/>
      <c r="L193" s="83">
        <f t="shared" si="5"/>
        <v>0</v>
      </c>
      <c r="M193" s="89"/>
      <c r="N193" s="83">
        <f t="shared" si="6"/>
        <v>0</v>
      </c>
      <c r="O193" s="87"/>
      <c r="P193" s="81" t="str">
        <f ca="1">IF(FILAMENT[[#This Row],[ID]] &lt;&gt; "", IF(A193 = "000", A193 &amp; " | None", A193 &amp; " | " &amp; F193 &amp; " | " &amp; B193 &amp; " | " &amp; E193  &amp; " | " &amp; H193 &amp; "g | " &amp; I193 &amp; "mm"), "")</f>
        <v/>
      </c>
    </row>
    <row r="194" spans="1:16" ht="22.5" customHeight="1">
      <c r="A194" s="108" t="str">
        <f ca="1">IF(FILAMENT[[#This Row],[PRODUCT]] &lt;&gt; "", IF(ROW() = 2, "000", TEXT(INDIRECT("A" &amp; ROW() - 1) + 1, "000")), "")</f>
        <v/>
      </c>
      <c r="B194" s="85"/>
      <c r="C194" s="85"/>
      <c r="D194" s="86"/>
      <c r="E194" s="87"/>
      <c r="F194" s="85"/>
      <c r="G194" s="88"/>
      <c r="H194" s="88"/>
      <c r="I194" s="88"/>
      <c r="J194" s="89"/>
      <c r="K194" s="89"/>
      <c r="L194" s="83">
        <f t="shared" ref="L194:L201" si="7">K194 * 0.06</f>
        <v>0</v>
      </c>
      <c r="M194" s="89"/>
      <c r="N194" s="83">
        <f t="shared" ref="N194:N201" si="8">K194 + L194 + M194</f>
        <v>0</v>
      </c>
      <c r="O194" s="87"/>
      <c r="P194" s="81" t="str">
        <f ca="1">IF(FILAMENT[[#This Row],[ID]] &lt;&gt; "", IF(A194 = "000", A194 &amp; " | None", A194 &amp; " | " &amp; F194 &amp; " | " &amp; B194 &amp; " | " &amp; E194  &amp; " | " &amp; H194 &amp; "g | " &amp; I194 &amp; "mm"), "")</f>
        <v/>
      </c>
    </row>
    <row r="195" spans="1:16" ht="22.5" customHeight="1">
      <c r="A195" s="108" t="str">
        <f ca="1">IF(FILAMENT[[#This Row],[PRODUCT]] &lt;&gt; "", IF(ROW() = 2, "000", TEXT(INDIRECT("A" &amp; ROW() - 1) + 1, "000")), "")</f>
        <v/>
      </c>
      <c r="B195" s="85"/>
      <c r="C195" s="85"/>
      <c r="D195" s="86"/>
      <c r="E195" s="87"/>
      <c r="F195" s="85"/>
      <c r="G195" s="88"/>
      <c r="H195" s="88"/>
      <c r="I195" s="88"/>
      <c r="J195" s="89"/>
      <c r="K195" s="89"/>
      <c r="L195" s="83">
        <f t="shared" si="7"/>
        <v>0</v>
      </c>
      <c r="M195" s="89"/>
      <c r="N195" s="83">
        <f t="shared" si="8"/>
        <v>0</v>
      </c>
      <c r="O195" s="87"/>
      <c r="P195" s="81" t="str">
        <f ca="1">IF(FILAMENT[[#This Row],[ID]] &lt;&gt; "", IF(A195 = "000", A195 &amp; " | None", A195 &amp; " | " &amp; F195 &amp; " | " &amp; B195 &amp; " | " &amp; E195  &amp; " | " &amp; H195 &amp; "g | " &amp; I195 &amp; "mm"), "")</f>
        <v/>
      </c>
    </row>
    <row r="196" spans="1:16" ht="22.5" customHeight="1">
      <c r="A196" s="108" t="str">
        <f ca="1">IF(FILAMENT[[#This Row],[PRODUCT]] &lt;&gt; "", IF(ROW() = 2, "000", TEXT(INDIRECT("A" &amp; ROW() - 1) + 1, "000")), "")</f>
        <v/>
      </c>
      <c r="B196" s="85"/>
      <c r="C196" s="85"/>
      <c r="D196" s="86"/>
      <c r="E196" s="87"/>
      <c r="F196" s="85"/>
      <c r="G196" s="88"/>
      <c r="H196" s="88"/>
      <c r="I196" s="88"/>
      <c r="J196" s="89"/>
      <c r="K196" s="89"/>
      <c r="L196" s="83">
        <f t="shared" si="7"/>
        <v>0</v>
      </c>
      <c r="M196" s="89"/>
      <c r="N196" s="83">
        <f t="shared" si="8"/>
        <v>0</v>
      </c>
      <c r="O196" s="87"/>
      <c r="P196" s="81" t="str">
        <f ca="1">IF(FILAMENT[[#This Row],[ID]] &lt;&gt; "", IF(A196 = "000", A196 &amp; " | None", A196 &amp; " | " &amp; F196 &amp; " | " &amp; B196 &amp; " | " &amp; E196  &amp; " | " &amp; H196 &amp; "g | " &amp; I196 &amp; "mm"), "")</f>
        <v/>
      </c>
    </row>
    <row r="197" spans="1:16" ht="22.5" customHeight="1">
      <c r="A197" s="108" t="str">
        <f ca="1">IF(FILAMENT[[#This Row],[PRODUCT]] &lt;&gt; "", IF(ROW() = 2, "000", TEXT(INDIRECT("A" &amp; ROW() - 1) + 1, "000")), "")</f>
        <v/>
      </c>
      <c r="B197" s="85"/>
      <c r="C197" s="85"/>
      <c r="D197" s="86"/>
      <c r="E197" s="87"/>
      <c r="F197" s="85"/>
      <c r="G197" s="88"/>
      <c r="H197" s="88"/>
      <c r="I197" s="88"/>
      <c r="J197" s="89"/>
      <c r="K197" s="89"/>
      <c r="L197" s="83">
        <f t="shared" si="7"/>
        <v>0</v>
      </c>
      <c r="M197" s="89"/>
      <c r="N197" s="83">
        <f t="shared" si="8"/>
        <v>0</v>
      </c>
      <c r="O197" s="87"/>
      <c r="P197" s="81" t="str">
        <f ca="1">IF(FILAMENT[[#This Row],[ID]] &lt;&gt; "", IF(A197 = "000", A197 &amp; " | None", A197 &amp; " | " &amp; F197 &amp; " | " &amp; B197 &amp; " | " &amp; E197  &amp; " | " &amp; H197 &amp; "g | " &amp; I197 &amp; "mm"), "")</f>
        <v/>
      </c>
    </row>
    <row r="198" spans="1:16" ht="22.5" customHeight="1">
      <c r="A198" s="108" t="str">
        <f ca="1">IF(FILAMENT[[#This Row],[PRODUCT]] &lt;&gt; "", IF(ROW() = 2, "000", TEXT(INDIRECT("A" &amp; ROW() - 1) + 1, "000")), "")</f>
        <v/>
      </c>
      <c r="B198" s="85"/>
      <c r="C198" s="85"/>
      <c r="D198" s="86"/>
      <c r="E198" s="87"/>
      <c r="F198" s="85"/>
      <c r="G198" s="88"/>
      <c r="H198" s="88"/>
      <c r="I198" s="88"/>
      <c r="J198" s="89"/>
      <c r="K198" s="89"/>
      <c r="L198" s="83">
        <f t="shared" si="7"/>
        <v>0</v>
      </c>
      <c r="M198" s="89"/>
      <c r="N198" s="83">
        <f t="shared" si="8"/>
        <v>0</v>
      </c>
      <c r="O198" s="87"/>
      <c r="P198" s="81" t="str">
        <f ca="1">IF(FILAMENT[[#This Row],[ID]] &lt;&gt; "", IF(A198 = "000", A198 &amp; " | None", A198 &amp; " | " &amp; F198 &amp; " | " &amp; B198 &amp; " | " &amp; E198  &amp; " | " &amp; H198 &amp; "g | " &amp; I198 &amp; "mm"), "")</f>
        <v/>
      </c>
    </row>
    <row r="199" spans="1:16" ht="22.5" customHeight="1">
      <c r="A199" s="108" t="str">
        <f ca="1">IF(FILAMENT[[#This Row],[PRODUCT]] &lt;&gt; "", IF(ROW() = 2, "000", TEXT(INDIRECT("A" &amp; ROW() - 1) + 1, "000")), "")</f>
        <v/>
      </c>
      <c r="B199" s="85"/>
      <c r="C199" s="85"/>
      <c r="D199" s="86"/>
      <c r="E199" s="87"/>
      <c r="F199" s="85"/>
      <c r="G199" s="88"/>
      <c r="H199" s="88"/>
      <c r="I199" s="88"/>
      <c r="J199" s="89"/>
      <c r="K199" s="89"/>
      <c r="L199" s="83">
        <f t="shared" si="7"/>
        <v>0</v>
      </c>
      <c r="M199" s="89"/>
      <c r="N199" s="83">
        <f t="shared" si="8"/>
        <v>0</v>
      </c>
      <c r="O199" s="87"/>
      <c r="P199" s="81" t="str">
        <f ca="1">IF(FILAMENT[[#This Row],[ID]] &lt;&gt; "", IF(A199 = "000", A199 &amp; " | None", A199 &amp; " | " &amp; F199 &amp; " | " &amp; B199 &amp; " | " &amp; E199  &amp; " | " &amp; H199 &amp; "g | " &amp; I199 &amp; "mm"), "")</f>
        <v/>
      </c>
    </row>
    <row r="200" spans="1:16" ht="22.5" customHeight="1">
      <c r="A200" s="108" t="str">
        <f ca="1">IF(FILAMENT[[#This Row],[PRODUCT]] &lt;&gt; "", IF(ROW() = 2, "000", TEXT(INDIRECT("A" &amp; ROW() - 1) + 1, "000")), "")</f>
        <v/>
      </c>
      <c r="B200" s="85"/>
      <c r="C200" s="85"/>
      <c r="D200" s="86"/>
      <c r="E200" s="87"/>
      <c r="F200" s="85"/>
      <c r="G200" s="88"/>
      <c r="H200" s="88"/>
      <c r="I200" s="88"/>
      <c r="J200" s="89"/>
      <c r="K200" s="89"/>
      <c r="L200" s="83">
        <f t="shared" si="7"/>
        <v>0</v>
      </c>
      <c r="M200" s="89"/>
      <c r="N200" s="83">
        <f t="shared" si="8"/>
        <v>0</v>
      </c>
      <c r="O200" s="87"/>
      <c r="P200" s="81" t="str">
        <f ca="1">IF(FILAMENT[[#This Row],[ID]] &lt;&gt; "", IF(A200 = "000", A200 &amp; " | None", A200 &amp; " | " &amp; F200 &amp; " | " &amp; B200 &amp; " | " &amp; E200  &amp; " | " &amp; H200 &amp; "g | " &amp; I200 &amp; "mm"), "")</f>
        <v/>
      </c>
    </row>
    <row r="201" spans="1:16" ht="22.5" customHeight="1">
      <c r="A201" s="108" t="str">
        <f ca="1">IF(FILAMENT[[#This Row],[PRODUCT]] &lt;&gt; "", IF(ROW() = 2, "000", TEXT(INDIRECT("A" &amp; ROW() - 1) + 1, "000")), "")</f>
        <v/>
      </c>
      <c r="B201" s="85"/>
      <c r="C201" s="85"/>
      <c r="D201" s="86"/>
      <c r="E201" s="87"/>
      <c r="F201" s="85"/>
      <c r="G201" s="88"/>
      <c r="H201" s="88"/>
      <c r="I201" s="88"/>
      <c r="J201" s="89"/>
      <c r="K201" s="89"/>
      <c r="L201" s="83">
        <f t="shared" si="7"/>
        <v>0</v>
      </c>
      <c r="M201" s="89"/>
      <c r="N201" s="83">
        <f t="shared" si="8"/>
        <v>0</v>
      </c>
      <c r="O201" s="87"/>
      <c r="P201" s="81" t="str">
        <f ca="1">IF(FILAMENT[[#This Row],[ID]] &lt;&gt; "", IF(A201 = "000", A201 &amp; " | None", A201 &amp; " | " &amp; F201 &amp; " | " &amp; B201 &amp; " | " &amp; E201  &amp; " | " &amp; H201 &amp; "g | " &amp; I201 &amp; "mm"), "")</f>
        <v/>
      </c>
    </row>
    <row r="202" spans="1:16" ht="22.5" customHeight="1">
      <c r="A202" s="108"/>
      <c r="B202" s="85"/>
      <c r="C202" s="85"/>
      <c r="D202" s="86"/>
      <c r="E202" s="87"/>
      <c r="F202" s="85"/>
      <c r="G202" s="88"/>
      <c r="H202" s="88"/>
      <c r="I202" s="88"/>
      <c r="J202" s="89"/>
      <c r="K202" s="89"/>
      <c r="L202" s="89"/>
      <c r="M202" s="89"/>
      <c r="N202" s="90"/>
      <c r="O202" s="87"/>
    </row>
    <row r="203" spans="1:16" ht="22.5" customHeight="1">
      <c r="A203" s="108"/>
      <c r="B203" s="85"/>
      <c r="C203" s="85"/>
      <c r="D203" s="86"/>
      <c r="E203" s="87"/>
      <c r="F203" s="85"/>
      <c r="G203" s="88"/>
      <c r="H203" s="88"/>
      <c r="I203" s="88"/>
      <c r="J203" s="89"/>
      <c r="K203" s="89"/>
      <c r="L203" s="89"/>
      <c r="M203" s="89"/>
      <c r="N203" s="90"/>
      <c r="O203" s="87"/>
    </row>
    <row r="204" spans="1:16" ht="22.5" customHeight="1">
      <c r="A204" s="108"/>
      <c r="B204" s="85"/>
      <c r="C204" s="85"/>
      <c r="D204" s="86"/>
      <c r="E204" s="87"/>
      <c r="F204" s="85"/>
      <c r="G204" s="88"/>
      <c r="H204" s="88"/>
      <c r="I204" s="88"/>
      <c r="J204" s="89"/>
      <c r="K204" s="89"/>
      <c r="L204" s="89"/>
      <c r="M204" s="89"/>
      <c r="N204" s="90"/>
      <c r="O204" s="87"/>
    </row>
    <row r="205" spans="1:16" ht="22.5" customHeight="1">
      <c r="A205" s="108"/>
      <c r="B205" s="85"/>
      <c r="C205" s="85"/>
      <c r="D205" s="86"/>
      <c r="E205" s="87"/>
      <c r="F205" s="85"/>
      <c r="G205" s="88"/>
      <c r="H205" s="88"/>
      <c r="I205" s="88"/>
      <c r="J205" s="89"/>
      <c r="K205" s="89"/>
      <c r="L205" s="89"/>
      <c r="M205" s="89"/>
      <c r="N205" s="90"/>
      <c r="O205" s="87"/>
    </row>
    <row r="206" spans="1:16" ht="22.5" customHeight="1">
      <c r="A206" s="108"/>
      <c r="B206" s="85"/>
      <c r="C206" s="85"/>
      <c r="D206" s="86"/>
      <c r="E206" s="87"/>
      <c r="F206" s="85"/>
      <c r="G206" s="88"/>
      <c r="H206" s="88"/>
      <c r="I206" s="88"/>
      <c r="J206" s="89"/>
      <c r="K206" s="89"/>
      <c r="L206" s="89"/>
      <c r="M206" s="89"/>
      <c r="N206" s="90"/>
      <c r="O206" s="87"/>
    </row>
    <row r="207" spans="1:16" ht="22.5" customHeight="1">
      <c r="A207" s="108"/>
      <c r="B207" s="85"/>
      <c r="C207" s="85"/>
      <c r="D207" s="86"/>
      <c r="E207" s="87"/>
      <c r="F207" s="85"/>
      <c r="G207" s="88"/>
      <c r="H207" s="88"/>
      <c r="I207" s="88"/>
      <c r="J207" s="89"/>
      <c r="K207" s="89"/>
      <c r="L207" s="89"/>
      <c r="M207" s="89"/>
      <c r="N207" s="90"/>
      <c r="O207" s="87"/>
    </row>
    <row r="208" spans="1:16" ht="22.5" customHeight="1">
      <c r="A208" s="108"/>
      <c r="B208" s="85"/>
      <c r="C208" s="85"/>
      <c r="D208" s="86"/>
      <c r="E208" s="87"/>
      <c r="F208" s="85"/>
      <c r="G208" s="88"/>
      <c r="H208" s="88"/>
      <c r="I208" s="88"/>
      <c r="J208" s="89"/>
      <c r="K208" s="89"/>
      <c r="L208" s="89"/>
      <c r="M208" s="89"/>
      <c r="N208" s="90"/>
      <c r="O208" s="87"/>
    </row>
    <row r="209" spans="1:15" ht="22.5" customHeight="1">
      <c r="A209" s="108"/>
      <c r="B209" s="85"/>
      <c r="C209" s="85"/>
      <c r="D209" s="86"/>
      <c r="E209" s="87"/>
      <c r="F209" s="85"/>
      <c r="G209" s="88"/>
      <c r="H209" s="88"/>
      <c r="I209" s="88"/>
      <c r="J209" s="89"/>
      <c r="K209" s="89"/>
      <c r="L209" s="89"/>
      <c r="M209" s="89"/>
      <c r="N209" s="90"/>
      <c r="O209" s="87"/>
    </row>
    <row r="210" spans="1:15" ht="22.5" customHeight="1">
      <c r="A210" s="108"/>
      <c r="B210" s="85"/>
      <c r="C210" s="85"/>
      <c r="D210" s="86"/>
      <c r="E210" s="87"/>
      <c r="F210" s="85"/>
      <c r="G210" s="88"/>
      <c r="H210" s="88"/>
      <c r="I210" s="88"/>
      <c r="J210" s="89"/>
      <c r="K210" s="89"/>
      <c r="L210" s="89"/>
      <c r="M210" s="89"/>
      <c r="N210" s="90"/>
      <c r="O210" s="87"/>
    </row>
    <row r="211" spans="1:15" ht="22.5" customHeight="1">
      <c r="A211" s="108"/>
      <c r="B211" s="85"/>
      <c r="C211" s="85"/>
      <c r="D211" s="86"/>
      <c r="E211" s="87"/>
      <c r="F211" s="85"/>
      <c r="G211" s="88"/>
      <c r="H211" s="88"/>
      <c r="I211" s="88"/>
      <c r="J211" s="89"/>
      <c r="K211" s="89"/>
      <c r="L211" s="89"/>
      <c r="M211" s="89"/>
      <c r="N211" s="90"/>
      <c r="O211" s="87"/>
    </row>
    <row r="212" spans="1:15" ht="22.5" customHeight="1">
      <c r="A212" s="108"/>
      <c r="B212" s="85"/>
      <c r="C212" s="85"/>
      <c r="D212" s="86"/>
      <c r="E212" s="87"/>
      <c r="F212" s="85"/>
      <c r="G212" s="88"/>
      <c r="H212" s="88"/>
      <c r="I212" s="88"/>
      <c r="J212" s="89"/>
      <c r="K212" s="89"/>
      <c r="L212" s="89"/>
      <c r="M212" s="89"/>
      <c r="N212" s="90"/>
      <c r="O212" s="87"/>
    </row>
    <row r="213" spans="1:15" ht="22.5" customHeight="1">
      <c r="A213" s="108"/>
      <c r="B213" s="85"/>
      <c r="C213" s="85"/>
      <c r="D213" s="86"/>
      <c r="E213" s="87"/>
      <c r="F213" s="85"/>
      <c r="G213" s="88"/>
      <c r="H213" s="88"/>
      <c r="I213" s="88"/>
      <c r="J213" s="89"/>
      <c r="K213" s="89"/>
      <c r="L213" s="89"/>
      <c r="M213" s="89"/>
      <c r="N213" s="90"/>
      <c r="O213" s="87"/>
    </row>
    <row r="214" spans="1:15" ht="22.5" customHeight="1">
      <c r="A214" s="108"/>
      <c r="B214" s="85"/>
      <c r="C214" s="85"/>
      <c r="D214" s="86"/>
      <c r="E214" s="87"/>
      <c r="F214" s="85"/>
      <c r="G214" s="88"/>
      <c r="H214" s="88"/>
      <c r="I214" s="88"/>
      <c r="J214" s="89"/>
      <c r="K214" s="89"/>
      <c r="L214" s="89"/>
      <c r="M214" s="89"/>
      <c r="N214" s="90"/>
      <c r="O214" s="87"/>
    </row>
    <row r="215" spans="1:15" ht="22.5" customHeight="1">
      <c r="A215" s="108"/>
      <c r="B215" s="85"/>
      <c r="C215" s="85"/>
      <c r="D215" s="86"/>
      <c r="E215" s="87"/>
      <c r="F215" s="85"/>
      <c r="G215" s="88"/>
      <c r="H215" s="88"/>
      <c r="I215" s="88"/>
      <c r="J215" s="89"/>
      <c r="K215" s="89"/>
      <c r="L215" s="89"/>
      <c r="M215" s="89"/>
      <c r="N215" s="90"/>
      <c r="O215" s="87"/>
    </row>
    <row r="216" spans="1:15" ht="22.5" customHeight="1">
      <c r="A216" s="108"/>
      <c r="B216" s="85"/>
      <c r="C216" s="85"/>
      <c r="D216" s="86"/>
      <c r="E216" s="87"/>
      <c r="F216" s="85"/>
      <c r="G216" s="88"/>
      <c r="H216" s="88"/>
      <c r="I216" s="88"/>
      <c r="J216" s="89"/>
      <c r="K216" s="89"/>
      <c r="L216" s="89"/>
      <c r="M216" s="89"/>
      <c r="N216" s="90"/>
      <c r="O216" s="87"/>
    </row>
    <row r="217" spans="1:15" ht="22.5" customHeight="1">
      <c r="A217" s="108"/>
      <c r="B217" s="85"/>
      <c r="C217" s="85"/>
      <c r="D217" s="86"/>
      <c r="E217" s="87"/>
      <c r="F217" s="85"/>
      <c r="G217" s="88"/>
      <c r="H217" s="88"/>
      <c r="I217" s="88"/>
      <c r="J217" s="89"/>
      <c r="K217" s="89"/>
      <c r="L217" s="89"/>
      <c r="M217" s="89"/>
      <c r="N217" s="90"/>
      <c r="O217" s="87"/>
    </row>
    <row r="218" spans="1:15" ht="22.5" customHeight="1">
      <c r="A218" s="108"/>
      <c r="B218" s="85"/>
      <c r="C218" s="85"/>
      <c r="D218" s="86"/>
      <c r="E218" s="87"/>
      <c r="F218" s="85"/>
      <c r="G218" s="88"/>
      <c r="H218" s="88"/>
      <c r="I218" s="88"/>
      <c r="J218" s="89"/>
      <c r="K218" s="89"/>
      <c r="L218" s="89"/>
      <c r="M218" s="89"/>
      <c r="N218" s="90"/>
      <c r="O218" s="87"/>
    </row>
    <row r="219" spans="1:15" ht="22.5" customHeight="1">
      <c r="A219" s="108"/>
      <c r="B219" s="85"/>
      <c r="C219" s="85"/>
      <c r="D219" s="86"/>
      <c r="E219" s="87"/>
      <c r="F219" s="85"/>
      <c r="G219" s="88"/>
      <c r="H219" s="88"/>
      <c r="I219" s="88"/>
      <c r="J219" s="89"/>
      <c r="K219" s="89"/>
      <c r="L219" s="89"/>
      <c r="M219" s="89"/>
      <c r="N219" s="90"/>
      <c r="O219" s="87"/>
    </row>
    <row r="220" spans="1:15" ht="22.5" customHeight="1">
      <c r="A220" s="108"/>
      <c r="B220" s="85"/>
      <c r="C220" s="85"/>
      <c r="D220" s="86"/>
      <c r="E220" s="87"/>
      <c r="F220" s="85"/>
      <c r="G220" s="88"/>
      <c r="H220" s="88"/>
      <c r="I220" s="88"/>
      <c r="J220" s="89"/>
      <c r="K220" s="89"/>
      <c r="L220" s="89"/>
      <c r="M220" s="89"/>
      <c r="N220" s="90"/>
      <c r="O220" s="87"/>
    </row>
    <row r="221" spans="1:15" ht="22.5" customHeight="1">
      <c r="A221" s="108"/>
      <c r="B221" s="85"/>
      <c r="C221" s="85"/>
      <c r="D221" s="86"/>
      <c r="E221" s="87"/>
      <c r="F221" s="85"/>
      <c r="G221" s="88"/>
      <c r="H221" s="88"/>
      <c r="I221" s="88"/>
      <c r="J221" s="89"/>
      <c r="K221" s="89"/>
      <c r="L221" s="89"/>
      <c r="M221" s="89"/>
      <c r="N221" s="90"/>
      <c r="O221" s="87"/>
    </row>
    <row r="222" spans="1:15" ht="22.5" customHeight="1">
      <c r="A222" s="108"/>
      <c r="B222" s="85"/>
      <c r="C222" s="85"/>
      <c r="D222" s="86"/>
      <c r="E222" s="87"/>
      <c r="F222" s="85"/>
      <c r="G222" s="88"/>
      <c r="H222" s="88"/>
      <c r="I222" s="88"/>
      <c r="J222" s="89"/>
      <c r="K222" s="89"/>
      <c r="L222" s="89"/>
      <c r="M222" s="89"/>
      <c r="N222" s="90"/>
      <c r="O222" s="87"/>
    </row>
    <row r="223" spans="1:15" ht="22.5" customHeight="1">
      <c r="A223" s="108"/>
      <c r="B223" s="85"/>
      <c r="C223" s="85"/>
      <c r="D223" s="86"/>
      <c r="E223" s="87"/>
      <c r="F223" s="85"/>
      <c r="G223" s="88"/>
      <c r="H223" s="88"/>
      <c r="I223" s="88"/>
      <c r="J223" s="89"/>
      <c r="K223" s="89"/>
      <c r="L223" s="89"/>
      <c r="M223" s="89"/>
      <c r="N223" s="90"/>
      <c r="O223" s="87"/>
    </row>
    <row r="224" spans="1:15" ht="22.5" customHeight="1">
      <c r="A224" s="108"/>
      <c r="B224" s="85"/>
      <c r="C224" s="85"/>
      <c r="D224" s="86"/>
      <c r="E224" s="87"/>
      <c r="F224" s="85"/>
      <c r="G224" s="88"/>
      <c r="H224" s="88"/>
      <c r="I224" s="88"/>
      <c r="J224" s="89"/>
      <c r="K224" s="89"/>
      <c r="L224" s="89"/>
      <c r="M224" s="89"/>
      <c r="N224" s="90"/>
      <c r="O224" s="87"/>
    </row>
    <row r="225" spans="1:15" ht="22.5" customHeight="1">
      <c r="A225" s="108"/>
      <c r="B225" s="85"/>
      <c r="C225" s="85"/>
      <c r="D225" s="86"/>
      <c r="E225" s="87"/>
      <c r="F225" s="85"/>
      <c r="G225" s="88"/>
      <c r="H225" s="88"/>
      <c r="I225" s="88"/>
      <c r="J225" s="89"/>
      <c r="K225" s="89"/>
      <c r="L225" s="89"/>
      <c r="M225" s="89"/>
      <c r="N225" s="90"/>
      <c r="O225" s="87"/>
    </row>
    <row r="226" spans="1:15" ht="22.5" customHeight="1">
      <c r="A226" s="108"/>
      <c r="B226" s="85"/>
      <c r="C226" s="85"/>
      <c r="D226" s="86"/>
      <c r="E226" s="87"/>
      <c r="F226" s="85"/>
      <c r="G226" s="88"/>
      <c r="H226" s="88"/>
      <c r="I226" s="88"/>
      <c r="J226" s="89"/>
      <c r="K226" s="89"/>
      <c r="L226" s="89"/>
      <c r="M226" s="89"/>
      <c r="N226" s="90"/>
      <c r="O226" s="87"/>
    </row>
    <row r="227" spans="1:15" ht="22.5" customHeight="1">
      <c r="A227" s="108"/>
      <c r="B227" s="85"/>
      <c r="C227" s="85"/>
      <c r="D227" s="86"/>
      <c r="E227" s="87"/>
      <c r="F227" s="85"/>
      <c r="G227" s="88"/>
      <c r="H227" s="88"/>
      <c r="I227" s="88"/>
      <c r="J227" s="89"/>
      <c r="K227" s="89"/>
      <c r="L227" s="89"/>
      <c r="M227" s="89"/>
      <c r="N227" s="90"/>
      <c r="O227" s="87"/>
    </row>
    <row r="228" spans="1:15" ht="22.5" customHeight="1">
      <c r="A228" s="108"/>
      <c r="B228" s="85"/>
      <c r="C228" s="85"/>
      <c r="D228" s="86"/>
      <c r="E228" s="87"/>
      <c r="F228" s="85"/>
      <c r="G228" s="88"/>
      <c r="H228" s="88"/>
      <c r="I228" s="88"/>
      <c r="J228" s="89"/>
      <c r="K228" s="89"/>
      <c r="L228" s="89"/>
      <c r="M228" s="89"/>
      <c r="N228" s="90"/>
      <c r="O228" s="87"/>
    </row>
    <row r="229" spans="1:15" ht="22.5" customHeight="1">
      <c r="A229" s="108"/>
      <c r="B229" s="85"/>
      <c r="C229" s="85"/>
      <c r="D229" s="86"/>
      <c r="E229" s="87"/>
      <c r="F229" s="85"/>
      <c r="G229" s="88"/>
      <c r="H229" s="88"/>
      <c r="I229" s="88"/>
      <c r="J229" s="89"/>
      <c r="K229" s="89"/>
      <c r="L229" s="89"/>
      <c r="M229" s="89"/>
      <c r="N229" s="90"/>
      <c r="O229" s="87"/>
    </row>
    <row r="230" spans="1:15" ht="22.5" customHeight="1">
      <c r="A230" s="108"/>
      <c r="B230" s="85"/>
      <c r="C230" s="85"/>
      <c r="D230" s="86"/>
      <c r="E230" s="87"/>
      <c r="F230" s="85"/>
      <c r="G230" s="88"/>
      <c r="H230" s="88"/>
      <c r="I230" s="88"/>
      <c r="J230" s="89"/>
      <c r="K230" s="89"/>
      <c r="L230" s="89"/>
      <c r="M230" s="89"/>
      <c r="N230" s="90"/>
      <c r="O230" s="87"/>
    </row>
    <row r="231" spans="1:15" ht="22.5" customHeight="1">
      <c r="A231" s="108"/>
      <c r="B231" s="85"/>
      <c r="C231" s="85"/>
      <c r="D231" s="86"/>
      <c r="E231" s="87"/>
      <c r="F231" s="85"/>
      <c r="G231" s="88"/>
      <c r="H231" s="88"/>
      <c r="I231" s="88"/>
      <c r="J231" s="89"/>
      <c r="K231" s="89"/>
      <c r="L231" s="89"/>
      <c r="M231" s="89"/>
      <c r="N231" s="90"/>
      <c r="O231" s="87"/>
    </row>
    <row r="232" spans="1:15" ht="22.5" customHeight="1">
      <c r="A232" s="108"/>
      <c r="B232" s="85"/>
      <c r="C232" s="85"/>
      <c r="D232" s="86"/>
      <c r="E232" s="87"/>
      <c r="F232" s="85"/>
      <c r="G232" s="88"/>
      <c r="H232" s="88"/>
      <c r="I232" s="88"/>
      <c r="J232" s="89"/>
      <c r="K232" s="89"/>
      <c r="L232" s="89"/>
      <c r="M232" s="89"/>
      <c r="N232" s="90"/>
      <c r="O232" s="87"/>
    </row>
    <row r="233" spans="1:15" ht="22.5" customHeight="1">
      <c r="A233" s="108"/>
      <c r="B233" s="85"/>
      <c r="C233" s="85"/>
      <c r="D233" s="86"/>
      <c r="E233" s="87"/>
      <c r="F233" s="85"/>
      <c r="G233" s="88"/>
      <c r="H233" s="88"/>
      <c r="I233" s="88"/>
      <c r="J233" s="89"/>
      <c r="K233" s="89"/>
      <c r="L233" s="89"/>
      <c r="M233" s="89"/>
      <c r="N233" s="90"/>
      <c r="O233" s="87"/>
    </row>
    <row r="234" spans="1:15" ht="22.5" customHeight="1">
      <c r="A234" s="108"/>
      <c r="B234" s="85"/>
      <c r="C234" s="85"/>
      <c r="D234" s="86"/>
      <c r="E234" s="87"/>
      <c r="F234" s="85"/>
      <c r="G234" s="88"/>
      <c r="H234" s="88"/>
      <c r="I234" s="88"/>
      <c r="J234" s="89"/>
      <c r="K234" s="89"/>
      <c r="L234" s="89"/>
      <c r="M234" s="89"/>
      <c r="N234" s="90"/>
      <c r="O234" s="87"/>
    </row>
    <row r="235" spans="1:15" ht="22.5" customHeight="1">
      <c r="A235" s="108"/>
      <c r="B235" s="85"/>
      <c r="C235" s="85"/>
      <c r="D235" s="86"/>
      <c r="E235" s="87"/>
      <c r="F235" s="85"/>
      <c r="G235" s="88"/>
      <c r="H235" s="88"/>
      <c r="I235" s="88"/>
      <c r="J235" s="89"/>
      <c r="K235" s="89"/>
      <c r="L235" s="89"/>
      <c r="M235" s="89"/>
      <c r="N235" s="90"/>
      <c r="O235" s="87"/>
    </row>
    <row r="236" spans="1:15" ht="22.5" customHeight="1">
      <c r="A236" s="108"/>
      <c r="B236" s="85"/>
      <c r="C236" s="85"/>
      <c r="D236" s="86"/>
      <c r="E236" s="87"/>
      <c r="F236" s="85"/>
      <c r="G236" s="88"/>
      <c r="H236" s="88"/>
      <c r="I236" s="88"/>
      <c r="J236" s="89"/>
      <c r="K236" s="89"/>
      <c r="L236" s="89"/>
      <c r="M236" s="89"/>
      <c r="N236" s="90"/>
      <c r="O236" s="87"/>
    </row>
    <row r="237" spans="1:15" ht="22.5" customHeight="1">
      <c r="A237" s="108"/>
      <c r="B237" s="85"/>
      <c r="C237" s="85"/>
      <c r="D237" s="86"/>
      <c r="E237" s="87"/>
      <c r="F237" s="85"/>
      <c r="G237" s="88"/>
      <c r="H237" s="88"/>
      <c r="I237" s="88"/>
      <c r="J237" s="89"/>
      <c r="K237" s="89"/>
      <c r="L237" s="89"/>
      <c r="M237" s="89"/>
      <c r="N237" s="90"/>
      <c r="O237" s="87"/>
    </row>
    <row r="238" spans="1:15" ht="22.5" customHeight="1">
      <c r="A238" s="108"/>
      <c r="B238" s="85"/>
      <c r="C238" s="85"/>
      <c r="D238" s="86"/>
      <c r="E238" s="87"/>
      <c r="F238" s="85"/>
      <c r="G238" s="88"/>
      <c r="H238" s="88"/>
      <c r="I238" s="88"/>
      <c r="J238" s="89"/>
      <c r="K238" s="89"/>
      <c r="L238" s="89"/>
      <c r="M238" s="89"/>
      <c r="N238" s="90"/>
      <c r="O238" s="87"/>
    </row>
    <row r="239" spans="1:15" ht="22.5" customHeight="1">
      <c r="A239" s="108"/>
      <c r="B239" s="85"/>
      <c r="C239" s="85"/>
      <c r="D239" s="86"/>
      <c r="E239" s="87"/>
      <c r="F239" s="85"/>
      <c r="G239" s="88"/>
      <c r="H239" s="88"/>
      <c r="I239" s="88"/>
      <c r="J239" s="89"/>
      <c r="K239" s="89"/>
      <c r="L239" s="89"/>
      <c r="M239" s="89"/>
      <c r="N239" s="90"/>
      <c r="O239" s="87"/>
    </row>
    <row r="240" spans="1:15" ht="22.5" customHeight="1">
      <c r="A240" s="108"/>
      <c r="B240" s="85"/>
      <c r="C240" s="85"/>
      <c r="D240" s="86"/>
      <c r="E240" s="87"/>
      <c r="F240" s="85"/>
      <c r="G240" s="88"/>
      <c r="H240" s="88"/>
      <c r="I240" s="88"/>
      <c r="J240" s="89"/>
      <c r="K240" s="89"/>
      <c r="L240" s="89"/>
      <c r="M240" s="89"/>
      <c r="N240" s="90"/>
      <c r="O240" s="87"/>
    </row>
    <row r="241" spans="1:15" ht="22.5" customHeight="1">
      <c r="A241" s="108"/>
      <c r="B241" s="85"/>
      <c r="C241" s="85"/>
      <c r="D241" s="86"/>
      <c r="E241" s="87"/>
      <c r="F241" s="85"/>
      <c r="G241" s="88"/>
      <c r="H241" s="88"/>
      <c r="I241" s="88"/>
      <c r="J241" s="89"/>
      <c r="K241" s="89"/>
      <c r="L241" s="89"/>
      <c r="M241" s="89"/>
      <c r="N241" s="90"/>
      <c r="O241" s="87"/>
    </row>
    <row r="242" spans="1:15" ht="22.5" customHeight="1">
      <c r="A242" s="108"/>
      <c r="B242" s="85"/>
      <c r="C242" s="85"/>
      <c r="D242" s="86"/>
      <c r="E242" s="87"/>
      <c r="F242" s="85"/>
      <c r="G242" s="88"/>
      <c r="H242" s="88"/>
      <c r="I242" s="88"/>
      <c r="J242" s="89"/>
      <c r="K242" s="89"/>
      <c r="L242" s="89"/>
      <c r="M242" s="89"/>
      <c r="N242" s="90"/>
      <c r="O242" s="87"/>
    </row>
    <row r="243" spans="1:15" ht="22.5" customHeight="1">
      <c r="A243" s="108"/>
      <c r="B243" s="85"/>
      <c r="C243" s="85"/>
      <c r="D243" s="86"/>
      <c r="E243" s="87"/>
      <c r="F243" s="85"/>
      <c r="G243" s="88"/>
      <c r="H243" s="88"/>
      <c r="I243" s="88"/>
      <c r="J243" s="89"/>
      <c r="K243" s="89"/>
      <c r="L243" s="89"/>
      <c r="M243" s="89"/>
      <c r="N243" s="90"/>
      <c r="O243" s="87"/>
    </row>
    <row r="244" spans="1:15" ht="22.5" customHeight="1">
      <c r="A244" s="108"/>
      <c r="B244" s="85"/>
      <c r="C244" s="85"/>
      <c r="D244" s="86"/>
      <c r="E244" s="87"/>
      <c r="F244" s="85"/>
      <c r="G244" s="88"/>
      <c r="H244" s="88"/>
      <c r="I244" s="88"/>
      <c r="J244" s="89"/>
      <c r="K244" s="89"/>
      <c r="L244" s="89"/>
      <c r="M244" s="89"/>
      <c r="N244" s="90"/>
      <c r="O244" s="87"/>
    </row>
    <row r="245" spans="1:15" ht="22.5" customHeight="1">
      <c r="A245" s="108"/>
      <c r="B245" s="85"/>
      <c r="C245" s="85"/>
      <c r="D245" s="86"/>
      <c r="E245" s="87"/>
      <c r="F245" s="85"/>
      <c r="G245" s="88"/>
      <c r="H245" s="88"/>
      <c r="I245" s="88"/>
      <c r="J245" s="89"/>
      <c r="K245" s="89"/>
      <c r="L245" s="89"/>
      <c r="M245" s="89"/>
      <c r="N245" s="90"/>
      <c r="O245" s="87"/>
    </row>
    <row r="246" spans="1:15" ht="22.5" customHeight="1">
      <c r="A246" s="108"/>
      <c r="B246" s="85"/>
      <c r="C246" s="85"/>
      <c r="D246" s="86"/>
      <c r="E246" s="87"/>
      <c r="F246" s="85"/>
      <c r="G246" s="88"/>
      <c r="H246" s="88"/>
      <c r="I246" s="88"/>
      <c r="J246" s="89"/>
      <c r="K246" s="89"/>
      <c r="L246" s="89"/>
      <c r="M246" s="89"/>
      <c r="N246" s="90"/>
      <c r="O246" s="87"/>
    </row>
    <row r="247" spans="1:15" ht="22.5" customHeight="1">
      <c r="A247" s="108"/>
      <c r="B247" s="85"/>
      <c r="C247" s="85"/>
      <c r="D247" s="86"/>
      <c r="E247" s="87"/>
      <c r="F247" s="85"/>
      <c r="G247" s="88"/>
      <c r="H247" s="88"/>
      <c r="I247" s="88"/>
      <c r="J247" s="89"/>
      <c r="K247" s="89"/>
      <c r="L247" s="89"/>
      <c r="M247" s="89"/>
      <c r="N247" s="90"/>
      <c r="O247" s="87"/>
    </row>
    <row r="248" spans="1:15" ht="22.5" customHeight="1">
      <c r="A248" s="108"/>
      <c r="B248" s="85"/>
      <c r="C248" s="85"/>
      <c r="D248" s="86"/>
      <c r="E248" s="87"/>
      <c r="F248" s="85"/>
      <c r="G248" s="88"/>
      <c r="H248" s="88"/>
      <c r="I248" s="88"/>
      <c r="J248" s="89"/>
      <c r="K248" s="89"/>
      <c r="L248" s="89"/>
      <c r="M248" s="89"/>
      <c r="N248" s="90"/>
      <c r="O248" s="87"/>
    </row>
    <row r="249" spans="1:15" ht="22.5" customHeight="1">
      <c r="A249" s="108"/>
      <c r="B249" s="85"/>
      <c r="C249" s="85"/>
      <c r="D249" s="86"/>
      <c r="E249" s="87"/>
      <c r="F249" s="85"/>
      <c r="G249" s="88"/>
      <c r="H249" s="88"/>
      <c r="I249" s="88"/>
      <c r="J249" s="89"/>
      <c r="K249" s="89"/>
      <c r="L249" s="89"/>
      <c r="M249" s="89"/>
      <c r="N249" s="90"/>
      <c r="O249" s="87"/>
    </row>
    <row r="250" spans="1:15" ht="22.5" customHeight="1">
      <c r="A250" s="108"/>
      <c r="B250" s="85"/>
      <c r="C250" s="85"/>
      <c r="D250" s="86"/>
      <c r="E250" s="87"/>
      <c r="F250" s="85"/>
      <c r="G250" s="88"/>
      <c r="H250" s="88"/>
      <c r="I250" s="88"/>
      <c r="J250" s="89"/>
      <c r="K250" s="89"/>
      <c r="L250" s="89"/>
      <c r="M250" s="89"/>
      <c r="N250" s="90"/>
      <c r="O250" s="87"/>
    </row>
    <row r="251" spans="1:15" ht="22.5" customHeight="1">
      <c r="A251" s="108"/>
      <c r="B251" s="85"/>
      <c r="C251" s="85"/>
      <c r="D251" s="86"/>
      <c r="E251" s="87"/>
      <c r="F251" s="85"/>
      <c r="G251" s="88"/>
      <c r="H251" s="88"/>
      <c r="I251" s="88"/>
      <c r="J251" s="89"/>
      <c r="K251" s="89"/>
      <c r="L251" s="89"/>
      <c r="M251" s="89"/>
      <c r="N251" s="90"/>
      <c r="O251" s="87"/>
    </row>
    <row r="252" spans="1:15" ht="22.5" customHeight="1">
      <c r="A252" s="108"/>
      <c r="B252" s="85"/>
      <c r="C252" s="85"/>
      <c r="D252" s="86"/>
      <c r="E252" s="87"/>
      <c r="F252" s="85"/>
      <c r="G252" s="88"/>
      <c r="H252" s="88"/>
      <c r="I252" s="88"/>
      <c r="J252" s="89"/>
      <c r="K252" s="89"/>
      <c r="L252" s="89"/>
      <c r="M252" s="89"/>
      <c r="N252" s="90"/>
      <c r="O252" s="87"/>
    </row>
    <row r="253" spans="1:15" ht="22.5" customHeight="1">
      <c r="A253" s="108"/>
      <c r="B253" s="85"/>
      <c r="C253" s="85"/>
      <c r="D253" s="86"/>
      <c r="E253" s="87"/>
      <c r="F253" s="85"/>
      <c r="G253" s="88"/>
      <c r="H253" s="88"/>
      <c r="I253" s="88"/>
      <c r="J253" s="89"/>
      <c r="K253" s="89"/>
      <c r="L253" s="89"/>
      <c r="M253" s="89"/>
      <c r="N253" s="90"/>
      <c r="O253" s="87"/>
    </row>
    <row r="254" spans="1:15" ht="22.5" customHeight="1">
      <c r="A254" s="108"/>
      <c r="B254" s="85"/>
      <c r="C254" s="85"/>
      <c r="D254" s="86"/>
      <c r="E254" s="87"/>
      <c r="F254" s="85"/>
      <c r="G254" s="88"/>
      <c r="H254" s="88"/>
      <c r="I254" s="88"/>
      <c r="J254" s="89"/>
      <c r="K254" s="89"/>
      <c r="L254" s="89"/>
      <c r="M254" s="89"/>
      <c r="N254" s="90"/>
      <c r="O254" s="87"/>
    </row>
    <row r="255" spans="1:15" ht="22.5" customHeight="1">
      <c r="A255" s="108"/>
      <c r="B255" s="85"/>
      <c r="C255" s="85"/>
      <c r="D255" s="86"/>
      <c r="E255" s="87"/>
      <c r="F255" s="85"/>
      <c r="G255" s="88"/>
      <c r="H255" s="88"/>
      <c r="I255" s="88"/>
      <c r="J255" s="89"/>
      <c r="K255" s="89"/>
      <c r="L255" s="89"/>
      <c r="M255" s="89"/>
      <c r="N255" s="90"/>
      <c r="O255" s="87"/>
    </row>
    <row r="256" spans="1:15" ht="22.5" customHeight="1">
      <c r="A256" s="108"/>
      <c r="B256" s="85"/>
      <c r="C256" s="85"/>
      <c r="D256" s="86"/>
      <c r="E256" s="87"/>
      <c r="F256" s="85"/>
      <c r="G256" s="88"/>
      <c r="H256" s="88"/>
      <c r="I256" s="88"/>
      <c r="J256" s="89"/>
      <c r="K256" s="89"/>
      <c r="L256" s="89"/>
      <c r="M256" s="89"/>
      <c r="N256" s="90"/>
      <c r="O256" s="87"/>
    </row>
    <row r="257" spans="1:15" ht="22.5" customHeight="1">
      <c r="A257" s="108"/>
      <c r="B257" s="85"/>
      <c r="C257" s="85"/>
      <c r="D257" s="86"/>
      <c r="E257" s="87"/>
      <c r="F257" s="85"/>
      <c r="G257" s="88"/>
      <c r="H257" s="88"/>
      <c r="I257" s="88"/>
      <c r="J257" s="89"/>
      <c r="K257" s="89"/>
      <c r="L257" s="89"/>
      <c r="M257" s="89"/>
      <c r="N257" s="90"/>
      <c r="O257" s="87"/>
    </row>
    <row r="258" spans="1:15" ht="22.5" customHeight="1">
      <c r="A258" s="108"/>
      <c r="B258" s="85"/>
      <c r="C258" s="85"/>
      <c r="D258" s="86"/>
      <c r="E258" s="87"/>
      <c r="F258" s="85"/>
      <c r="G258" s="88"/>
      <c r="H258" s="88"/>
      <c r="I258" s="88"/>
      <c r="J258" s="89"/>
      <c r="K258" s="89"/>
      <c r="L258" s="89"/>
      <c r="M258" s="89"/>
      <c r="N258" s="90"/>
      <c r="O258" s="87"/>
    </row>
    <row r="259" spans="1:15" ht="22.5" customHeight="1">
      <c r="A259" s="108"/>
      <c r="B259" s="85"/>
      <c r="C259" s="85"/>
      <c r="D259" s="86"/>
      <c r="E259" s="87"/>
      <c r="F259" s="85"/>
      <c r="G259" s="88"/>
      <c r="H259" s="88"/>
      <c r="I259" s="88"/>
      <c r="J259" s="89"/>
      <c r="K259" s="89"/>
      <c r="L259" s="89"/>
      <c r="M259" s="89"/>
      <c r="N259" s="90"/>
      <c r="O259" s="87"/>
    </row>
    <row r="260" spans="1:15" ht="22.5" customHeight="1">
      <c r="A260" s="108"/>
      <c r="B260" s="85"/>
      <c r="C260" s="85"/>
      <c r="D260" s="86"/>
      <c r="E260" s="87"/>
      <c r="F260" s="85"/>
      <c r="G260" s="88"/>
      <c r="H260" s="88"/>
      <c r="I260" s="88"/>
      <c r="J260" s="89"/>
      <c r="K260" s="89"/>
      <c r="L260" s="89"/>
      <c r="M260" s="89"/>
      <c r="N260" s="90"/>
      <c r="O260" s="87"/>
    </row>
    <row r="261" spans="1:15" ht="22.5" customHeight="1">
      <c r="A261" s="108"/>
      <c r="B261" s="85"/>
      <c r="C261" s="85"/>
      <c r="D261" s="86"/>
      <c r="E261" s="87"/>
      <c r="F261" s="85"/>
      <c r="G261" s="88"/>
      <c r="H261" s="88"/>
      <c r="I261" s="88"/>
      <c r="J261" s="89"/>
      <c r="K261" s="89"/>
      <c r="L261" s="89"/>
      <c r="M261" s="89"/>
      <c r="N261" s="90"/>
      <c r="O261" s="87"/>
    </row>
    <row r="262" spans="1:15" ht="22.5" customHeight="1">
      <c r="A262" s="108"/>
      <c r="B262" s="85"/>
      <c r="C262" s="85"/>
      <c r="D262" s="86"/>
      <c r="E262" s="87"/>
      <c r="F262" s="85"/>
      <c r="G262" s="88"/>
      <c r="H262" s="88"/>
      <c r="I262" s="88"/>
      <c r="J262" s="89"/>
      <c r="K262" s="89"/>
      <c r="L262" s="89"/>
      <c r="M262" s="89"/>
      <c r="N262" s="90"/>
      <c r="O262" s="87"/>
    </row>
    <row r="263" spans="1:15" ht="22.5" customHeight="1">
      <c r="A263" s="108"/>
      <c r="B263" s="85"/>
      <c r="C263" s="85"/>
      <c r="D263" s="86"/>
      <c r="E263" s="87"/>
      <c r="F263" s="85"/>
      <c r="G263" s="88"/>
      <c r="H263" s="88"/>
      <c r="I263" s="88"/>
      <c r="J263" s="89"/>
      <c r="K263" s="89"/>
      <c r="L263" s="89"/>
      <c r="M263" s="89"/>
      <c r="N263" s="90"/>
      <c r="O263" s="87"/>
    </row>
    <row r="264" spans="1:15" ht="22.5" customHeight="1">
      <c r="A264" s="108"/>
      <c r="B264" s="85"/>
      <c r="C264" s="85"/>
      <c r="D264" s="86"/>
      <c r="E264" s="87"/>
      <c r="F264" s="85"/>
      <c r="G264" s="88"/>
      <c r="H264" s="88"/>
      <c r="I264" s="88"/>
      <c r="J264" s="89"/>
      <c r="K264" s="89"/>
      <c r="L264" s="89"/>
      <c r="M264" s="89"/>
      <c r="N264" s="90"/>
      <c r="O264" s="87"/>
    </row>
    <row r="265" spans="1:15" ht="22.5" customHeight="1">
      <c r="A265" s="108"/>
      <c r="B265" s="85"/>
      <c r="C265" s="85"/>
      <c r="D265" s="86"/>
      <c r="E265" s="87"/>
      <c r="F265" s="85"/>
      <c r="G265" s="88"/>
      <c r="H265" s="88"/>
      <c r="I265" s="88"/>
      <c r="J265" s="89"/>
      <c r="K265" s="89"/>
      <c r="L265" s="89"/>
      <c r="M265" s="89"/>
      <c r="N265" s="90"/>
      <c r="O265" s="87"/>
    </row>
    <row r="266" spans="1:15" ht="22.5" customHeight="1">
      <c r="A266" s="108"/>
      <c r="B266" s="85"/>
      <c r="C266" s="85"/>
      <c r="D266" s="86"/>
      <c r="E266" s="87"/>
      <c r="F266" s="85"/>
      <c r="G266" s="88"/>
      <c r="H266" s="88"/>
      <c r="I266" s="88"/>
      <c r="J266" s="89"/>
      <c r="K266" s="89"/>
      <c r="L266" s="89"/>
      <c r="M266" s="89"/>
      <c r="N266" s="90"/>
      <c r="O266" s="87"/>
    </row>
    <row r="267" spans="1:15" ht="22.5" customHeight="1">
      <c r="A267" s="108"/>
      <c r="B267" s="85"/>
      <c r="C267" s="85"/>
      <c r="D267" s="86"/>
      <c r="E267" s="87"/>
      <c r="F267" s="85"/>
      <c r="G267" s="88"/>
      <c r="H267" s="88"/>
      <c r="I267" s="88"/>
      <c r="J267" s="89"/>
      <c r="K267" s="89"/>
      <c r="L267" s="89"/>
      <c r="M267" s="89"/>
      <c r="N267" s="90"/>
      <c r="O267" s="87"/>
    </row>
    <row r="268" spans="1:15" ht="22.5" customHeight="1">
      <c r="A268" s="108"/>
      <c r="B268" s="85"/>
      <c r="C268" s="85"/>
      <c r="D268" s="86"/>
      <c r="E268" s="87"/>
      <c r="F268" s="85"/>
      <c r="G268" s="88"/>
      <c r="H268" s="88"/>
      <c r="I268" s="88"/>
      <c r="J268" s="89"/>
      <c r="K268" s="89"/>
      <c r="L268" s="89"/>
      <c r="M268" s="89"/>
      <c r="N268" s="90"/>
      <c r="O268" s="87"/>
    </row>
    <row r="269" spans="1:15" ht="22.5" customHeight="1">
      <c r="A269" s="108"/>
      <c r="B269" s="85"/>
      <c r="C269" s="85"/>
      <c r="D269" s="86"/>
      <c r="E269" s="87"/>
      <c r="F269" s="85"/>
      <c r="G269" s="88"/>
      <c r="H269" s="88"/>
      <c r="I269" s="88"/>
      <c r="J269" s="89"/>
      <c r="K269" s="89"/>
      <c r="L269" s="89"/>
      <c r="M269" s="89"/>
      <c r="N269" s="90"/>
      <c r="O269" s="87"/>
    </row>
    <row r="270" spans="1:15" ht="22.5" customHeight="1">
      <c r="A270" s="108"/>
      <c r="B270" s="85"/>
      <c r="C270" s="85"/>
      <c r="D270" s="86"/>
      <c r="E270" s="87"/>
      <c r="F270" s="85"/>
      <c r="G270" s="88"/>
      <c r="H270" s="88"/>
      <c r="I270" s="88"/>
      <c r="J270" s="89"/>
      <c r="K270" s="89"/>
      <c r="L270" s="89"/>
      <c r="M270" s="89"/>
      <c r="N270" s="90"/>
      <c r="O270" s="87"/>
    </row>
    <row r="271" spans="1:15" ht="22.5" customHeight="1">
      <c r="A271" s="108"/>
      <c r="B271" s="85"/>
      <c r="C271" s="85"/>
      <c r="D271" s="86"/>
      <c r="E271" s="87"/>
      <c r="F271" s="85"/>
      <c r="G271" s="88"/>
      <c r="H271" s="88"/>
      <c r="I271" s="88"/>
      <c r="J271" s="89"/>
      <c r="K271" s="89"/>
      <c r="L271" s="89"/>
      <c r="M271" s="89"/>
      <c r="N271" s="90"/>
      <c r="O271" s="87"/>
    </row>
    <row r="272" spans="1:15" ht="22.5" customHeight="1">
      <c r="A272" s="108"/>
      <c r="B272" s="85"/>
      <c r="C272" s="85"/>
      <c r="D272" s="86"/>
      <c r="E272" s="87"/>
      <c r="F272" s="85"/>
      <c r="G272" s="88"/>
      <c r="H272" s="88"/>
      <c r="I272" s="88"/>
      <c r="J272" s="89"/>
      <c r="K272" s="89"/>
      <c r="L272" s="89"/>
      <c r="M272" s="89"/>
      <c r="N272" s="90"/>
      <c r="O272" s="87"/>
    </row>
    <row r="273" spans="1:15" ht="22.5" customHeight="1">
      <c r="A273" s="108"/>
      <c r="B273" s="85"/>
      <c r="C273" s="85"/>
      <c r="D273" s="86"/>
      <c r="E273" s="87"/>
      <c r="F273" s="85"/>
      <c r="G273" s="88"/>
      <c r="H273" s="88"/>
      <c r="I273" s="88"/>
      <c r="J273" s="89"/>
      <c r="K273" s="89"/>
      <c r="L273" s="89"/>
      <c r="M273" s="89"/>
      <c r="N273" s="90"/>
      <c r="O273" s="87"/>
    </row>
    <row r="274" spans="1:15" ht="22.5" customHeight="1">
      <c r="A274" s="108"/>
      <c r="B274" s="85"/>
      <c r="C274" s="85"/>
      <c r="D274" s="86"/>
      <c r="E274" s="87"/>
      <c r="F274" s="85"/>
      <c r="G274" s="88"/>
      <c r="H274" s="88"/>
      <c r="I274" s="88"/>
      <c r="J274" s="89"/>
      <c r="K274" s="89"/>
      <c r="L274" s="89"/>
      <c r="M274" s="89"/>
      <c r="N274" s="90"/>
      <c r="O274" s="87"/>
    </row>
    <row r="275" spans="1:15" ht="22.5" customHeight="1">
      <c r="A275" s="108"/>
      <c r="B275" s="85"/>
      <c r="C275" s="85"/>
      <c r="D275" s="86"/>
      <c r="E275" s="87"/>
      <c r="F275" s="85"/>
      <c r="G275" s="88"/>
      <c r="H275" s="88"/>
      <c r="I275" s="88"/>
      <c r="J275" s="89"/>
      <c r="K275" s="89"/>
      <c r="L275" s="89"/>
      <c r="M275" s="89"/>
      <c r="N275" s="90"/>
      <c r="O275" s="87"/>
    </row>
    <row r="276" spans="1:15" ht="22.5" customHeight="1">
      <c r="A276" s="108"/>
      <c r="B276" s="85"/>
      <c r="C276" s="85"/>
      <c r="D276" s="86"/>
      <c r="E276" s="87"/>
      <c r="F276" s="85"/>
      <c r="G276" s="88"/>
      <c r="H276" s="88"/>
      <c r="I276" s="88"/>
      <c r="J276" s="89"/>
      <c r="K276" s="89"/>
      <c r="L276" s="89"/>
      <c r="M276" s="89"/>
      <c r="N276" s="90"/>
      <c r="O276" s="87"/>
    </row>
    <row r="277" spans="1:15" ht="22.5" customHeight="1">
      <c r="A277" s="108"/>
      <c r="B277" s="85"/>
      <c r="C277" s="85"/>
      <c r="D277" s="86"/>
      <c r="E277" s="87"/>
      <c r="F277" s="85"/>
      <c r="G277" s="88"/>
      <c r="H277" s="88"/>
      <c r="I277" s="88"/>
      <c r="J277" s="89"/>
      <c r="K277" s="89"/>
      <c r="L277" s="89"/>
      <c r="M277" s="89"/>
      <c r="N277" s="90"/>
      <c r="O277" s="87"/>
    </row>
    <row r="278" spans="1:15" ht="22.5" customHeight="1">
      <c r="A278" s="108"/>
      <c r="B278" s="85"/>
      <c r="C278" s="85"/>
      <c r="D278" s="86"/>
      <c r="E278" s="87"/>
      <c r="F278" s="85"/>
      <c r="G278" s="88"/>
      <c r="H278" s="88"/>
      <c r="I278" s="88"/>
      <c r="J278" s="89"/>
      <c r="K278" s="89"/>
      <c r="L278" s="89"/>
      <c r="M278" s="89"/>
      <c r="N278" s="90"/>
      <c r="O278" s="87"/>
    </row>
    <row r="279" spans="1:15" ht="22.5" customHeight="1">
      <c r="A279" s="108"/>
      <c r="B279" s="85"/>
      <c r="C279" s="85"/>
      <c r="D279" s="86"/>
      <c r="E279" s="87"/>
      <c r="F279" s="85"/>
      <c r="G279" s="88"/>
      <c r="H279" s="88"/>
      <c r="I279" s="88"/>
      <c r="J279" s="89"/>
      <c r="K279" s="89"/>
      <c r="L279" s="89"/>
      <c r="M279" s="89"/>
      <c r="N279" s="90"/>
      <c r="O279" s="87"/>
    </row>
    <row r="280" spans="1:15" ht="22.5" customHeight="1">
      <c r="A280" s="108"/>
      <c r="B280" s="85"/>
      <c r="C280" s="85"/>
      <c r="D280" s="86"/>
      <c r="E280" s="87"/>
      <c r="F280" s="85"/>
      <c r="G280" s="88"/>
      <c r="H280" s="88"/>
      <c r="I280" s="88"/>
      <c r="J280" s="89"/>
      <c r="K280" s="89"/>
      <c r="L280" s="89"/>
      <c r="M280" s="89"/>
      <c r="N280" s="90"/>
      <c r="O280" s="87"/>
    </row>
    <row r="281" spans="1:15" ht="22.5" customHeight="1">
      <c r="A281" s="108"/>
      <c r="B281" s="85"/>
      <c r="C281" s="85"/>
      <c r="D281" s="86"/>
      <c r="E281" s="87"/>
      <c r="F281" s="85"/>
      <c r="G281" s="88"/>
      <c r="H281" s="88"/>
      <c r="I281" s="88"/>
      <c r="J281" s="89"/>
      <c r="K281" s="89"/>
      <c r="L281" s="89"/>
      <c r="M281" s="89"/>
      <c r="N281" s="90"/>
      <c r="O281" s="87"/>
    </row>
    <row r="282" spans="1:15" ht="22.5" customHeight="1">
      <c r="A282" s="108"/>
      <c r="B282" s="85"/>
      <c r="C282" s="85"/>
      <c r="D282" s="86"/>
      <c r="E282" s="87"/>
      <c r="F282" s="85"/>
      <c r="G282" s="88"/>
      <c r="H282" s="88"/>
      <c r="I282" s="88"/>
      <c r="J282" s="89"/>
      <c r="K282" s="89"/>
      <c r="L282" s="89"/>
      <c r="M282" s="89"/>
      <c r="N282" s="90"/>
      <c r="O282" s="87"/>
    </row>
    <row r="283" spans="1:15" ht="22.5" customHeight="1">
      <c r="A283" s="108"/>
      <c r="B283" s="85"/>
      <c r="C283" s="85"/>
      <c r="D283" s="86"/>
      <c r="E283" s="87"/>
      <c r="F283" s="85"/>
      <c r="G283" s="88"/>
      <c r="H283" s="88"/>
      <c r="I283" s="88"/>
      <c r="J283" s="89"/>
      <c r="K283" s="89"/>
      <c r="L283" s="89"/>
      <c r="M283" s="89"/>
      <c r="N283" s="90"/>
      <c r="O283" s="87"/>
    </row>
    <row r="284" spans="1:15" ht="22.5" customHeight="1">
      <c r="A284" s="108"/>
      <c r="B284" s="85"/>
      <c r="C284" s="85"/>
      <c r="D284" s="86"/>
      <c r="E284" s="87"/>
      <c r="F284" s="85"/>
      <c r="G284" s="88"/>
      <c r="H284" s="88"/>
      <c r="I284" s="88"/>
      <c r="J284" s="89"/>
      <c r="K284" s="89"/>
      <c r="L284" s="89"/>
      <c r="M284" s="89"/>
      <c r="N284" s="90"/>
      <c r="O284" s="87"/>
    </row>
    <row r="285" spans="1:15" ht="22.5" customHeight="1">
      <c r="A285" s="108"/>
      <c r="B285" s="85"/>
      <c r="C285" s="85"/>
      <c r="D285" s="86"/>
      <c r="E285" s="87"/>
      <c r="F285" s="85"/>
      <c r="G285" s="88"/>
      <c r="H285" s="88"/>
      <c r="I285" s="88"/>
      <c r="J285" s="89"/>
      <c r="K285" s="89"/>
      <c r="L285" s="89"/>
      <c r="M285" s="89"/>
      <c r="N285" s="90"/>
      <c r="O285" s="87"/>
    </row>
    <row r="286" spans="1:15" ht="22.5" customHeight="1">
      <c r="A286" s="108"/>
      <c r="B286" s="85"/>
      <c r="C286" s="85"/>
      <c r="D286" s="86"/>
      <c r="E286" s="87"/>
      <c r="F286" s="85"/>
      <c r="G286" s="88"/>
      <c r="H286" s="88"/>
      <c r="I286" s="88"/>
      <c r="J286" s="89"/>
      <c r="K286" s="89"/>
      <c r="L286" s="89"/>
      <c r="M286" s="89"/>
      <c r="N286" s="90"/>
      <c r="O286" s="87"/>
    </row>
    <row r="287" spans="1:15" ht="22.5" customHeight="1">
      <c r="A287" s="108"/>
      <c r="B287" s="85"/>
      <c r="C287" s="85"/>
      <c r="D287" s="86"/>
      <c r="E287" s="87"/>
      <c r="F287" s="85"/>
      <c r="G287" s="88"/>
      <c r="H287" s="88"/>
      <c r="I287" s="88"/>
      <c r="J287" s="89"/>
      <c r="K287" s="89"/>
      <c r="L287" s="89"/>
      <c r="M287" s="89"/>
      <c r="N287" s="90"/>
      <c r="O287" s="87"/>
    </row>
    <row r="288" spans="1:15" ht="22.5" customHeight="1">
      <c r="A288" s="108"/>
      <c r="B288" s="85"/>
      <c r="C288" s="85"/>
      <c r="D288" s="86"/>
      <c r="E288" s="87"/>
      <c r="F288" s="85"/>
      <c r="G288" s="88"/>
      <c r="H288" s="88"/>
      <c r="I288" s="88"/>
      <c r="J288" s="89"/>
      <c r="K288" s="89"/>
      <c r="L288" s="89"/>
      <c r="M288" s="89"/>
      <c r="N288" s="90"/>
      <c r="O288" s="87"/>
    </row>
    <row r="289" spans="1:15" ht="22.5" customHeight="1">
      <c r="A289" s="108"/>
      <c r="B289" s="85"/>
      <c r="C289" s="85"/>
      <c r="D289" s="86"/>
      <c r="E289" s="87"/>
      <c r="F289" s="85"/>
      <c r="G289" s="88"/>
      <c r="H289" s="88"/>
      <c r="I289" s="88"/>
      <c r="J289" s="89"/>
      <c r="K289" s="89"/>
      <c r="L289" s="89"/>
      <c r="M289" s="89"/>
      <c r="N289" s="90"/>
      <c r="O289" s="87"/>
    </row>
    <row r="290" spans="1:15" ht="22.5" customHeight="1">
      <c r="A290" s="108"/>
      <c r="B290" s="85"/>
      <c r="C290" s="85"/>
      <c r="D290" s="86"/>
      <c r="E290" s="87"/>
      <c r="F290" s="85"/>
      <c r="G290" s="88"/>
      <c r="H290" s="88"/>
      <c r="I290" s="88"/>
      <c r="J290" s="89"/>
      <c r="K290" s="89"/>
      <c r="L290" s="89"/>
      <c r="M290" s="89"/>
      <c r="N290" s="90"/>
      <c r="O290" s="87"/>
    </row>
    <row r="291" spans="1:15" ht="22.5" customHeight="1">
      <c r="A291" s="108"/>
      <c r="B291" s="85"/>
      <c r="C291" s="85"/>
      <c r="D291" s="86"/>
      <c r="E291" s="87"/>
      <c r="F291" s="85"/>
      <c r="G291" s="88"/>
      <c r="H291" s="88"/>
      <c r="I291" s="88"/>
      <c r="J291" s="89"/>
      <c r="K291" s="89"/>
      <c r="L291" s="89"/>
      <c r="M291" s="89"/>
      <c r="N291" s="90"/>
      <c r="O291" s="87"/>
    </row>
    <row r="292" spans="1:15" ht="22.5" customHeight="1">
      <c r="A292" s="108"/>
      <c r="B292" s="85"/>
      <c r="C292" s="85"/>
      <c r="D292" s="86"/>
      <c r="E292" s="87"/>
      <c r="F292" s="85"/>
      <c r="G292" s="88"/>
      <c r="H292" s="88"/>
      <c r="I292" s="88"/>
      <c r="J292" s="89"/>
      <c r="K292" s="89"/>
      <c r="L292" s="89"/>
      <c r="M292" s="89"/>
      <c r="N292" s="90"/>
      <c r="O292" s="87"/>
    </row>
    <row r="293" spans="1:15" ht="22.5" customHeight="1">
      <c r="A293" s="108"/>
      <c r="B293" s="85"/>
      <c r="C293" s="85"/>
      <c r="D293" s="86"/>
      <c r="E293" s="87"/>
      <c r="F293" s="85"/>
      <c r="G293" s="88"/>
      <c r="H293" s="88"/>
      <c r="I293" s="88"/>
      <c r="J293" s="89"/>
      <c r="K293" s="89"/>
      <c r="L293" s="89"/>
      <c r="M293" s="89"/>
      <c r="N293" s="90"/>
      <c r="O293" s="87"/>
    </row>
    <row r="294" spans="1:15" ht="22.5" customHeight="1">
      <c r="A294" s="108"/>
      <c r="B294" s="85"/>
      <c r="C294" s="85"/>
      <c r="D294" s="86"/>
      <c r="E294" s="87"/>
      <c r="F294" s="85"/>
      <c r="G294" s="88"/>
      <c r="H294" s="88"/>
      <c r="I294" s="88"/>
      <c r="J294" s="89"/>
      <c r="K294" s="89"/>
      <c r="L294" s="89"/>
      <c r="M294" s="89"/>
      <c r="N294" s="90"/>
      <c r="O294" s="87"/>
    </row>
    <row r="295" spans="1:15" ht="22.5" customHeight="1">
      <c r="A295" s="108"/>
      <c r="B295" s="85"/>
      <c r="C295" s="85"/>
      <c r="D295" s="86"/>
      <c r="E295" s="87"/>
      <c r="F295" s="85"/>
      <c r="G295" s="88"/>
      <c r="H295" s="88"/>
      <c r="I295" s="88"/>
      <c r="J295" s="89"/>
      <c r="K295" s="89"/>
      <c r="L295" s="89"/>
      <c r="M295" s="89"/>
      <c r="N295" s="90"/>
      <c r="O295" s="87"/>
    </row>
    <row r="296" spans="1:15" ht="22.5" customHeight="1">
      <c r="A296" s="108"/>
      <c r="B296" s="85"/>
      <c r="C296" s="85"/>
      <c r="D296" s="86"/>
      <c r="E296" s="87"/>
      <c r="F296" s="85"/>
      <c r="G296" s="88"/>
      <c r="H296" s="88"/>
      <c r="I296" s="88"/>
      <c r="J296" s="89"/>
      <c r="K296" s="89"/>
      <c r="L296" s="89"/>
      <c r="M296" s="89"/>
      <c r="N296" s="90"/>
      <c r="O296" s="87"/>
    </row>
    <row r="297" spans="1:15" ht="22.5" customHeight="1">
      <c r="A297" s="108"/>
      <c r="B297" s="85"/>
      <c r="C297" s="85"/>
      <c r="D297" s="86"/>
      <c r="E297" s="87"/>
      <c r="F297" s="85"/>
      <c r="G297" s="88"/>
      <c r="H297" s="88"/>
      <c r="I297" s="88"/>
      <c r="J297" s="89"/>
      <c r="K297" s="89"/>
      <c r="L297" s="89"/>
      <c r="M297" s="89"/>
      <c r="N297" s="90"/>
      <c r="O297" s="87"/>
    </row>
    <row r="298" spans="1:15" ht="22.5" customHeight="1">
      <c r="A298" s="108"/>
      <c r="B298" s="85"/>
      <c r="C298" s="85"/>
      <c r="D298" s="86"/>
      <c r="E298" s="87"/>
      <c r="F298" s="85"/>
      <c r="G298" s="88"/>
      <c r="H298" s="88"/>
      <c r="I298" s="88"/>
      <c r="J298" s="89"/>
      <c r="K298" s="89"/>
      <c r="L298" s="89"/>
      <c r="M298" s="89"/>
      <c r="N298" s="90"/>
      <c r="O298" s="87"/>
    </row>
    <row r="299" spans="1:15" ht="22.5" customHeight="1">
      <c r="A299" s="108"/>
      <c r="B299" s="85"/>
      <c r="C299" s="85"/>
      <c r="D299" s="86"/>
      <c r="E299" s="87"/>
      <c r="F299" s="85"/>
      <c r="G299" s="88"/>
      <c r="H299" s="88"/>
      <c r="I299" s="88"/>
      <c r="J299" s="89"/>
      <c r="K299" s="89"/>
      <c r="L299" s="89"/>
      <c r="M299" s="89"/>
      <c r="N299" s="90"/>
      <c r="O299" s="87"/>
    </row>
    <row r="300" spans="1:15" ht="22.5" customHeight="1">
      <c r="A300" s="108"/>
      <c r="B300" s="85"/>
      <c r="C300" s="85"/>
      <c r="D300" s="86"/>
      <c r="E300" s="87"/>
      <c r="F300" s="85"/>
      <c r="G300" s="88"/>
      <c r="H300" s="88"/>
      <c r="I300" s="88"/>
      <c r="J300" s="89"/>
      <c r="K300" s="89"/>
      <c r="L300" s="89"/>
      <c r="M300" s="89"/>
      <c r="N300" s="90"/>
      <c r="O300" s="87"/>
    </row>
    <row r="301" spans="1:15" ht="22.5" customHeight="1">
      <c r="A301" s="108"/>
      <c r="B301" s="85"/>
      <c r="C301" s="85"/>
      <c r="D301" s="86"/>
      <c r="E301" s="87"/>
      <c r="F301" s="85"/>
      <c r="G301" s="88"/>
      <c r="H301" s="88"/>
      <c r="I301" s="88"/>
      <c r="J301" s="89"/>
      <c r="K301" s="89"/>
      <c r="L301" s="89"/>
      <c r="M301" s="89"/>
      <c r="N301" s="90"/>
      <c r="O301" s="87"/>
    </row>
    <row r="302" spans="1:15" ht="22.5" customHeight="1">
      <c r="A302" s="108"/>
      <c r="B302" s="85"/>
      <c r="C302" s="85"/>
      <c r="D302" s="86"/>
      <c r="E302" s="87"/>
      <c r="F302" s="85"/>
      <c r="G302" s="88"/>
      <c r="H302" s="88"/>
      <c r="I302" s="88"/>
      <c r="J302" s="89"/>
      <c r="K302" s="89"/>
      <c r="L302" s="89"/>
      <c r="M302" s="89"/>
      <c r="N302" s="90"/>
      <c r="O302" s="87"/>
    </row>
    <row r="303" spans="1:15" ht="22.5" customHeight="1">
      <c r="A303" s="108"/>
      <c r="B303" s="85"/>
      <c r="C303" s="85"/>
      <c r="D303" s="86"/>
      <c r="E303" s="87"/>
      <c r="F303" s="85"/>
      <c r="G303" s="88"/>
      <c r="H303" s="88"/>
      <c r="I303" s="88"/>
      <c r="J303" s="89"/>
      <c r="K303" s="89"/>
      <c r="L303" s="89"/>
      <c r="M303" s="89"/>
      <c r="N303" s="90"/>
      <c r="O303" s="87"/>
    </row>
    <row r="304" spans="1:15" ht="22.5" customHeight="1">
      <c r="A304" s="108"/>
      <c r="B304" s="85"/>
      <c r="C304" s="85"/>
      <c r="D304" s="86"/>
      <c r="E304" s="87"/>
      <c r="F304" s="85"/>
      <c r="G304" s="88"/>
      <c r="H304" s="88"/>
      <c r="I304" s="88"/>
      <c r="J304" s="89"/>
      <c r="K304" s="89"/>
      <c r="L304" s="89"/>
      <c r="M304" s="89"/>
      <c r="N304" s="90"/>
      <c r="O304" s="87"/>
    </row>
    <row r="305" spans="1:15" ht="22.5" customHeight="1">
      <c r="A305" s="108"/>
      <c r="B305" s="85"/>
      <c r="C305" s="85"/>
      <c r="D305" s="86"/>
      <c r="E305" s="87"/>
      <c r="F305" s="85"/>
      <c r="G305" s="88"/>
      <c r="H305" s="88"/>
      <c r="I305" s="88"/>
      <c r="J305" s="89"/>
      <c r="K305" s="89"/>
      <c r="L305" s="89"/>
      <c r="M305" s="89"/>
      <c r="N305" s="90"/>
      <c r="O305" s="87"/>
    </row>
    <row r="306" spans="1:15" ht="22.5" customHeight="1">
      <c r="A306" s="108"/>
      <c r="B306" s="85"/>
      <c r="C306" s="85"/>
      <c r="D306" s="86"/>
      <c r="E306" s="87"/>
      <c r="F306" s="85"/>
      <c r="G306" s="88"/>
      <c r="H306" s="88"/>
      <c r="I306" s="88"/>
      <c r="J306" s="89"/>
      <c r="K306" s="89"/>
      <c r="L306" s="89"/>
      <c r="M306" s="89"/>
      <c r="N306" s="90"/>
      <c r="O306" s="87"/>
    </row>
    <row r="307" spans="1:15" ht="22.5" customHeight="1">
      <c r="A307" s="108"/>
      <c r="B307" s="85"/>
      <c r="C307" s="85"/>
      <c r="D307" s="86"/>
      <c r="E307" s="87"/>
      <c r="F307" s="85"/>
      <c r="G307" s="88"/>
      <c r="H307" s="88"/>
      <c r="I307" s="88"/>
      <c r="J307" s="89"/>
      <c r="K307" s="89"/>
      <c r="L307" s="89"/>
      <c r="M307" s="89"/>
      <c r="N307" s="90"/>
      <c r="O307" s="87"/>
    </row>
    <row r="308" spans="1:15" ht="22.5" customHeight="1">
      <c r="A308" s="108"/>
      <c r="B308" s="85"/>
      <c r="C308" s="85"/>
      <c r="D308" s="86"/>
      <c r="E308" s="87"/>
      <c r="F308" s="85"/>
      <c r="G308" s="88"/>
      <c r="H308" s="88"/>
      <c r="I308" s="88"/>
      <c r="J308" s="89"/>
      <c r="K308" s="89"/>
      <c r="L308" s="89"/>
      <c r="M308" s="89"/>
      <c r="N308" s="90"/>
      <c r="O308" s="87"/>
    </row>
    <row r="309" spans="1:15" ht="22.5" customHeight="1">
      <c r="A309" s="108"/>
      <c r="B309" s="85"/>
      <c r="C309" s="85"/>
      <c r="D309" s="86"/>
      <c r="E309" s="87"/>
      <c r="F309" s="85"/>
      <c r="G309" s="88"/>
      <c r="H309" s="88"/>
      <c r="I309" s="88"/>
      <c r="J309" s="89"/>
      <c r="K309" s="89"/>
      <c r="L309" s="89"/>
      <c r="M309" s="89"/>
      <c r="N309" s="90"/>
      <c r="O309" s="87"/>
    </row>
    <row r="310" spans="1:15" ht="22.5" customHeight="1">
      <c r="A310" s="108"/>
      <c r="B310" s="85"/>
      <c r="C310" s="85"/>
      <c r="D310" s="86"/>
      <c r="E310" s="87"/>
      <c r="F310" s="85"/>
      <c r="G310" s="88"/>
      <c r="H310" s="88"/>
      <c r="I310" s="88"/>
      <c r="J310" s="89"/>
      <c r="K310" s="89"/>
      <c r="L310" s="89"/>
      <c r="M310" s="89"/>
      <c r="N310" s="90"/>
      <c r="O310" s="87"/>
    </row>
    <row r="311" spans="1:15" ht="22.5" customHeight="1">
      <c r="A311" s="108"/>
      <c r="B311" s="85"/>
      <c r="C311" s="85"/>
      <c r="D311" s="86"/>
      <c r="E311" s="87"/>
      <c r="F311" s="85"/>
      <c r="G311" s="88"/>
      <c r="H311" s="88"/>
      <c r="I311" s="88"/>
      <c r="J311" s="89"/>
      <c r="K311" s="89"/>
      <c r="L311" s="89"/>
      <c r="M311" s="89"/>
      <c r="N311" s="90"/>
      <c r="O311" s="87"/>
    </row>
    <row r="312" spans="1:15" ht="22.5" customHeight="1">
      <c r="A312" s="108"/>
      <c r="B312" s="85"/>
      <c r="C312" s="85"/>
      <c r="D312" s="86"/>
      <c r="E312" s="87"/>
      <c r="F312" s="85"/>
      <c r="G312" s="88"/>
      <c r="H312" s="88"/>
      <c r="I312" s="88"/>
      <c r="J312" s="89"/>
      <c r="K312" s="89"/>
      <c r="L312" s="89"/>
      <c r="M312" s="89"/>
      <c r="N312" s="90"/>
      <c r="O312" s="87"/>
    </row>
    <row r="313" spans="1:15" ht="22.5" customHeight="1">
      <c r="A313" s="108"/>
      <c r="B313" s="85"/>
      <c r="C313" s="85"/>
      <c r="D313" s="86"/>
      <c r="E313" s="87"/>
      <c r="F313" s="85"/>
      <c r="G313" s="88"/>
      <c r="H313" s="88"/>
      <c r="I313" s="88"/>
      <c r="J313" s="89"/>
      <c r="K313" s="89"/>
      <c r="L313" s="89"/>
      <c r="M313" s="89"/>
      <c r="N313" s="90"/>
      <c r="O313" s="87"/>
    </row>
    <row r="314" spans="1:15" ht="22.5" customHeight="1">
      <c r="A314" s="108"/>
      <c r="B314" s="85"/>
      <c r="C314" s="85"/>
      <c r="D314" s="86"/>
      <c r="E314" s="87"/>
      <c r="F314" s="85"/>
      <c r="G314" s="88"/>
      <c r="H314" s="88"/>
      <c r="I314" s="88"/>
      <c r="J314" s="89"/>
      <c r="K314" s="89"/>
      <c r="L314" s="89"/>
      <c r="M314" s="89"/>
      <c r="N314" s="90"/>
      <c r="O314" s="87"/>
    </row>
    <row r="315" spans="1:15" ht="22.5" customHeight="1">
      <c r="A315" s="108"/>
      <c r="B315" s="85"/>
      <c r="C315" s="85"/>
      <c r="D315" s="86"/>
      <c r="E315" s="87"/>
      <c r="F315" s="85"/>
      <c r="G315" s="88"/>
      <c r="H315" s="88"/>
      <c r="I315" s="88"/>
      <c r="J315" s="89"/>
      <c r="K315" s="89"/>
      <c r="L315" s="89"/>
      <c r="M315" s="89"/>
      <c r="N315" s="90"/>
      <c r="O315" s="87"/>
    </row>
    <row r="316" spans="1:15" ht="22.5" customHeight="1">
      <c r="A316" s="108"/>
      <c r="B316" s="85"/>
      <c r="C316" s="85"/>
      <c r="D316" s="86"/>
      <c r="E316" s="87"/>
      <c r="F316" s="85"/>
      <c r="G316" s="88"/>
      <c r="H316" s="88"/>
      <c r="I316" s="88"/>
      <c r="J316" s="89"/>
      <c r="K316" s="89"/>
      <c r="L316" s="89"/>
      <c r="M316" s="89"/>
      <c r="N316" s="90"/>
      <c r="O316" s="87"/>
    </row>
    <row r="317" spans="1:15" ht="22.5" customHeight="1">
      <c r="A317" s="108"/>
      <c r="B317" s="85"/>
      <c r="C317" s="85"/>
      <c r="D317" s="86"/>
      <c r="E317" s="87"/>
      <c r="F317" s="85"/>
      <c r="G317" s="88"/>
      <c r="H317" s="88"/>
      <c r="I317" s="88"/>
      <c r="J317" s="89"/>
      <c r="K317" s="89"/>
      <c r="L317" s="89"/>
      <c r="M317" s="89"/>
      <c r="N317" s="90"/>
      <c r="O317" s="87"/>
    </row>
    <row r="318" spans="1:15" ht="22.5" customHeight="1">
      <c r="A318" s="108"/>
      <c r="B318" s="85"/>
      <c r="C318" s="85"/>
      <c r="D318" s="86"/>
      <c r="E318" s="87"/>
      <c r="F318" s="85"/>
      <c r="G318" s="88"/>
      <c r="H318" s="88"/>
      <c r="I318" s="88"/>
      <c r="J318" s="89"/>
      <c r="K318" s="89"/>
      <c r="L318" s="89"/>
      <c r="M318" s="89"/>
      <c r="N318" s="90"/>
      <c r="O318" s="87"/>
    </row>
    <row r="319" spans="1:15" ht="22.5" customHeight="1">
      <c r="A319" s="108"/>
      <c r="B319" s="85"/>
      <c r="C319" s="85"/>
      <c r="D319" s="86"/>
      <c r="E319" s="87"/>
      <c r="F319" s="85"/>
      <c r="G319" s="88"/>
      <c r="H319" s="88"/>
      <c r="I319" s="88"/>
      <c r="J319" s="89"/>
      <c r="K319" s="89"/>
      <c r="L319" s="89"/>
      <c r="M319" s="89"/>
      <c r="N319" s="90"/>
      <c r="O319" s="87"/>
    </row>
    <row r="320" spans="1:15" ht="22.5" customHeight="1">
      <c r="A320" s="108"/>
      <c r="B320" s="85"/>
      <c r="C320" s="85"/>
      <c r="D320" s="86"/>
      <c r="E320" s="87"/>
      <c r="F320" s="85"/>
      <c r="G320" s="88"/>
      <c r="H320" s="88"/>
      <c r="I320" s="88"/>
      <c r="J320" s="89"/>
      <c r="K320" s="89"/>
      <c r="L320" s="89"/>
      <c r="M320" s="89"/>
      <c r="N320" s="90"/>
      <c r="O320" s="87"/>
    </row>
    <row r="321" spans="1:15" ht="22.5" customHeight="1">
      <c r="A321" s="108"/>
      <c r="B321" s="85"/>
      <c r="C321" s="85"/>
      <c r="D321" s="86"/>
      <c r="E321" s="87"/>
      <c r="F321" s="85"/>
      <c r="G321" s="88"/>
      <c r="H321" s="88"/>
      <c r="I321" s="88"/>
      <c r="J321" s="89"/>
      <c r="K321" s="89"/>
      <c r="L321" s="89"/>
      <c r="M321" s="89"/>
      <c r="N321" s="90"/>
      <c r="O321" s="87"/>
    </row>
    <row r="322" spans="1:15" ht="22.5" customHeight="1">
      <c r="A322" s="108"/>
      <c r="B322" s="85"/>
      <c r="C322" s="85"/>
      <c r="D322" s="86"/>
      <c r="E322" s="87"/>
      <c r="F322" s="85"/>
      <c r="G322" s="88"/>
      <c r="H322" s="88"/>
      <c r="I322" s="88"/>
      <c r="J322" s="89"/>
      <c r="K322" s="89"/>
      <c r="L322" s="89"/>
      <c r="M322" s="89"/>
      <c r="N322" s="90"/>
      <c r="O322" s="87"/>
    </row>
    <row r="323" spans="1:15" ht="22.5" customHeight="1">
      <c r="A323" s="108"/>
      <c r="B323" s="85"/>
      <c r="C323" s="85"/>
      <c r="D323" s="86"/>
      <c r="E323" s="87"/>
      <c r="F323" s="85"/>
      <c r="G323" s="88"/>
      <c r="H323" s="88"/>
      <c r="I323" s="88"/>
      <c r="J323" s="89"/>
      <c r="K323" s="89"/>
      <c r="L323" s="89"/>
      <c r="M323" s="89"/>
      <c r="N323" s="90"/>
      <c r="O323" s="87"/>
    </row>
    <row r="324" spans="1:15" ht="22.5" customHeight="1">
      <c r="A324" s="108"/>
      <c r="B324" s="85"/>
      <c r="C324" s="85"/>
      <c r="D324" s="86"/>
      <c r="E324" s="87"/>
      <c r="F324" s="85"/>
      <c r="G324" s="88"/>
      <c r="H324" s="88"/>
      <c r="I324" s="88"/>
      <c r="J324" s="89"/>
      <c r="K324" s="89"/>
      <c r="L324" s="89"/>
      <c r="M324" s="89"/>
      <c r="N324" s="90"/>
      <c r="O324" s="87"/>
    </row>
    <row r="325" spans="1:15" ht="22.5" customHeight="1">
      <c r="A325" s="108"/>
      <c r="B325" s="85"/>
      <c r="C325" s="85"/>
      <c r="D325" s="86"/>
      <c r="E325" s="87"/>
      <c r="F325" s="85"/>
      <c r="G325" s="88"/>
      <c r="H325" s="88"/>
      <c r="I325" s="88"/>
      <c r="J325" s="89"/>
      <c r="K325" s="89"/>
      <c r="L325" s="89"/>
      <c r="M325" s="89"/>
      <c r="N325" s="90"/>
      <c r="O325" s="87"/>
    </row>
    <row r="326" spans="1:15" ht="22.5" customHeight="1">
      <c r="A326" s="108"/>
      <c r="B326" s="85"/>
      <c r="C326" s="85"/>
      <c r="D326" s="86"/>
      <c r="E326" s="87"/>
      <c r="F326" s="85"/>
      <c r="G326" s="88"/>
      <c r="H326" s="88"/>
      <c r="I326" s="88"/>
      <c r="J326" s="89"/>
      <c r="K326" s="89"/>
      <c r="L326" s="89"/>
      <c r="M326" s="89"/>
      <c r="N326" s="90"/>
      <c r="O326" s="87"/>
    </row>
    <row r="327" spans="1:15" ht="22.5" customHeight="1">
      <c r="A327" s="108"/>
      <c r="B327" s="85"/>
      <c r="C327" s="85"/>
      <c r="D327" s="86"/>
      <c r="E327" s="87"/>
      <c r="F327" s="85"/>
      <c r="G327" s="88"/>
      <c r="H327" s="88"/>
      <c r="I327" s="88"/>
      <c r="J327" s="89"/>
      <c r="K327" s="89"/>
      <c r="L327" s="89"/>
      <c r="M327" s="89"/>
      <c r="N327" s="90"/>
      <c r="O327" s="87"/>
    </row>
    <row r="328" spans="1:15" ht="22.5" customHeight="1">
      <c r="A328" s="108"/>
      <c r="B328" s="85"/>
      <c r="C328" s="85"/>
      <c r="D328" s="86"/>
      <c r="E328" s="87"/>
      <c r="F328" s="85"/>
      <c r="G328" s="88"/>
      <c r="H328" s="88"/>
      <c r="I328" s="88"/>
      <c r="J328" s="89"/>
      <c r="K328" s="89"/>
      <c r="L328" s="89"/>
      <c r="M328" s="89"/>
      <c r="N328" s="90"/>
      <c r="O328" s="87"/>
    </row>
    <row r="329" spans="1:15" ht="22.5" customHeight="1">
      <c r="A329" s="108"/>
      <c r="B329" s="85"/>
      <c r="C329" s="85"/>
      <c r="D329" s="86"/>
      <c r="E329" s="87"/>
      <c r="F329" s="85"/>
      <c r="G329" s="88"/>
      <c r="H329" s="88"/>
      <c r="I329" s="88"/>
      <c r="J329" s="89"/>
      <c r="K329" s="89"/>
      <c r="L329" s="89"/>
      <c r="M329" s="89"/>
      <c r="N329" s="90"/>
      <c r="O329" s="87"/>
    </row>
    <row r="330" spans="1:15" ht="22.5" customHeight="1">
      <c r="A330" s="108"/>
      <c r="B330" s="85"/>
      <c r="C330" s="85"/>
      <c r="D330" s="86"/>
      <c r="E330" s="87"/>
      <c r="F330" s="85"/>
      <c r="G330" s="88"/>
      <c r="H330" s="88"/>
      <c r="I330" s="88"/>
      <c r="J330" s="89"/>
      <c r="K330" s="89"/>
      <c r="L330" s="89"/>
      <c r="M330" s="89"/>
      <c r="N330" s="90"/>
      <c r="O330" s="87"/>
    </row>
    <row r="331" spans="1:15" ht="22.5" customHeight="1">
      <c r="A331" s="108"/>
      <c r="B331" s="85"/>
      <c r="C331" s="85"/>
      <c r="D331" s="86"/>
      <c r="E331" s="87"/>
      <c r="F331" s="85"/>
      <c r="G331" s="88"/>
      <c r="H331" s="88"/>
      <c r="I331" s="88"/>
      <c r="J331" s="89"/>
      <c r="K331" s="89"/>
      <c r="L331" s="89"/>
      <c r="M331" s="89"/>
      <c r="N331" s="90"/>
      <c r="O331" s="87"/>
    </row>
    <row r="332" spans="1:15" ht="22.5" customHeight="1">
      <c r="A332" s="108"/>
      <c r="B332" s="85"/>
      <c r="C332" s="85"/>
      <c r="D332" s="86"/>
      <c r="E332" s="87"/>
      <c r="F332" s="85"/>
      <c r="G332" s="88"/>
      <c r="H332" s="88"/>
      <c r="I332" s="88"/>
      <c r="J332" s="89"/>
      <c r="K332" s="89"/>
      <c r="L332" s="89"/>
      <c r="M332" s="89"/>
      <c r="N332" s="90"/>
      <c r="O332" s="87"/>
    </row>
    <row r="333" spans="1:15" ht="22.5" customHeight="1">
      <c r="A333" s="108"/>
      <c r="B333" s="85"/>
      <c r="C333" s="85"/>
      <c r="D333" s="86"/>
      <c r="E333" s="87"/>
      <c r="F333" s="85"/>
      <c r="G333" s="88"/>
      <c r="H333" s="88"/>
      <c r="I333" s="88"/>
      <c r="J333" s="89"/>
      <c r="K333" s="89"/>
      <c r="L333" s="89"/>
      <c r="M333" s="89"/>
      <c r="N333" s="90"/>
      <c r="O333" s="87"/>
    </row>
    <row r="334" spans="1:15" ht="22.5" customHeight="1">
      <c r="A334" s="108"/>
      <c r="B334" s="85"/>
      <c r="C334" s="85"/>
      <c r="D334" s="86"/>
      <c r="E334" s="87"/>
      <c r="F334" s="85"/>
      <c r="G334" s="88"/>
      <c r="H334" s="88"/>
      <c r="I334" s="88"/>
      <c r="J334" s="89"/>
      <c r="K334" s="89"/>
      <c r="L334" s="89"/>
      <c r="M334" s="89"/>
      <c r="N334" s="90"/>
      <c r="O334" s="87"/>
    </row>
    <row r="335" spans="1:15" ht="22.5" customHeight="1">
      <c r="A335" s="108"/>
      <c r="B335" s="85"/>
      <c r="C335" s="85"/>
      <c r="D335" s="86"/>
      <c r="E335" s="87"/>
      <c r="F335" s="85"/>
      <c r="G335" s="88"/>
      <c r="H335" s="88"/>
      <c r="I335" s="88"/>
      <c r="J335" s="89"/>
      <c r="K335" s="89"/>
      <c r="L335" s="89"/>
      <c r="M335" s="89"/>
      <c r="N335" s="90"/>
      <c r="O335" s="87"/>
    </row>
    <row r="336" spans="1:15" ht="22.5" customHeight="1">
      <c r="A336" s="108"/>
      <c r="B336" s="85"/>
      <c r="C336" s="85"/>
      <c r="D336" s="86"/>
      <c r="E336" s="87"/>
      <c r="F336" s="85"/>
      <c r="G336" s="88"/>
      <c r="H336" s="88"/>
      <c r="I336" s="88"/>
      <c r="J336" s="89"/>
      <c r="K336" s="89"/>
      <c r="L336" s="89"/>
      <c r="M336" s="89"/>
      <c r="N336" s="90"/>
      <c r="O336" s="87"/>
    </row>
    <row r="337" spans="1:15" ht="22.5" customHeight="1">
      <c r="A337" s="108"/>
      <c r="B337" s="85"/>
      <c r="C337" s="85"/>
      <c r="D337" s="86"/>
      <c r="E337" s="87"/>
      <c r="F337" s="85"/>
      <c r="G337" s="88"/>
      <c r="H337" s="88"/>
      <c r="I337" s="88"/>
      <c r="J337" s="89"/>
      <c r="K337" s="89"/>
      <c r="L337" s="89"/>
      <c r="M337" s="89"/>
      <c r="N337" s="90"/>
      <c r="O337" s="87"/>
    </row>
    <row r="338" spans="1:15" ht="22.5" customHeight="1">
      <c r="A338" s="108"/>
      <c r="B338" s="85"/>
      <c r="C338" s="85"/>
      <c r="D338" s="86"/>
      <c r="E338" s="87"/>
      <c r="F338" s="85"/>
      <c r="G338" s="88"/>
      <c r="H338" s="88"/>
      <c r="I338" s="88"/>
      <c r="J338" s="89"/>
      <c r="K338" s="89"/>
      <c r="L338" s="89"/>
      <c r="M338" s="89"/>
      <c r="N338" s="90"/>
      <c r="O338" s="87"/>
    </row>
    <row r="339" spans="1:15" ht="22.5" customHeight="1">
      <c r="A339" s="108"/>
      <c r="B339" s="85"/>
      <c r="C339" s="85"/>
      <c r="D339" s="86"/>
      <c r="E339" s="87"/>
      <c r="F339" s="85"/>
      <c r="G339" s="88"/>
      <c r="H339" s="88"/>
      <c r="I339" s="88"/>
      <c r="J339" s="89"/>
      <c r="K339" s="89"/>
      <c r="L339" s="89"/>
      <c r="M339" s="89"/>
      <c r="N339" s="90"/>
      <c r="O339" s="87"/>
    </row>
    <row r="340" spans="1:15" ht="22.5" customHeight="1">
      <c r="A340" s="108"/>
      <c r="B340" s="85"/>
      <c r="C340" s="85"/>
      <c r="D340" s="86"/>
      <c r="E340" s="87"/>
      <c r="F340" s="85"/>
      <c r="G340" s="88"/>
      <c r="H340" s="88"/>
      <c r="I340" s="88"/>
      <c r="J340" s="89"/>
      <c r="K340" s="89"/>
      <c r="L340" s="89"/>
      <c r="M340" s="89"/>
      <c r="N340" s="90"/>
      <c r="O340" s="87"/>
    </row>
    <row r="341" spans="1:15" ht="22.5" customHeight="1">
      <c r="A341" s="108"/>
      <c r="B341" s="85"/>
      <c r="C341" s="85"/>
      <c r="D341" s="86"/>
      <c r="E341" s="87"/>
      <c r="F341" s="85"/>
      <c r="G341" s="88"/>
      <c r="H341" s="88"/>
      <c r="I341" s="88"/>
      <c r="J341" s="89"/>
      <c r="K341" s="89"/>
      <c r="L341" s="89"/>
      <c r="M341" s="89"/>
      <c r="N341" s="90"/>
      <c r="O341" s="87"/>
    </row>
    <row r="342" spans="1:15" ht="22.5" customHeight="1">
      <c r="A342" s="108"/>
      <c r="B342" s="85"/>
      <c r="C342" s="85"/>
      <c r="D342" s="86"/>
      <c r="E342" s="87"/>
      <c r="F342" s="85"/>
      <c r="G342" s="88"/>
      <c r="H342" s="88"/>
      <c r="I342" s="88"/>
      <c r="J342" s="89"/>
      <c r="K342" s="89"/>
      <c r="L342" s="89"/>
      <c r="M342" s="89"/>
      <c r="N342" s="90"/>
      <c r="O342" s="87"/>
    </row>
    <row r="343" spans="1:15" ht="22.5" customHeight="1">
      <c r="A343" s="108"/>
      <c r="B343" s="85"/>
      <c r="C343" s="85"/>
      <c r="D343" s="86"/>
      <c r="E343" s="87"/>
      <c r="F343" s="85"/>
      <c r="G343" s="88"/>
      <c r="H343" s="88"/>
      <c r="I343" s="88"/>
      <c r="J343" s="89"/>
      <c r="K343" s="89"/>
      <c r="L343" s="89"/>
      <c r="M343" s="89"/>
      <c r="N343" s="90"/>
      <c r="O343" s="87"/>
    </row>
    <row r="344" spans="1:15" ht="22.5" customHeight="1">
      <c r="A344" s="108"/>
      <c r="B344" s="85"/>
      <c r="C344" s="85"/>
      <c r="D344" s="86"/>
      <c r="E344" s="87"/>
      <c r="F344" s="85"/>
      <c r="G344" s="88"/>
      <c r="H344" s="88"/>
      <c r="I344" s="88"/>
      <c r="J344" s="89"/>
      <c r="K344" s="89"/>
      <c r="L344" s="89"/>
      <c r="M344" s="89"/>
      <c r="N344" s="90"/>
      <c r="O344" s="87"/>
    </row>
    <row r="345" spans="1:15" ht="22.5" customHeight="1">
      <c r="A345" s="108"/>
      <c r="B345" s="85"/>
      <c r="C345" s="85"/>
      <c r="D345" s="86"/>
      <c r="E345" s="87"/>
      <c r="F345" s="85"/>
      <c r="G345" s="88"/>
      <c r="H345" s="88"/>
      <c r="I345" s="88"/>
      <c r="J345" s="89"/>
      <c r="K345" s="89"/>
      <c r="L345" s="89"/>
      <c r="M345" s="89"/>
      <c r="N345" s="90"/>
      <c r="O345" s="87"/>
    </row>
    <row r="346" spans="1:15" ht="22.5" customHeight="1">
      <c r="A346" s="108"/>
      <c r="B346" s="85"/>
      <c r="C346" s="85"/>
      <c r="D346" s="86"/>
      <c r="E346" s="87"/>
      <c r="F346" s="85"/>
      <c r="G346" s="88"/>
      <c r="H346" s="88"/>
      <c r="I346" s="88"/>
      <c r="J346" s="89"/>
      <c r="K346" s="89"/>
      <c r="L346" s="89"/>
      <c r="M346" s="89"/>
      <c r="N346" s="90"/>
      <c r="O346" s="87"/>
    </row>
    <row r="347" spans="1:15" ht="22.5" customHeight="1">
      <c r="A347" s="108"/>
      <c r="B347" s="85"/>
      <c r="C347" s="85"/>
      <c r="D347" s="86"/>
      <c r="E347" s="87"/>
      <c r="F347" s="85"/>
      <c r="G347" s="88"/>
      <c r="H347" s="88"/>
      <c r="I347" s="88"/>
      <c r="J347" s="89"/>
      <c r="K347" s="89"/>
      <c r="L347" s="89"/>
      <c r="M347" s="89"/>
      <c r="N347" s="90"/>
      <c r="O347" s="87"/>
    </row>
    <row r="348" spans="1:15" ht="22.5" customHeight="1">
      <c r="A348" s="108"/>
      <c r="B348" s="85"/>
      <c r="C348" s="85"/>
      <c r="D348" s="86"/>
      <c r="E348" s="87"/>
      <c r="F348" s="85"/>
      <c r="G348" s="88"/>
      <c r="H348" s="88"/>
      <c r="I348" s="88"/>
      <c r="J348" s="89"/>
      <c r="K348" s="89"/>
      <c r="L348" s="89"/>
      <c r="M348" s="89"/>
      <c r="N348" s="90"/>
      <c r="O348" s="87"/>
    </row>
    <row r="349" spans="1:15" ht="22.5" customHeight="1">
      <c r="A349" s="108"/>
      <c r="B349" s="85"/>
      <c r="C349" s="85"/>
      <c r="D349" s="86"/>
      <c r="E349" s="87"/>
      <c r="F349" s="85"/>
      <c r="G349" s="88"/>
      <c r="H349" s="88"/>
      <c r="I349" s="88"/>
      <c r="J349" s="89"/>
      <c r="K349" s="89"/>
      <c r="L349" s="89"/>
      <c r="M349" s="89"/>
      <c r="N349" s="90"/>
      <c r="O349" s="87"/>
    </row>
    <row r="350" spans="1:15" ht="22.5" customHeight="1">
      <c r="A350" s="108"/>
      <c r="B350" s="85"/>
      <c r="C350" s="85"/>
      <c r="D350" s="86"/>
      <c r="E350" s="87"/>
      <c r="F350" s="85"/>
      <c r="G350" s="88"/>
      <c r="H350" s="88"/>
      <c r="I350" s="88"/>
      <c r="J350" s="89"/>
      <c r="K350" s="89"/>
      <c r="L350" s="89"/>
      <c r="M350" s="89"/>
      <c r="N350" s="90"/>
      <c r="O350" s="87"/>
    </row>
    <row r="351" spans="1:15" ht="22.5" customHeight="1">
      <c r="A351" s="108"/>
      <c r="B351" s="85"/>
      <c r="C351" s="85"/>
      <c r="D351" s="86"/>
      <c r="E351" s="87"/>
      <c r="F351" s="85"/>
      <c r="G351" s="88"/>
      <c r="H351" s="88"/>
      <c r="I351" s="88"/>
      <c r="J351" s="89"/>
      <c r="K351" s="89"/>
      <c r="L351" s="89"/>
      <c r="M351" s="89"/>
      <c r="N351" s="90"/>
      <c r="O351" s="87"/>
    </row>
    <row r="352" spans="1:15" ht="22.5" customHeight="1">
      <c r="A352" s="108"/>
      <c r="B352" s="85"/>
      <c r="C352" s="85"/>
      <c r="D352" s="86"/>
      <c r="E352" s="87"/>
      <c r="F352" s="85"/>
      <c r="G352" s="88"/>
      <c r="H352" s="88"/>
      <c r="I352" s="88"/>
      <c r="J352" s="89"/>
      <c r="K352" s="89"/>
      <c r="L352" s="89"/>
      <c r="M352" s="89"/>
      <c r="N352" s="90"/>
      <c r="O352" s="87"/>
    </row>
    <row r="353" spans="1:15" ht="22.5" customHeight="1">
      <c r="A353" s="108"/>
      <c r="B353" s="85"/>
      <c r="C353" s="85"/>
      <c r="D353" s="86"/>
      <c r="E353" s="87"/>
      <c r="F353" s="85"/>
      <c r="G353" s="88"/>
      <c r="H353" s="88"/>
      <c r="I353" s="88"/>
      <c r="J353" s="89"/>
      <c r="K353" s="89"/>
      <c r="L353" s="89"/>
      <c r="M353" s="89"/>
      <c r="N353" s="90"/>
      <c r="O353" s="87"/>
    </row>
    <row r="354" spans="1:15" ht="22.5" customHeight="1">
      <c r="A354" s="108"/>
      <c r="B354" s="85"/>
      <c r="C354" s="85"/>
      <c r="D354" s="86"/>
      <c r="E354" s="87"/>
      <c r="F354" s="85"/>
      <c r="G354" s="88"/>
      <c r="H354" s="88"/>
      <c r="I354" s="88"/>
      <c r="J354" s="89"/>
      <c r="K354" s="89"/>
      <c r="L354" s="89"/>
      <c r="M354" s="89"/>
      <c r="N354" s="90"/>
      <c r="O354" s="87"/>
    </row>
    <row r="355" spans="1:15" ht="22.5" customHeight="1">
      <c r="A355" s="108"/>
      <c r="B355" s="85"/>
      <c r="C355" s="85"/>
      <c r="D355" s="86"/>
      <c r="E355" s="87"/>
      <c r="F355" s="85"/>
      <c r="G355" s="88"/>
      <c r="H355" s="88"/>
      <c r="I355" s="88"/>
      <c r="J355" s="89"/>
      <c r="K355" s="89"/>
      <c r="L355" s="89"/>
      <c r="M355" s="89"/>
      <c r="N355" s="90"/>
      <c r="O355" s="87"/>
    </row>
    <row r="356" spans="1:15" ht="22.5" customHeight="1">
      <c r="A356" s="108"/>
      <c r="B356" s="85"/>
      <c r="C356" s="85"/>
      <c r="D356" s="86"/>
      <c r="E356" s="87"/>
      <c r="F356" s="85"/>
      <c r="G356" s="88"/>
      <c r="H356" s="88"/>
      <c r="I356" s="88"/>
      <c r="J356" s="89"/>
      <c r="K356" s="89"/>
      <c r="L356" s="89"/>
      <c r="M356" s="89"/>
      <c r="N356" s="90"/>
      <c r="O356" s="87"/>
    </row>
    <row r="357" spans="1:15" ht="22.5" customHeight="1">
      <c r="A357" s="108"/>
      <c r="B357" s="85"/>
      <c r="C357" s="85"/>
      <c r="D357" s="86"/>
      <c r="E357" s="87"/>
      <c r="F357" s="85"/>
      <c r="G357" s="88"/>
      <c r="H357" s="88"/>
      <c r="I357" s="88"/>
      <c r="J357" s="89"/>
      <c r="K357" s="89"/>
      <c r="L357" s="89"/>
      <c r="M357" s="89"/>
      <c r="N357" s="90"/>
      <c r="O357" s="87"/>
    </row>
    <row r="358" spans="1:15" ht="22.5" customHeight="1">
      <c r="A358" s="108"/>
      <c r="B358" s="85"/>
      <c r="C358" s="85"/>
      <c r="D358" s="86"/>
      <c r="E358" s="87"/>
      <c r="F358" s="85"/>
      <c r="G358" s="88"/>
      <c r="H358" s="88"/>
      <c r="I358" s="88"/>
      <c r="J358" s="89"/>
      <c r="K358" s="89"/>
      <c r="L358" s="89"/>
      <c r="M358" s="89"/>
      <c r="N358" s="90"/>
      <c r="O358" s="87"/>
    </row>
    <row r="359" spans="1:15" ht="22.5" customHeight="1">
      <c r="A359" s="108"/>
      <c r="B359" s="85"/>
      <c r="C359" s="85"/>
      <c r="D359" s="86"/>
      <c r="E359" s="87"/>
      <c r="F359" s="85"/>
      <c r="G359" s="88"/>
      <c r="H359" s="88"/>
      <c r="I359" s="88"/>
      <c r="J359" s="89"/>
      <c r="K359" s="89"/>
      <c r="L359" s="89"/>
      <c r="M359" s="89"/>
      <c r="N359" s="90"/>
      <c r="O359" s="87"/>
    </row>
    <row r="360" spans="1:15" ht="22.5" customHeight="1">
      <c r="A360" s="108"/>
      <c r="B360" s="85"/>
      <c r="C360" s="85"/>
      <c r="D360" s="86"/>
      <c r="E360" s="87"/>
      <c r="F360" s="85"/>
      <c r="G360" s="88"/>
      <c r="H360" s="88"/>
      <c r="I360" s="88"/>
      <c r="J360" s="89"/>
      <c r="K360" s="89"/>
      <c r="L360" s="89"/>
      <c r="M360" s="89"/>
      <c r="N360" s="90"/>
      <c r="O360" s="87"/>
    </row>
    <row r="361" spans="1:15" ht="22.5" customHeight="1">
      <c r="A361" s="108"/>
      <c r="B361" s="85"/>
      <c r="C361" s="85"/>
      <c r="D361" s="86"/>
      <c r="E361" s="87"/>
      <c r="F361" s="85"/>
      <c r="G361" s="88"/>
      <c r="H361" s="88"/>
      <c r="I361" s="88"/>
      <c r="J361" s="89"/>
      <c r="K361" s="89"/>
      <c r="L361" s="89"/>
      <c r="M361" s="89"/>
      <c r="N361" s="90"/>
      <c r="O361" s="87"/>
    </row>
    <row r="362" spans="1:15" ht="22.5" customHeight="1">
      <c r="A362" s="108"/>
      <c r="B362" s="85"/>
      <c r="C362" s="85"/>
      <c r="D362" s="86"/>
      <c r="E362" s="87"/>
      <c r="F362" s="85"/>
      <c r="G362" s="88"/>
      <c r="H362" s="88"/>
      <c r="I362" s="88"/>
      <c r="J362" s="89"/>
      <c r="K362" s="89"/>
      <c r="L362" s="89"/>
      <c r="M362" s="89"/>
      <c r="N362" s="90"/>
      <c r="O362" s="87"/>
    </row>
    <row r="363" spans="1:15" ht="22.5" customHeight="1">
      <c r="A363" s="108"/>
      <c r="B363" s="85"/>
      <c r="C363" s="85"/>
      <c r="D363" s="86"/>
      <c r="E363" s="87"/>
      <c r="F363" s="85"/>
      <c r="G363" s="88"/>
      <c r="H363" s="88"/>
      <c r="I363" s="88"/>
      <c r="J363" s="89"/>
      <c r="K363" s="89"/>
      <c r="L363" s="89"/>
      <c r="M363" s="89"/>
      <c r="N363" s="90"/>
      <c r="O363" s="87"/>
    </row>
    <row r="364" spans="1:15" ht="22.5" customHeight="1">
      <c r="A364" s="108"/>
      <c r="B364" s="85"/>
      <c r="C364" s="85"/>
      <c r="D364" s="86"/>
      <c r="E364" s="87"/>
      <c r="F364" s="85"/>
      <c r="G364" s="88"/>
      <c r="H364" s="88"/>
      <c r="I364" s="88"/>
      <c r="J364" s="89"/>
      <c r="K364" s="89"/>
      <c r="L364" s="89"/>
      <c r="M364" s="89"/>
      <c r="N364" s="90"/>
      <c r="O364" s="87"/>
    </row>
    <row r="365" spans="1:15" ht="22.5" customHeight="1">
      <c r="A365" s="108"/>
      <c r="B365" s="85"/>
      <c r="C365" s="85"/>
      <c r="D365" s="86"/>
      <c r="E365" s="87"/>
      <c r="F365" s="85"/>
      <c r="G365" s="88"/>
      <c r="H365" s="88"/>
      <c r="I365" s="88"/>
      <c r="J365" s="89"/>
      <c r="K365" s="89"/>
      <c r="L365" s="89"/>
      <c r="M365" s="89"/>
      <c r="N365" s="90"/>
      <c r="O365" s="87"/>
    </row>
    <row r="366" spans="1:15" ht="22.5" customHeight="1">
      <c r="A366" s="108"/>
      <c r="B366" s="85"/>
      <c r="C366" s="85"/>
      <c r="D366" s="86"/>
      <c r="E366" s="87"/>
      <c r="F366" s="85"/>
      <c r="G366" s="88"/>
      <c r="H366" s="88"/>
      <c r="I366" s="88"/>
      <c r="J366" s="89"/>
      <c r="K366" s="89"/>
      <c r="L366" s="89"/>
      <c r="M366" s="89"/>
      <c r="N366" s="90"/>
      <c r="O366" s="87"/>
    </row>
    <row r="367" spans="1:15" ht="22.5" customHeight="1">
      <c r="A367" s="108"/>
      <c r="B367" s="85"/>
      <c r="C367" s="85"/>
      <c r="D367" s="86"/>
      <c r="E367" s="87"/>
      <c r="F367" s="85"/>
      <c r="G367" s="88"/>
      <c r="H367" s="88"/>
      <c r="I367" s="88"/>
      <c r="J367" s="89"/>
      <c r="K367" s="89"/>
      <c r="L367" s="89"/>
      <c r="M367" s="89"/>
      <c r="N367" s="90"/>
      <c r="O367" s="87"/>
    </row>
    <row r="368" spans="1:15" ht="22.5" customHeight="1">
      <c r="A368" s="108"/>
      <c r="B368" s="85"/>
      <c r="C368" s="85"/>
      <c r="D368" s="86"/>
      <c r="E368" s="87"/>
      <c r="F368" s="85"/>
      <c r="G368" s="88"/>
      <c r="H368" s="88"/>
      <c r="I368" s="88"/>
      <c r="J368" s="89"/>
      <c r="K368" s="89"/>
      <c r="L368" s="89"/>
      <c r="M368" s="89"/>
      <c r="N368" s="90"/>
      <c r="O368" s="87"/>
    </row>
    <row r="369" spans="1:15" ht="22.5" customHeight="1">
      <c r="A369" s="108"/>
      <c r="B369" s="85"/>
      <c r="C369" s="85"/>
      <c r="D369" s="86"/>
      <c r="E369" s="87"/>
      <c r="F369" s="85"/>
      <c r="G369" s="88"/>
      <c r="H369" s="88"/>
      <c r="I369" s="88"/>
      <c r="J369" s="89"/>
      <c r="K369" s="89"/>
      <c r="L369" s="89"/>
      <c r="M369" s="89"/>
      <c r="N369" s="90"/>
      <c r="O369" s="87"/>
    </row>
    <row r="370" spans="1:15" ht="22.5" customHeight="1">
      <c r="A370" s="108"/>
      <c r="B370" s="85"/>
      <c r="C370" s="85"/>
      <c r="D370" s="86"/>
      <c r="E370" s="87"/>
      <c r="F370" s="85"/>
      <c r="G370" s="88"/>
      <c r="H370" s="88"/>
      <c r="I370" s="88"/>
      <c r="J370" s="89"/>
      <c r="K370" s="89"/>
      <c r="L370" s="89"/>
      <c r="M370" s="89"/>
      <c r="N370" s="90"/>
      <c r="O370" s="87"/>
    </row>
    <row r="371" spans="1:15" ht="22.5" customHeight="1">
      <c r="A371" s="108"/>
      <c r="B371" s="85"/>
      <c r="C371" s="85"/>
      <c r="D371" s="86"/>
      <c r="E371" s="87"/>
      <c r="F371" s="85"/>
      <c r="G371" s="88"/>
      <c r="H371" s="88"/>
      <c r="I371" s="88"/>
      <c r="J371" s="89"/>
      <c r="K371" s="89"/>
      <c r="L371" s="89"/>
      <c r="M371" s="89"/>
      <c r="N371" s="90"/>
      <c r="O371" s="87"/>
    </row>
    <row r="372" spans="1:15" ht="22.5" customHeight="1">
      <c r="A372" s="108"/>
      <c r="B372" s="85"/>
      <c r="C372" s="85"/>
      <c r="D372" s="86"/>
      <c r="E372" s="87"/>
      <c r="F372" s="85"/>
      <c r="G372" s="88"/>
      <c r="H372" s="88"/>
      <c r="I372" s="88"/>
      <c r="J372" s="89"/>
      <c r="K372" s="89"/>
      <c r="L372" s="89"/>
      <c r="M372" s="89"/>
      <c r="N372" s="90"/>
      <c r="O372" s="87"/>
    </row>
    <row r="373" spans="1:15" ht="22.5" customHeight="1">
      <c r="A373" s="108"/>
      <c r="B373" s="85"/>
      <c r="C373" s="85"/>
      <c r="D373" s="86"/>
      <c r="E373" s="87"/>
      <c r="F373" s="85"/>
      <c r="G373" s="88"/>
      <c r="H373" s="88"/>
      <c r="I373" s="88"/>
      <c r="J373" s="89"/>
      <c r="K373" s="89"/>
      <c r="L373" s="89"/>
      <c r="M373" s="89"/>
      <c r="N373" s="90"/>
      <c r="O373" s="87"/>
    </row>
    <row r="374" spans="1:15" ht="22.5" customHeight="1">
      <c r="A374" s="108"/>
      <c r="B374" s="85"/>
      <c r="C374" s="85"/>
      <c r="D374" s="86"/>
      <c r="E374" s="87"/>
      <c r="F374" s="85"/>
      <c r="G374" s="88"/>
      <c r="H374" s="88"/>
      <c r="I374" s="88"/>
      <c r="J374" s="89"/>
      <c r="K374" s="89"/>
      <c r="L374" s="89"/>
      <c r="M374" s="89"/>
      <c r="N374" s="90"/>
      <c r="O374" s="87"/>
    </row>
    <row r="375" spans="1:15" ht="22.5" customHeight="1">
      <c r="A375" s="108"/>
      <c r="B375" s="85"/>
      <c r="C375" s="85"/>
      <c r="D375" s="86"/>
      <c r="E375" s="87"/>
      <c r="F375" s="85"/>
      <c r="G375" s="88"/>
      <c r="H375" s="88"/>
      <c r="I375" s="88"/>
      <c r="J375" s="89"/>
      <c r="K375" s="89"/>
      <c r="L375" s="89"/>
      <c r="M375" s="89"/>
      <c r="N375" s="90"/>
      <c r="O375" s="87"/>
    </row>
    <row r="376" spans="1:15" ht="22.5" customHeight="1">
      <c r="A376" s="108"/>
      <c r="B376" s="85"/>
      <c r="C376" s="85"/>
      <c r="D376" s="86"/>
      <c r="E376" s="87"/>
      <c r="F376" s="85"/>
      <c r="G376" s="88"/>
      <c r="H376" s="88"/>
      <c r="I376" s="88"/>
      <c r="J376" s="89"/>
      <c r="K376" s="89"/>
      <c r="L376" s="89"/>
      <c r="M376" s="89"/>
      <c r="N376" s="90"/>
      <c r="O376" s="87"/>
    </row>
    <row r="377" spans="1:15" ht="22.5" customHeight="1">
      <c r="A377" s="108"/>
      <c r="B377" s="85"/>
      <c r="C377" s="85"/>
      <c r="D377" s="86"/>
      <c r="E377" s="87"/>
      <c r="F377" s="85"/>
      <c r="G377" s="88"/>
      <c r="H377" s="88"/>
      <c r="I377" s="88"/>
      <c r="J377" s="89"/>
      <c r="K377" s="89"/>
      <c r="L377" s="89"/>
      <c r="M377" s="89"/>
      <c r="N377" s="90"/>
      <c r="O377" s="87"/>
    </row>
    <row r="378" spans="1:15" ht="22.5" customHeight="1">
      <c r="A378" s="108"/>
      <c r="B378" s="85"/>
      <c r="C378" s="85"/>
      <c r="D378" s="86"/>
      <c r="E378" s="87"/>
      <c r="F378" s="85"/>
      <c r="G378" s="88"/>
      <c r="H378" s="88"/>
      <c r="I378" s="88"/>
      <c r="J378" s="89"/>
      <c r="K378" s="89"/>
      <c r="L378" s="89"/>
      <c r="M378" s="89"/>
      <c r="N378" s="90"/>
      <c r="O378" s="87"/>
    </row>
    <row r="379" spans="1:15" ht="22.5" customHeight="1">
      <c r="A379" s="108"/>
      <c r="B379" s="85"/>
      <c r="C379" s="85"/>
      <c r="D379" s="86"/>
      <c r="E379" s="87"/>
      <c r="F379" s="85"/>
      <c r="G379" s="88"/>
      <c r="H379" s="88"/>
      <c r="I379" s="88"/>
      <c r="J379" s="89"/>
      <c r="K379" s="89"/>
      <c r="L379" s="89"/>
      <c r="M379" s="89"/>
      <c r="N379" s="90"/>
      <c r="O379" s="87"/>
    </row>
    <row r="380" spans="1:15" ht="22.5" customHeight="1">
      <c r="A380" s="108"/>
      <c r="B380" s="85"/>
      <c r="C380" s="85"/>
      <c r="D380" s="86"/>
      <c r="E380" s="87"/>
      <c r="F380" s="85"/>
      <c r="G380" s="88"/>
      <c r="H380" s="88"/>
      <c r="I380" s="88"/>
      <c r="J380" s="89"/>
      <c r="K380" s="89"/>
      <c r="L380" s="89"/>
      <c r="M380" s="89"/>
      <c r="N380" s="90"/>
      <c r="O380" s="87"/>
    </row>
    <row r="381" spans="1:15" ht="22.5" customHeight="1">
      <c r="A381" s="108"/>
      <c r="B381" s="85"/>
      <c r="C381" s="85"/>
      <c r="D381" s="86"/>
      <c r="E381" s="87"/>
      <c r="F381" s="85"/>
      <c r="G381" s="88"/>
      <c r="H381" s="88"/>
      <c r="I381" s="88"/>
      <c r="J381" s="89"/>
      <c r="K381" s="89"/>
      <c r="L381" s="89"/>
      <c r="M381" s="89"/>
      <c r="N381" s="90"/>
      <c r="O381" s="87"/>
    </row>
    <row r="382" spans="1:15" ht="22.5" customHeight="1">
      <c r="A382" s="108"/>
      <c r="B382" s="85"/>
      <c r="C382" s="85"/>
      <c r="D382" s="86"/>
      <c r="E382" s="87"/>
      <c r="F382" s="85"/>
      <c r="G382" s="88"/>
      <c r="H382" s="88"/>
      <c r="I382" s="88"/>
      <c r="J382" s="89"/>
      <c r="K382" s="89"/>
      <c r="L382" s="89"/>
      <c r="M382" s="89"/>
      <c r="N382" s="90"/>
      <c r="O382" s="87"/>
    </row>
    <row r="383" spans="1:15" ht="22.5" customHeight="1">
      <c r="A383" s="108"/>
      <c r="B383" s="85"/>
      <c r="C383" s="85"/>
      <c r="D383" s="86"/>
      <c r="E383" s="87"/>
      <c r="F383" s="85"/>
      <c r="G383" s="88"/>
      <c r="H383" s="88"/>
      <c r="I383" s="88"/>
      <c r="J383" s="89"/>
      <c r="K383" s="89"/>
      <c r="L383" s="89"/>
      <c r="M383" s="89"/>
      <c r="N383" s="90"/>
      <c r="O383" s="87"/>
    </row>
    <row r="384" spans="1:15" ht="22.5" customHeight="1">
      <c r="A384" s="108"/>
      <c r="B384" s="85"/>
      <c r="C384" s="85"/>
      <c r="D384" s="86"/>
      <c r="E384" s="87"/>
      <c r="F384" s="85"/>
      <c r="G384" s="88"/>
      <c r="H384" s="88"/>
      <c r="I384" s="88"/>
      <c r="J384" s="89"/>
      <c r="K384" s="89"/>
      <c r="L384" s="89"/>
      <c r="M384" s="89"/>
      <c r="N384" s="90"/>
      <c r="O384" s="87"/>
    </row>
    <row r="385" spans="1:15" ht="22.5" customHeight="1">
      <c r="A385" s="108"/>
      <c r="B385" s="85"/>
      <c r="C385" s="85"/>
      <c r="D385" s="86"/>
      <c r="E385" s="87"/>
      <c r="F385" s="85"/>
      <c r="G385" s="88"/>
      <c r="H385" s="88"/>
      <c r="I385" s="88"/>
      <c r="J385" s="89"/>
      <c r="K385" s="89"/>
      <c r="L385" s="89"/>
      <c r="M385" s="89"/>
      <c r="N385" s="90"/>
      <c r="O385" s="87"/>
    </row>
    <row r="386" spans="1:15" ht="22.5" customHeight="1">
      <c r="A386" s="108"/>
      <c r="B386" s="85"/>
      <c r="C386" s="85"/>
      <c r="D386" s="86"/>
      <c r="E386" s="87"/>
      <c r="F386" s="85"/>
      <c r="G386" s="88"/>
      <c r="H386" s="88"/>
      <c r="I386" s="88"/>
      <c r="J386" s="89"/>
      <c r="K386" s="89"/>
      <c r="L386" s="89"/>
      <c r="M386" s="89"/>
      <c r="N386" s="90"/>
      <c r="O386" s="87"/>
    </row>
    <row r="387" spans="1:15" ht="22.5" customHeight="1">
      <c r="A387" s="108"/>
      <c r="B387" s="85"/>
      <c r="C387" s="85"/>
      <c r="D387" s="86"/>
      <c r="E387" s="87"/>
      <c r="F387" s="85"/>
      <c r="G387" s="88"/>
      <c r="H387" s="88"/>
      <c r="I387" s="88"/>
      <c r="J387" s="89"/>
      <c r="K387" s="89"/>
      <c r="L387" s="89"/>
      <c r="M387" s="89"/>
      <c r="N387" s="90"/>
      <c r="O387" s="87"/>
    </row>
    <row r="388" spans="1:15" ht="22.5" customHeight="1">
      <c r="A388" s="108"/>
      <c r="B388" s="85"/>
      <c r="C388" s="85"/>
      <c r="D388" s="86"/>
      <c r="E388" s="87"/>
      <c r="F388" s="85"/>
      <c r="G388" s="88"/>
      <c r="H388" s="88"/>
      <c r="I388" s="88"/>
      <c r="J388" s="89"/>
      <c r="K388" s="89"/>
      <c r="L388" s="89"/>
      <c r="M388" s="89"/>
      <c r="N388" s="90"/>
      <c r="O388" s="87"/>
    </row>
    <row r="389" spans="1:15" ht="22.5" customHeight="1">
      <c r="A389" s="108"/>
      <c r="B389" s="85"/>
      <c r="C389" s="85"/>
      <c r="D389" s="86"/>
      <c r="E389" s="87"/>
      <c r="F389" s="85"/>
      <c r="G389" s="88"/>
      <c r="H389" s="88"/>
      <c r="I389" s="88"/>
      <c r="J389" s="89"/>
      <c r="K389" s="89"/>
      <c r="L389" s="89"/>
      <c r="M389" s="89"/>
      <c r="N389" s="90"/>
      <c r="O389" s="87"/>
    </row>
    <row r="390" spans="1:15" ht="22.5" customHeight="1">
      <c r="A390" s="108"/>
      <c r="B390" s="85"/>
      <c r="C390" s="85"/>
      <c r="D390" s="86"/>
      <c r="E390" s="87"/>
      <c r="F390" s="85"/>
      <c r="G390" s="88"/>
      <c r="H390" s="88"/>
      <c r="I390" s="88"/>
      <c r="J390" s="89"/>
      <c r="K390" s="89"/>
      <c r="L390" s="89"/>
      <c r="M390" s="89"/>
      <c r="N390" s="90"/>
      <c r="O390" s="87"/>
    </row>
    <row r="391" spans="1:15" ht="22.5" customHeight="1">
      <c r="A391" s="108"/>
      <c r="B391" s="85"/>
      <c r="C391" s="85"/>
      <c r="D391" s="86"/>
      <c r="E391" s="87"/>
      <c r="F391" s="85"/>
      <c r="G391" s="88"/>
      <c r="H391" s="88"/>
      <c r="I391" s="88"/>
      <c r="J391" s="89"/>
      <c r="K391" s="89"/>
      <c r="L391" s="89"/>
      <c r="M391" s="89"/>
      <c r="N391" s="90"/>
      <c r="O391" s="87"/>
    </row>
    <row r="392" spans="1:15" ht="22.5" customHeight="1">
      <c r="A392" s="108"/>
      <c r="B392" s="85"/>
      <c r="C392" s="85"/>
      <c r="D392" s="86"/>
      <c r="E392" s="87"/>
      <c r="F392" s="85"/>
      <c r="G392" s="88"/>
      <c r="H392" s="88"/>
      <c r="I392" s="88"/>
      <c r="J392" s="89"/>
      <c r="K392" s="89"/>
      <c r="L392" s="89"/>
      <c r="M392" s="89"/>
      <c r="N392" s="90"/>
      <c r="O392" s="87"/>
    </row>
    <row r="393" spans="1:15" ht="22.5" customHeight="1">
      <c r="A393" s="108"/>
      <c r="B393" s="85"/>
      <c r="C393" s="85"/>
      <c r="D393" s="86"/>
      <c r="E393" s="87"/>
      <c r="F393" s="85"/>
      <c r="G393" s="88"/>
      <c r="H393" s="88"/>
      <c r="I393" s="88"/>
      <c r="J393" s="89"/>
      <c r="K393" s="89"/>
      <c r="L393" s="89"/>
      <c r="M393" s="89"/>
      <c r="N393" s="90"/>
      <c r="O393" s="87"/>
    </row>
    <row r="394" spans="1:15" ht="22.5" customHeight="1">
      <c r="A394" s="108"/>
      <c r="B394" s="85"/>
      <c r="C394" s="85"/>
      <c r="D394" s="86"/>
      <c r="E394" s="87"/>
      <c r="F394" s="85"/>
      <c r="G394" s="88"/>
      <c r="H394" s="88"/>
      <c r="I394" s="88"/>
      <c r="J394" s="89"/>
      <c r="K394" s="89"/>
      <c r="L394" s="89"/>
      <c r="M394" s="89"/>
      <c r="N394" s="90"/>
      <c r="O394" s="87"/>
    </row>
    <row r="395" spans="1:15" ht="22.5" customHeight="1">
      <c r="A395" s="108"/>
      <c r="B395" s="85"/>
      <c r="C395" s="85"/>
      <c r="D395" s="86"/>
      <c r="E395" s="87"/>
      <c r="F395" s="85"/>
      <c r="G395" s="88"/>
      <c r="H395" s="88"/>
      <c r="I395" s="88"/>
      <c r="J395" s="89"/>
      <c r="K395" s="89"/>
      <c r="L395" s="89"/>
      <c r="M395" s="89"/>
      <c r="N395" s="90"/>
      <c r="O395" s="87"/>
    </row>
    <row r="396" spans="1:15" ht="22.5" customHeight="1">
      <c r="A396" s="108"/>
      <c r="B396" s="85"/>
      <c r="C396" s="85"/>
      <c r="D396" s="86"/>
      <c r="E396" s="87"/>
      <c r="F396" s="85"/>
      <c r="G396" s="88"/>
      <c r="H396" s="88"/>
      <c r="I396" s="88"/>
      <c r="J396" s="89"/>
      <c r="K396" s="89"/>
      <c r="L396" s="89"/>
      <c r="M396" s="89"/>
      <c r="N396" s="90"/>
      <c r="O396" s="87"/>
    </row>
    <row r="397" spans="1:15" ht="22.5" customHeight="1">
      <c r="A397" s="108"/>
      <c r="B397" s="85"/>
      <c r="C397" s="85"/>
      <c r="D397" s="86"/>
      <c r="E397" s="87"/>
      <c r="F397" s="85"/>
      <c r="G397" s="88"/>
      <c r="H397" s="88"/>
      <c r="I397" s="88"/>
      <c r="J397" s="89"/>
      <c r="K397" s="89"/>
      <c r="L397" s="89"/>
      <c r="M397" s="89"/>
      <c r="N397" s="90"/>
      <c r="O397" s="87"/>
    </row>
    <row r="398" spans="1:15" ht="22.5" customHeight="1">
      <c r="A398" s="108"/>
      <c r="B398" s="85"/>
      <c r="C398" s="85"/>
      <c r="D398" s="86"/>
      <c r="E398" s="87"/>
      <c r="F398" s="85"/>
      <c r="G398" s="88"/>
      <c r="H398" s="88"/>
      <c r="I398" s="88"/>
      <c r="J398" s="89"/>
      <c r="K398" s="89"/>
      <c r="L398" s="89"/>
      <c r="M398" s="89"/>
      <c r="N398" s="90"/>
      <c r="O398" s="87"/>
    </row>
    <row r="399" spans="1:15" ht="22.5" customHeight="1">
      <c r="A399" s="108"/>
      <c r="B399" s="85"/>
      <c r="C399" s="85"/>
      <c r="D399" s="86"/>
      <c r="E399" s="87"/>
      <c r="F399" s="85"/>
      <c r="G399" s="88"/>
      <c r="H399" s="88"/>
      <c r="I399" s="88"/>
      <c r="J399" s="89"/>
      <c r="K399" s="89"/>
      <c r="L399" s="89"/>
      <c r="M399" s="89"/>
      <c r="N399" s="90"/>
      <c r="O399" s="87"/>
    </row>
    <row r="400" spans="1:15" ht="22.5" customHeight="1">
      <c r="A400" s="108"/>
      <c r="B400" s="85"/>
      <c r="C400" s="85"/>
      <c r="D400" s="86"/>
      <c r="E400" s="87"/>
      <c r="F400" s="85"/>
      <c r="G400" s="88"/>
      <c r="H400" s="88"/>
      <c r="I400" s="88"/>
      <c r="J400" s="89"/>
      <c r="K400" s="89"/>
      <c r="L400" s="89"/>
      <c r="M400" s="89"/>
      <c r="N400" s="90"/>
      <c r="O400" s="87"/>
    </row>
    <row r="401" spans="1:15" ht="22.5" customHeight="1">
      <c r="A401" s="108"/>
      <c r="B401" s="85"/>
      <c r="C401" s="85"/>
      <c r="D401" s="86"/>
      <c r="E401" s="87"/>
      <c r="F401" s="85"/>
      <c r="G401" s="88"/>
      <c r="H401" s="88"/>
      <c r="I401" s="88"/>
      <c r="J401" s="89"/>
      <c r="K401" s="89"/>
      <c r="L401" s="89"/>
      <c r="M401" s="89"/>
      <c r="N401" s="90"/>
      <c r="O401" s="87"/>
    </row>
    <row r="402" spans="1:15" ht="22.5" customHeight="1">
      <c r="A402" s="108"/>
      <c r="B402" s="85"/>
      <c r="C402" s="85"/>
      <c r="D402" s="86"/>
      <c r="E402" s="87"/>
      <c r="F402" s="85"/>
      <c r="G402" s="88"/>
      <c r="H402" s="88"/>
      <c r="I402" s="88"/>
      <c r="J402" s="89"/>
      <c r="K402" s="89"/>
      <c r="L402" s="89"/>
      <c r="M402" s="89"/>
      <c r="N402" s="90"/>
      <c r="O402" s="87"/>
    </row>
    <row r="403" spans="1:15" ht="22.5" customHeight="1">
      <c r="A403" s="108"/>
      <c r="B403" s="85"/>
      <c r="C403" s="85"/>
      <c r="D403" s="86"/>
      <c r="E403" s="87"/>
      <c r="F403" s="85"/>
      <c r="G403" s="88"/>
      <c r="H403" s="88"/>
      <c r="I403" s="88"/>
      <c r="J403" s="89"/>
      <c r="K403" s="89"/>
      <c r="L403" s="89"/>
      <c r="M403" s="89"/>
      <c r="N403" s="90"/>
      <c r="O403" s="87"/>
    </row>
    <row r="404" spans="1:15" ht="22.5" customHeight="1">
      <c r="A404" s="108"/>
      <c r="B404" s="85"/>
      <c r="C404" s="85"/>
      <c r="D404" s="86"/>
      <c r="E404" s="87"/>
      <c r="F404" s="85"/>
      <c r="G404" s="88"/>
      <c r="H404" s="88"/>
      <c r="I404" s="88"/>
      <c r="J404" s="89"/>
      <c r="K404" s="89"/>
      <c r="L404" s="89"/>
      <c r="M404" s="89"/>
      <c r="N404" s="90"/>
      <c r="O404" s="87"/>
    </row>
    <row r="405" spans="1:15" ht="22.5" customHeight="1">
      <c r="A405" s="108"/>
      <c r="B405" s="85"/>
      <c r="C405" s="85"/>
      <c r="D405" s="86"/>
      <c r="E405" s="87"/>
      <c r="F405" s="85"/>
      <c r="G405" s="88"/>
      <c r="H405" s="88"/>
      <c r="I405" s="88"/>
      <c r="J405" s="89"/>
      <c r="K405" s="89"/>
      <c r="L405" s="89"/>
      <c r="M405" s="89"/>
      <c r="N405" s="90"/>
      <c r="O405" s="87"/>
    </row>
    <row r="406" spans="1:15" ht="22.5" customHeight="1">
      <c r="A406" s="108"/>
      <c r="B406" s="85"/>
      <c r="C406" s="85"/>
      <c r="D406" s="86"/>
      <c r="E406" s="87"/>
      <c r="F406" s="85"/>
      <c r="G406" s="88"/>
      <c r="H406" s="88"/>
      <c r="I406" s="88"/>
      <c r="J406" s="89"/>
      <c r="K406" s="89"/>
      <c r="L406" s="89"/>
      <c r="M406" s="89"/>
      <c r="N406" s="90"/>
      <c r="O406" s="87"/>
    </row>
    <row r="407" spans="1:15" ht="22.5" customHeight="1">
      <c r="A407" s="108"/>
      <c r="B407" s="85"/>
      <c r="C407" s="85"/>
      <c r="D407" s="86"/>
      <c r="E407" s="87"/>
      <c r="F407" s="85"/>
      <c r="G407" s="88"/>
      <c r="H407" s="88"/>
      <c r="I407" s="88"/>
      <c r="J407" s="89"/>
      <c r="K407" s="89"/>
      <c r="L407" s="89"/>
      <c r="M407" s="89"/>
      <c r="N407" s="90"/>
      <c r="O407" s="87"/>
    </row>
    <row r="408" spans="1:15" ht="22.5" customHeight="1">
      <c r="A408" s="108"/>
      <c r="B408" s="85"/>
      <c r="C408" s="85"/>
      <c r="D408" s="86"/>
      <c r="E408" s="87"/>
      <c r="F408" s="85"/>
      <c r="G408" s="88"/>
      <c r="H408" s="88"/>
      <c r="I408" s="88"/>
      <c r="J408" s="89"/>
      <c r="K408" s="89"/>
      <c r="L408" s="89"/>
      <c r="M408" s="89"/>
      <c r="N408" s="90"/>
      <c r="O408" s="87"/>
    </row>
    <row r="409" spans="1:15" ht="22.5" customHeight="1">
      <c r="A409" s="108"/>
      <c r="B409" s="85"/>
      <c r="C409" s="85"/>
      <c r="D409" s="86"/>
      <c r="E409" s="87"/>
      <c r="F409" s="85"/>
      <c r="G409" s="88"/>
      <c r="H409" s="88"/>
      <c r="I409" s="88"/>
      <c r="J409" s="89"/>
      <c r="K409" s="89"/>
      <c r="L409" s="89"/>
      <c r="M409" s="89"/>
      <c r="N409" s="90"/>
      <c r="O409" s="87"/>
    </row>
    <row r="410" spans="1:15" ht="22.5" customHeight="1">
      <c r="A410" s="108"/>
      <c r="B410" s="85"/>
      <c r="C410" s="85"/>
      <c r="D410" s="86"/>
      <c r="E410" s="87"/>
      <c r="F410" s="85"/>
      <c r="G410" s="88"/>
      <c r="H410" s="88"/>
      <c r="I410" s="88"/>
      <c r="J410" s="89"/>
      <c r="K410" s="89"/>
      <c r="L410" s="89"/>
      <c r="M410" s="89"/>
      <c r="N410" s="90"/>
      <c r="O410" s="87"/>
    </row>
    <row r="411" spans="1:15" ht="22.5" customHeight="1">
      <c r="A411" s="108"/>
      <c r="B411" s="85"/>
      <c r="C411" s="85"/>
      <c r="D411" s="86"/>
      <c r="E411" s="87"/>
      <c r="F411" s="85"/>
      <c r="G411" s="88"/>
      <c r="H411" s="88"/>
      <c r="I411" s="88"/>
      <c r="J411" s="89"/>
      <c r="K411" s="89"/>
      <c r="L411" s="89"/>
      <c r="M411" s="89"/>
      <c r="N411" s="90"/>
      <c r="O411" s="87"/>
    </row>
    <row r="412" spans="1:15" ht="22.5" customHeight="1">
      <c r="A412" s="108"/>
      <c r="B412" s="85"/>
      <c r="C412" s="85"/>
      <c r="D412" s="86"/>
      <c r="E412" s="87"/>
      <c r="F412" s="85"/>
      <c r="G412" s="88"/>
      <c r="H412" s="88"/>
      <c r="I412" s="88"/>
      <c r="J412" s="89"/>
      <c r="K412" s="89"/>
      <c r="L412" s="89"/>
      <c r="M412" s="89"/>
      <c r="N412" s="90"/>
      <c r="O412" s="87"/>
    </row>
    <row r="413" spans="1:15" ht="22.5" customHeight="1">
      <c r="A413" s="108"/>
      <c r="B413" s="85"/>
      <c r="C413" s="85"/>
      <c r="D413" s="86"/>
      <c r="E413" s="87"/>
      <c r="F413" s="85"/>
      <c r="G413" s="88"/>
      <c r="H413" s="88"/>
      <c r="I413" s="88"/>
      <c r="J413" s="89"/>
      <c r="K413" s="89"/>
      <c r="L413" s="89"/>
      <c r="M413" s="89"/>
      <c r="N413" s="90"/>
      <c r="O413" s="87"/>
    </row>
    <row r="414" spans="1:15" ht="22.5" customHeight="1">
      <c r="A414" s="108"/>
      <c r="B414" s="85"/>
      <c r="C414" s="85"/>
      <c r="D414" s="86"/>
      <c r="E414" s="87"/>
      <c r="F414" s="85"/>
      <c r="G414" s="88"/>
      <c r="H414" s="88"/>
      <c r="I414" s="88"/>
      <c r="J414" s="89"/>
      <c r="K414" s="89"/>
      <c r="L414" s="89"/>
      <c r="M414" s="89"/>
      <c r="N414" s="90"/>
      <c r="O414" s="87"/>
    </row>
    <row r="415" spans="1:15" ht="22.5" customHeight="1">
      <c r="A415" s="108"/>
      <c r="B415" s="85"/>
      <c r="C415" s="85"/>
      <c r="D415" s="86"/>
      <c r="E415" s="87"/>
      <c r="F415" s="85"/>
      <c r="G415" s="88"/>
      <c r="H415" s="88"/>
      <c r="I415" s="88"/>
      <c r="J415" s="89"/>
      <c r="K415" s="89"/>
      <c r="L415" s="89"/>
      <c r="M415" s="89"/>
      <c r="N415" s="90"/>
      <c r="O415" s="87"/>
    </row>
    <row r="416" spans="1:15" ht="22.5" customHeight="1">
      <c r="A416" s="108"/>
      <c r="B416" s="85"/>
      <c r="C416" s="85"/>
      <c r="D416" s="86"/>
      <c r="E416" s="87"/>
      <c r="F416" s="85"/>
      <c r="G416" s="88"/>
      <c r="H416" s="88"/>
      <c r="I416" s="88"/>
      <c r="J416" s="89"/>
      <c r="K416" s="89"/>
      <c r="L416" s="89"/>
      <c r="M416" s="89"/>
      <c r="N416" s="90"/>
      <c r="O416" s="87"/>
    </row>
    <row r="417" spans="1:15" ht="22.5" customHeight="1">
      <c r="A417" s="108"/>
      <c r="B417" s="85"/>
      <c r="C417" s="85"/>
      <c r="D417" s="86"/>
      <c r="E417" s="87"/>
      <c r="F417" s="85"/>
      <c r="G417" s="88"/>
      <c r="H417" s="88"/>
      <c r="I417" s="88"/>
      <c r="J417" s="89"/>
      <c r="K417" s="89"/>
      <c r="L417" s="89"/>
      <c r="M417" s="89"/>
      <c r="N417" s="90"/>
      <c r="O417" s="87"/>
    </row>
    <row r="418" spans="1:15" ht="22.5" customHeight="1">
      <c r="A418" s="108"/>
      <c r="B418" s="85"/>
      <c r="C418" s="85"/>
      <c r="D418" s="86"/>
      <c r="E418" s="87"/>
      <c r="F418" s="85"/>
      <c r="G418" s="88"/>
      <c r="H418" s="88"/>
      <c r="I418" s="88"/>
      <c r="J418" s="89"/>
      <c r="K418" s="89"/>
      <c r="L418" s="89"/>
      <c r="M418" s="89"/>
      <c r="N418" s="90"/>
      <c r="O418" s="87"/>
    </row>
    <row r="419" spans="1:15" ht="22.5" customHeight="1">
      <c r="A419" s="108"/>
      <c r="B419" s="85"/>
      <c r="C419" s="85"/>
      <c r="D419" s="86"/>
      <c r="E419" s="87"/>
      <c r="F419" s="85"/>
      <c r="G419" s="88"/>
      <c r="H419" s="88"/>
      <c r="I419" s="88"/>
      <c r="J419" s="89"/>
      <c r="K419" s="89"/>
      <c r="L419" s="89"/>
      <c r="M419" s="89"/>
      <c r="N419" s="90"/>
      <c r="O419" s="87"/>
    </row>
    <row r="420" spans="1:15" ht="22.5" customHeight="1">
      <c r="A420" s="108"/>
      <c r="B420" s="85"/>
      <c r="C420" s="85"/>
      <c r="D420" s="86"/>
      <c r="E420" s="87"/>
      <c r="F420" s="85"/>
      <c r="G420" s="88"/>
      <c r="H420" s="88"/>
      <c r="I420" s="88"/>
      <c r="J420" s="89"/>
      <c r="K420" s="89"/>
      <c r="L420" s="89"/>
      <c r="M420" s="89"/>
      <c r="N420" s="90"/>
      <c r="O420" s="87"/>
    </row>
    <row r="421" spans="1:15" ht="22.5" customHeight="1">
      <c r="A421" s="108"/>
      <c r="B421" s="85"/>
      <c r="C421" s="85"/>
      <c r="D421" s="86"/>
      <c r="E421" s="87"/>
      <c r="F421" s="85"/>
      <c r="G421" s="88"/>
      <c r="H421" s="88"/>
      <c r="I421" s="88"/>
      <c r="J421" s="89"/>
      <c r="K421" s="89"/>
      <c r="L421" s="89"/>
      <c r="M421" s="89"/>
      <c r="N421" s="90"/>
      <c r="O421" s="87"/>
    </row>
    <row r="422" spans="1:15" ht="22.5" customHeight="1">
      <c r="A422" s="108"/>
      <c r="B422" s="85"/>
      <c r="C422" s="85"/>
      <c r="D422" s="86"/>
      <c r="E422" s="87"/>
      <c r="F422" s="85"/>
      <c r="G422" s="88"/>
      <c r="H422" s="88"/>
      <c r="I422" s="88"/>
      <c r="J422" s="89"/>
      <c r="K422" s="89"/>
      <c r="L422" s="89"/>
      <c r="M422" s="89"/>
      <c r="N422" s="90"/>
      <c r="O422" s="87"/>
    </row>
    <row r="423" spans="1:15" ht="22.5" customHeight="1">
      <c r="A423" s="108"/>
      <c r="B423" s="85"/>
      <c r="C423" s="85"/>
      <c r="D423" s="86"/>
      <c r="E423" s="87"/>
      <c r="F423" s="85"/>
      <c r="G423" s="88"/>
      <c r="H423" s="88"/>
      <c r="I423" s="88"/>
      <c r="J423" s="89"/>
      <c r="K423" s="89"/>
      <c r="L423" s="89"/>
      <c r="M423" s="89"/>
      <c r="N423" s="90"/>
      <c r="O423" s="87"/>
    </row>
    <row r="424" spans="1:15" ht="22.5" customHeight="1">
      <c r="A424" s="108"/>
      <c r="B424" s="85"/>
      <c r="C424" s="85"/>
      <c r="D424" s="86"/>
      <c r="E424" s="87"/>
      <c r="F424" s="85"/>
      <c r="G424" s="88"/>
      <c r="H424" s="88"/>
      <c r="I424" s="88"/>
      <c r="J424" s="89"/>
      <c r="K424" s="89"/>
      <c r="L424" s="89"/>
      <c r="M424" s="89"/>
      <c r="N424" s="90"/>
      <c r="O424" s="87"/>
    </row>
    <row r="425" spans="1:15" ht="22.5" customHeight="1">
      <c r="A425" s="108"/>
      <c r="B425" s="85"/>
      <c r="C425" s="85"/>
      <c r="D425" s="86"/>
      <c r="E425" s="87"/>
      <c r="F425" s="85"/>
      <c r="G425" s="88"/>
      <c r="H425" s="88"/>
      <c r="I425" s="88"/>
      <c r="J425" s="89"/>
      <c r="K425" s="89"/>
      <c r="L425" s="89"/>
      <c r="M425" s="89"/>
      <c r="N425" s="90"/>
      <c r="O425" s="87"/>
    </row>
    <row r="426" spans="1:15" ht="22.5" customHeight="1">
      <c r="A426" s="108"/>
      <c r="B426" s="85"/>
      <c r="C426" s="85"/>
      <c r="D426" s="86"/>
      <c r="E426" s="87"/>
      <c r="F426" s="85"/>
      <c r="G426" s="88"/>
      <c r="H426" s="88"/>
      <c r="I426" s="88"/>
      <c r="J426" s="89"/>
      <c r="K426" s="89"/>
      <c r="L426" s="89"/>
      <c r="M426" s="89"/>
      <c r="N426" s="90"/>
      <c r="O426" s="87"/>
    </row>
    <row r="427" spans="1:15" ht="22.5" customHeight="1">
      <c r="A427" s="108"/>
      <c r="B427" s="85"/>
      <c r="C427" s="85"/>
      <c r="D427" s="86"/>
      <c r="E427" s="87"/>
      <c r="F427" s="85"/>
      <c r="G427" s="88"/>
      <c r="H427" s="88"/>
      <c r="I427" s="88"/>
      <c r="J427" s="89"/>
      <c r="K427" s="89"/>
      <c r="L427" s="89"/>
      <c r="M427" s="89"/>
      <c r="N427" s="90"/>
      <c r="O427" s="87"/>
    </row>
    <row r="428" spans="1:15" ht="22.5" customHeight="1">
      <c r="A428" s="108"/>
      <c r="B428" s="85"/>
      <c r="C428" s="85"/>
      <c r="D428" s="86"/>
      <c r="E428" s="87"/>
      <c r="F428" s="85"/>
      <c r="G428" s="88"/>
      <c r="H428" s="88"/>
      <c r="I428" s="88"/>
      <c r="J428" s="89"/>
      <c r="K428" s="89"/>
      <c r="L428" s="89"/>
      <c r="M428" s="89"/>
      <c r="N428" s="90"/>
      <c r="O428" s="87"/>
    </row>
    <row r="429" spans="1:15" ht="22.5" customHeight="1">
      <c r="A429" s="108"/>
      <c r="B429" s="85"/>
      <c r="C429" s="85"/>
      <c r="D429" s="86"/>
      <c r="E429" s="87"/>
      <c r="F429" s="85"/>
      <c r="G429" s="88"/>
      <c r="H429" s="88"/>
      <c r="I429" s="88"/>
      <c r="J429" s="89"/>
      <c r="K429" s="89"/>
      <c r="L429" s="89"/>
      <c r="M429" s="89"/>
      <c r="N429" s="90"/>
      <c r="O429" s="87"/>
    </row>
    <row r="430" spans="1:15" ht="22.5" customHeight="1">
      <c r="A430" s="108"/>
      <c r="B430" s="85"/>
      <c r="C430" s="85"/>
      <c r="D430" s="86"/>
      <c r="E430" s="87"/>
      <c r="F430" s="85"/>
      <c r="G430" s="88"/>
      <c r="H430" s="88"/>
      <c r="I430" s="88"/>
      <c r="J430" s="89"/>
      <c r="K430" s="89"/>
      <c r="L430" s="89"/>
      <c r="M430" s="89"/>
      <c r="N430" s="90"/>
      <c r="O430" s="87"/>
    </row>
    <row r="431" spans="1:15" ht="22.5" customHeight="1">
      <c r="A431" s="108"/>
      <c r="B431" s="85"/>
      <c r="C431" s="85"/>
      <c r="D431" s="86"/>
      <c r="E431" s="87"/>
      <c r="F431" s="85"/>
      <c r="G431" s="88"/>
      <c r="H431" s="88"/>
      <c r="I431" s="88"/>
      <c r="J431" s="89"/>
      <c r="K431" s="89"/>
      <c r="L431" s="89"/>
      <c r="M431" s="89"/>
      <c r="N431" s="90"/>
      <c r="O431" s="87"/>
    </row>
    <row r="432" spans="1:15" ht="22.5" customHeight="1">
      <c r="A432" s="108"/>
      <c r="B432" s="85"/>
      <c r="C432" s="85"/>
      <c r="D432" s="86"/>
      <c r="E432" s="87"/>
      <c r="F432" s="85"/>
      <c r="G432" s="88"/>
      <c r="H432" s="88"/>
      <c r="I432" s="88"/>
      <c r="J432" s="89"/>
      <c r="K432" s="89"/>
      <c r="L432" s="89"/>
      <c r="M432" s="89"/>
      <c r="N432" s="90"/>
      <c r="O432" s="87"/>
    </row>
    <row r="433" spans="1:15" ht="22.5" customHeight="1">
      <c r="A433" s="108"/>
      <c r="B433" s="85"/>
      <c r="C433" s="85"/>
      <c r="D433" s="86"/>
      <c r="E433" s="87"/>
      <c r="F433" s="85"/>
      <c r="G433" s="88"/>
      <c r="H433" s="88"/>
      <c r="I433" s="88"/>
      <c r="J433" s="89"/>
      <c r="K433" s="89"/>
      <c r="L433" s="89"/>
      <c r="M433" s="89"/>
      <c r="N433" s="90"/>
      <c r="O433" s="87"/>
    </row>
    <row r="434" spans="1:15" ht="22.5" customHeight="1">
      <c r="A434" s="108"/>
      <c r="B434" s="85"/>
      <c r="C434" s="85"/>
      <c r="D434" s="86"/>
      <c r="E434" s="87"/>
      <c r="F434" s="85"/>
      <c r="G434" s="88"/>
      <c r="H434" s="88"/>
      <c r="I434" s="88"/>
      <c r="J434" s="89"/>
      <c r="K434" s="89"/>
      <c r="L434" s="89"/>
      <c r="M434" s="89"/>
      <c r="N434" s="90"/>
      <c r="O434" s="87"/>
    </row>
    <row r="435" spans="1:15" ht="22.5" customHeight="1">
      <c r="A435" s="108"/>
      <c r="B435" s="85"/>
      <c r="C435" s="85"/>
      <c r="D435" s="86"/>
      <c r="E435" s="87"/>
      <c r="F435" s="85"/>
      <c r="G435" s="88"/>
      <c r="H435" s="88"/>
      <c r="I435" s="88"/>
      <c r="J435" s="89"/>
      <c r="K435" s="89"/>
      <c r="L435" s="89"/>
      <c r="M435" s="89"/>
      <c r="N435" s="90"/>
      <c r="O435" s="87"/>
    </row>
    <row r="436" spans="1:15" ht="22.5" customHeight="1">
      <c r="A436" s="108"/>
      <c r="B436" s="85"/>
      <c r="C436" s="85"/>
      <c r="D436" s="86"/>
      <c r="E436" s="87"/>
      <c r="F436" s="85"/>
      <c r="G436" s="88"/>
      <c r="H436" s="88"/>
      <c r="I436" s="88"/>
      <c r="J436" s="89"/>
      <c r="K436" s="89"/>
      <c r="L436" s="89"/>
      <c r="M436" s="89"/>
      <c r="N436" s="90"/>
      <c r="O436" s="87"/>
    </row>
    <row r="437" spans="1:15" ht="22.5" customHeight="1">
      <c r="A437" s="108"/>
      <c r="B437" s="85"/>
      <c r="C437" s="85"/>
      <c r="D437" s="86"/>
      <c r="E437" s="87"/>
      <c r="F437" s="85"/>
      <c r="G437" s="88"/>
      <c r="H437" s="88"/>
      <c r="I437" s="88"/>
      <c r="J437" s="89"/>
      <c r="K437" s="89"/>
      <c r="L437" s="89"/>
      <c r="M437" s="89"/>
      <c r="N437" s="90"/>
      <c r="O437" s="87"/>
    </row>
    <row r="438" spans="1:15" ht="22.5" customHeight="1">
      <c r="A438" s="108"/>
      <c r="B438" s="85"/>
      <c r="C438" s="85"/>
      <c r="D438" s="86"/>
      <c r="E438" s="87"/>
      <c r="F438" s="85"/>
      <c r="G438" s="88"/>
      <c r="H438" s="88"/>
      <c r="I438" s="88"/>
      <c r="J438" s="89"/>
      <c r="K438" s="89"/>
      <c r="L438" s="89"/>
      <c r="M438" s="89"/>
      <c r="N438" s="90"/>
      <c r="O438" s="87"/>
    </row>
    <row r="439" spans="1:15" ht="22.5" customHeight="1">
      <c r="A439" s="108"/>
      <c r="B439" s="85"/>
      <c r="C439" s="85"/>
      <c r="D439" s="86"/>
      <c r="E439" s="87"/>
      <c r="F439" s="85"/>
      <c r="G439" s="88"/>
      <c r="H439" s="88"/>
      <c r="I439" s="88"/>
      <c r="J439" s="89"/>
      <c r="K439" s="89"/>
      <c r="L439" s="89"/>
      <c r="M439" s="89"/>
      <c r="N439" s="90"/>
      <c r="O439" s="87"/>
    </row>
    <row r="440" spans="1:15" ht="22.5" customHeight="1">
      <c r="A440" s="108"/>
      <c r="B440" s="85"/>
      <c r="C440" s="85"/>
      <c r="D440" s="86"/>
      <c r="E440" s="87"/>
      <c r="F440" s="85"/>
      <c r="G440" s="88"/>
      <c r="H440" s="88"/>
      <c r="I440" s="88"/>
      <c r="J440" s="89"/>
      <c r="K440" s="89"/>
      <c r="L440" s="89"/>
      <c r="M440" s="89"/>
      <c r="N440" s="90"/>
      <c r="O440" s="87"/>
    </row>
    <row r="441" spans="1:15" ht="22.5" customHeight="1">
      <c r="A441" s="108"/>
      <c r="B441" s="85"/>
      <c r="C441" s="85"/>
      <c r="D441" s="86"/>
      <c r="E441" s="87"/>
      <c r="F441" s="85"/>
      <c r="G441" s="88"/>
      <c r="H441" s="88"/>
      <c r="I441" s="88"/>
      <c r="J441" s="89"/>
      <c r="K441" s="89"/>
      <c r="L441" s="89"/>
      <c r="M441" s="89"/>
      <c r="N441" s="90"/>
      <c r="O441" s="87"/>
    </row>
    <row r="442" spans="1:15" ht="22.5" customHeight="1">
      <c r="A442" s="108"/>
      <c r="B442" s="85"/>
      <c r="C442" s="85"/>
      <c r="D442" s="86"/>
      <c r="E442" s="87"/>
      <c r="F442" s="85"/>
      <c r="G442" s="88"/>
      <c r="H442" s="88"/>
      <c r="I442" s="88"/>
      <c r="J442" s="89"/>
      <c r="K442" s="89"/>
      <c r="L442" s="89"/>
      <c r="M442" s="89"/>
      <c r="N442" s="90"/>
      <c r="O442" s="87"/>
    </row>
    <row r="443" spans="1:15" ht="22.5" customHeight="1">
      <c r="A443" s="108"/>
      <c r="B443" s="85"/>
      <c r="C443" s="85"/>
      <c r="D443" s="86"/>
      <c r="E443" s="87"/>
      <c r="F443" s="85"/>
      <c r="G443" s="88"/>
      <c r="H443" s="88"/>
      <c r="I443" s="88"/>
      <c r="J443" s="89"/>
      <c r="K443" s="89"/>
      <c r="L443" s="89"/>
      <c r="M443" s="89"/>
      <c r="N443" s="90"/>
      <c r="O443" s="87"/>
    </row>
    <row r="444" spans="1:15" ht="22.5" customHeight="1">
      <c r="A444" s="108"/>
      <c r="B444" s="85"/>
      <c r="C444" s="85"/>
      <c r="D444" s="86"/>
      <c r="E444" s="87"/>
      <c r="F444" s="85"/>
      <c r="G444" s="88"/>
      <c r="H444" s="88"/>
      <c r="I444" s="88"/>
      <c r="J444" s="89"/>
      <c r="K444" s="89"/>
      <c r="L444" s="89"/>
      <c r="M444" s="89"/>
      <c r="N444" s="90"/>
      <c r="O444" s="87"/>
    </row>
    <row r="445" spans="1:15" ht="22.5" customHeight="1">
      <c r="A445" s="108"/>
      <c r="B445" s="85"/>
      <c r="C445" s="85"/>
      <c r="D445" s="86"/>
      <c r="E445" s="87"/>
      <c r="F445" s="85"/>
      <c r="G445" s="88"/>
      <c r="H445" s="88"/>
      <c r="I445" s="88"/>
      <c r="J445" s="89"/>
      <c r="K445" s="89"/>
      <c r="L445" s="89"/>
      <c r="M445" s="89"/>
      <c r="N445" s="90"/>
      <c r="O445" s="87"/>
    </row>
    <row r="446" spans="1:15" ht="22.5" customHeight="1">
      <c r="A446" s="108"/>
      <c r="B446" s="85"/>
      <c r="C446" s="85"/>
      <c r="D446" s="86"/>
      <c r="E446" s="87"/>
      <c r="F446" s="85"/>
      <c r="G446" s="88"/>
      <c r="H446" s="88"/>
      <c r="I446" s="88"/>
      <c r="J446" s="89"/>
      <c r="K446" s="89"/>
      <c r="L446" s="89"/>
      <c r="M446" s="89"/>
      <c r="N446" s="90"/>
      <c r="O446" s="87"/>
    </row>
    <row r="447" spans="1:15" ht="22.5" customHeight="1">
      <c r="A447" s="108"/>
      <c r="B447" s="85"/>
      <c r="C447" s="85"/>
      <c r="D447" s="86"/>
      <c r="E447" s="87"/>
      <c r="F447" s="85"/>
      <c r="G447" s="88"/>
      <c r="H447" s="88"/>
      <c r="I447" s="88"/>
      <c r="J447" s="89"/>
      <c r="K447" s="89"/>
      <c r="L447" s="89"/>
      <c r="M447" s="89"/>
      <c r="N447" s="90"/>
      <c r="O447" s="87"/>
    </row>
    <row r="448" spans="1:15" ht="22.5" customHeight="1">
      <c r="A448" s="108"/>
      <c r="B448" s="85"/>
      <c r="C448" s="85"/>
      <c r="D448" s="86"/>
      <c r="E448" s="87"/>
      <c r="F448" s="85"/>
      <c r="G448" s="88"/>
      <c r="H448" s="88"/>
      <c r="I448" s="88"/>
      <c r="J448" s="89"/>
      <c r="K448" s="89"/>
      <c r="L448" s="89"/>
      <c r="M448" s="89"/>
      <c r="N448" s="90"/>
      <c r="O448" s="87"/>
    </row>
    <row r="449" spans="1:15" ht="22.5" customHeight="1">
      <c r="A449" s="108"/>
      <c r="B449" s="85"/>
      <c r="C449" s="85"/>
      <c r="D449" s="86"/>
      <c r="E449" s="87"/>
      <c r="F449" s="85"/>
      <c r="G449" s="88"/>
      <c r="H449" s="88"/>
      <c r="I449" s="88"/>
      <c r="J449" s="89"/>
      <c r="K449" s="89"/>
      <c r="L449" s="89"/>
      <c r="M449" s="89"/>
      <c r="N449" s="90"/>
      <c r="O449" s="87"/>
    </row>
    <row r="450" spans="1:15" ht="22.5" customHeight="1">
      <c r="A450" s="108"/>
      <c r="B450" s="85"/>
      <c r="C450" s="85"/>
      <c r="D450" s="86"/>
      <c r="E450" s="87"/>
      <c r="F450" s="85"/>
      <c r="G450" s="88"/>
      <c r="H450" s="88"/>
      <c r="I450" s="88"/>
      <c r="J450" s="89"/>
      <c r="K450" s="89"/>
      <c r="L450" s="89"/>
      <c r="M450" s="89"/>
      <c r="N450" s="90"/>
      <c r="O450" s="87"/>
    </row>
    <row r="451" spans="1:15" ht="22.5" customHeight="1">
      <c r="A451" s="108"/>
      <c r="B451" s="85"/>
      <c r="C451" s="85"/>
      <c r="D451" s="86"/>
      <c r="E451" s="87"/>
      <c r="F451" s="85"/>
      <c r="G451" s="88"/>
      <c r="H451" s="88"/>
      <c r="I451" s="88"/>
      <c r="J451" s="89"/>
      <c r="K451" s="89"/>
      <c r="L451" s="89"/>
      <c r="M451" s="89"/>
      <c r="N451" s="90"/>
      <c r="O451" s="87"/>
    </row>
    <row r="452" spans="1:15" ht="22.5" customHeight="1">
      <c r="A452" s="108"/>
      <c r="B452" s="85"/>
      <c r="C452" s="85"/>
      <c r="D452" s="86"/>
      <c r="E452" s="87"/>
      <c r="F452" s="85"/>
      <c r="G452" s="88"/>
      <c r="H452" s="88"/>
      <c r="I452" s="88"/>
      <c r="J452" s="89"/>
      <c r="K452" s="89"/>
      <c r="L452" s="89"/>
      <c r="M452" s="89"/>
      <c r="N452" s="90"/>
      <c r="O452" s="87"/>
    </row>
    <row r="453" spans="1:15" ht="22.5" customHeight="1">
      <c r="A453" s="108"/>
      <c r="B453" s="85"/>
      <c r="C453" s="85"/>
      <c r="D453" s="86"/>
      <c r="E453" s="87"/>
      <c r="F453" s="85"/>
      <c r="G453" s="88"/>
      <c r="H453" s="88"/>
      <c r="I453" s="88"/>
      <c r="J453" s="89"/>
      <c r="K453" s="89"/>
      <c r="L453" s="89"/>
      <c r="M453" s="89"/>
      <c r="N453" s="90"/>
      <c r="O453" s="87"/>
    </row>
    <row r="454" spans="1:15" ht="22.5" customHeight="1">
      <c r="A454" s="108"/>
      <c r="B454" s="85"/>
      <c r="C454" s="85"/>
      <c r="D454" s="86"/>
      <c r="E454" s="87"/>
      <c r="F454" s="85"/>
      <c r="G454" s="88"/>
      <c r="H454" s="88"/>
      <c r="I454" s="88"/>
      <c r="J454" s="89"/>
      <c r="K454" s="89"/>
      <c r="L454" s="89"/>
      <c r="M454" s="89"/>
      <c r="N454" s="90"/>
      <c r="O454" s="87"/>
    </row>
    <row r="455" spans="1:15" ht="22.5" customHeight="1">
      <c r="A455" s="108"/>
      <c r="B455" s="85"/>
      <c r="C455" s="85"/>
      <c r="D455" s="86"/>
      <c r="E455" s="87"/>
      <c r="F455" s="85"/>
      <c r="G455" s="88"/>
      <c r="H455" s="88"/>
      <c r="I455" s="88"/>
      <c r="J455" s="89"/>
      <c r="K455" s="89"/>
      <c r="L455" s="89"/>
      <c r="M455" s="89"/>
      <c r="N455" s="90"/>
      <c r="O455" s="87"/>
    </row>
    <row r="456" spans="1:15" ht="22.5" customHeight="1">
      <c r="A456" s="108"/>
      <c r="B456" s="85"/>
      <c r="C456" s="85"/>
      <c r="D456" s="86"/>
      <c r="E456" s="87"/>
      <c r="F456" s="85"/>
      <c r="G456" s="88"/>
      <c r="H456" s="88"/>
      <c r="I456" s="88"/>
      <c r="J456" s="89"/>
      <c r="K456" s="89"/>
      <c r="L456" s="89"/>
      <c r="M456" s="89"/>
      <c r="N456" s="90"/>
      <c r="O456" s="87"/>
    </row>
    <row r="457" spans="1:15" ht="22.5" customHeight="1">
      <c r="A457" s="108"/>
      <c r="B457" s="85"/>
      <c r="C457" s="85"/>
      <c r="D457" s="86"/>
      <c r="E457" s="87"/>
      <c r="F457" s="85"/>
      <c r="G457" s="88"/>
      <c r="H457" s="88"/>
      <c r="I457" s="88"/>
      <c r="J457" s="89"/>
      <c r="K457" s="89"/>
      <c r="L457" s="89"/>
      <c r="M457" s="89"/>
      <c r="N457" s="90"/>
      <c r="O457" s="87"/>
    </row>
    <row r="458" spans="1:15" ht="22.5" customHeight="1">
      <c r="A458" s="108"/>
      <c r="B458" s="85"/>
      <c r="C458" s="85"/>
      <c r="D458" s="86"/>
      <c r="E458" s="87"/>
      <c r="F458" s="85"/>
      <c r="G458" s="88"/>
      <c r="H458" s="88"/>
      <c r="I458" s="88"/>
      <c r="J458" s="89"/>
      <c r="K458" s="89"/>
      <c r="L458" s="89"/>
      <c r="M458" s="89"/>
      <c r="N458" s="90"/>
      <c r="O458" s="87"/>
    </row>
    <row r="459" spans="1:15" ht="22.5" customHeight="1">
      <c r="A459" s="108"/>
      <c r="B459" s="85"/>
      <c r="C459" s="85"/>
      <c r="D459" s="86"/>
      <c r="E459" s="87"/>
      <c r="F459" s="85"/>
      <c r="G459" s="88"/>
      <c r="H459" s="88"/>
      <c r="I459" s="88"/>
      <c r="J459" s="89"/>
      <c r="K459" s="89"/>
      <c r="L459" s="89"/>
      <c r="M459" s="89"/>
      <c r="N459" s="90"/>
      <c r="O459" s="87"/>
    </row>
    <row r="460" spans="1:15" ht="22.5" customHeight="1">
      <c r="A460" s="108"/>
      <c r="B460" s="85"/>
      <c r="C460" s="85"/>
      <c r="D460" s="86"/>
      <c r="E460" s="87"/>
      <c r="F460" s="85"/>
      <c r="G460" s="88"/>
      <c r="H460" s="88"/>
      <c r="I460" s="88"/>
      <c r="J460" s="89"/>
      <c r="K460" s="89"/>
      <c r="L460" s="89"/>
      <c r="M460" s="89"/>
      <c r="N460" s="90"/>
      <c r="O460" s="87"/>
    </row>
    <row r="461" spans="1:15" ht="22.5" customHeight="1">
      <c r="A461" s="108"/>
      <c r="B461" s="85"/>
      <c r="C461" s="85"/>
      <c r="D461" s="86"/>
      <c r="E461" s="87"/>
      <c r="F461" s="85"/>
      <c r="G461" s="88"/>
      <c r="H461" s="88"/>
      <c r="I461" s="88"/>
      <c r="J461" s="89"/>
      <c r="K461" s="89"/>
      <c r="L461" s="89"/>
      <c r="M461" s="89"/>
      <c r="N461" s="90"/>
      <c r="O461" s="87"/>
    </row>
    <row r="462" spans="1:15" ht="22.5" customHeight="1">
      <c r="A462" s="108"/>
      <c r="B462" s="85"/>
      <c r="C462" s="85"/>
      <c r="D462" s="86"/>
      <c r="E462" s="87"/>
      <c r="F462" s="85"/>
      <c r="G462" s="88"/>
      <c r="H462" s="88"/>
      <c r="I462" s="88"/>
      <c r="J462" s="89"/>
      <c r="K462" s="89"/>
      <c r="L462" s="89"/>
      <c r="M462" s="89"/>
      <c r="N462" s="90"/>
      <c r="O462" s="87"/>
    </row>
    <row r="463" spans="1:15" ht="22.5" customHeight="1">
      <c r="A463" s="108"/>
      <c r="B463" s="85"/>
      <c r="C463" s="85"/>
      <c r="D463" s="86"/>
      <c r="E463" s="87"/>
      <c r="F463" s="85"/>
      <c r="G463" s="88"/>
      <c r="H463" s="88"/>
      <c r="I463" s="88"/>
      <c r="J463" s="89"/>
      <c r="K463" s="89"/>
      <c r="L463" s="89"/>
      <c r="M463" s="89"/>
      <c r="N463" s="90"/>
      <c r="O463" s="87"/>
    </row>
    <row r="464" spans="1:15" ht="22.5" customHeight="1">
      <c r="A464" s="108"/>
      <c r="B464" s="85"/>
      <c r="C464" s="85"/>
      <c r="D464" s="86"/>
      <c r="E464" s="87"/>
      <c r="F464" s="85"/>
      <c r="G464" s="88"/>
      <c r="H464" s="88"/>
      <c r="I464" s="88"/>
      <c r="J464" s="89"/>
      <c r="K464" s="89"/>
      <c r="L464" s="89"/>
      <c r="M464" s="89"/>
      <c r="N464" s="90"/>
      <c r="O464" s="87"/>
    </row>
    <row r="465" spans="1:15" ht="22.5" customHeight="1">
      <c r="A465" s="108"/>
      <c r="B465" s="85"/>
      <c r="C465" s="85"/>
      <c r="D465" s="86"/>
      <c r="E465" s="87"/>
      <c r="F465" s="85"/>
      <c r="G465" s="88"/>
      <c r="H465" s="88"/>
      <c r="I465" s="88"/>
      <c r="J465" s="89"/>
      <c r="K465" s="89"/>
      <c r="L465" s="89"/>
      <c r="M465" s="89"/>
      <c r="N465" s="90"/>
      <c r="O465" s="87"/>
    </row>
    <row r="466" spans="1:15" ht="22.5" customHeight="1">
      <c r="A466" s="108"/>
      <c r="B466" s="85"/>
      <c r="C466" s="85"/>
      <c r="D466" s="86"/>
      <c r="E466" s="87"/>
      <c r="F466" s="85"/>
      <c r="G466" s="88"/>
      <c r="H466" s="88"/>
      <c r="I466" s="88"/>
      <c r="J466" s="89"/>
      <c r="K466" s="89"/>
      <c r="L466" s="89"/>
      <c r="M466" s="89"/>
      <c r="N466" s="90"/>
      <c r="O466" s="87"/>
    </row>
    <row r="467" spans="1:15" ht="22.5" customHeight="1">
      <c r="A467" s="108"/>
      <c r="B467" s="85"/>
      <c r="C467" s="85"/>
      <c r="D467" s="86"/>
      <c r="E467" s="87"/>
      <c r="F467" s="85"/>
      <c r="G467" s="88"/>
      <c r="H467" s="88"/>
      <c r="I467" s="88"/>
      <c r="J467" s="89"/>
      <c r="K467" s="89"/>
      <c r="L467" s="89"/>
      <c r="M467" s="89"/>
      <c r="N467" s="90"/>
      <c r="O467" s="87"/>
    </row>
    <row r="468" spans="1:15" ht="22.5" customHeight="1">
      <c r="A468" s="108"/>
      <c r="B468" s="85"/>
      <c r="C468" s="85"/>
      <c r="D468" s="86"/>
      <c r="E468" s="87"/>
      <c r="F468" s="85"/>
      <c r="G468" s="88"/>
      <c r="H468" s="88"/>
      <c r="I468" s="88"/>
      <c r="J468" s="89"/>
      <c r="K468" s="89"/>
      <c r="L468" s="89"/>
      <c r="M468" s="89"/>
      <c r="N468" s="90"/>
      <c r="O468" s="87"/>
    </row>
    <row r="469" spans="1:15" ht="22.5" customHeight="1">
      <c r="A469" s="108"/>
      <c r="B469" s="85"/>
      <c r="C469" s="85"/>
      <c r="D469" s="86"/>
      <c r="E469" s="87"/>
      <c r="F469" s="85"/>
      <c r="G469" s="88"/>
      <c r="H469" s="88"/>
      <c r="I469" s="88"/>
      <c r="J469" s="89"/>
      <c r="K469" s="89"/>
      <c r="L469" s="89"/>
      <c r="M469" s="89"/>
      <c r="N469" s="90"/>
      <c r="O469" s="87"/>
    </row>
    <row r="470" spans="1:15" ht="22.5" customHeight="1">
      <c r="A470" s="108"/>
      <c r="B470" s="85"/>
      <c r="C470" s="85"/>
      <c r="D470" s="86"/>
      <c r="E470" s="87"/>
      <c r="F470" s="85"/>
      <c r="G470" s="88"/>
      <c r="H470" s="88"/>
      <c r="I470" s="88"/>
      <c r="J470" s="89"/>
      <c r="K470" s="89"/>
      <c r="L470" s="89"/>
      <c r="M470" s="89"/>
      <c r="N470" s="90"/>
      <c r="O470" s="87"/>
    </row>
    <row r="471" spans="1:15" ht="22.5" customHeight="1">
      <c r="A471" s="108"/>
      <c r="B471" s="85"/>
      <c r="C471" s="85"/>
      <c r="D471" s="86"/>
      <c r="E471" s="87"/>
      <c r="F471" s="85"/>
      <c r="G471" s="88"/>
      <c r="H471" s="88"/>
      <c r="I471" s="88"/>
      <c r="J471" s="89"/>
      <c r="K471" s="89"/>
      <c r="L471" s="89"/>
      <c r="M471" s="89"/>
      <c r="N471" s="90"/>
      <c r="O471" s="87"/>
    </row>
    <row r="472" spans="1:15" ht="22.5" customHeight="1">
      <c r="A472" s="108"/>
      <c r="B472" s="85"/>
      <c r="C472" s="85"/>
      <c r="D472" s="86"/>
      <c r="E472" s="87"/>
      <c r="F472" s="85"/>
      <c r="G472" s="88"/>
      <c r="H472" s="88"/>
      <c r="I472" s="88"/>
      <c r="J472" s="89"/>
      <c r="K472" s="89"/>
      <c r="L472" s="89"/>
      <c r="M472" s="89"/>
      <c r="N472" s="90"/>
      <c r="O472" s="87"/>
    </row>
    <row r="473" spans="1:15" ht="22.5" customHeight="1">
      <c r="A473" s="108"/>
      <c r="B473" s="85"/>
      <c r="C473" s="85"/>
      <c r="D473" s="86"/>
      <c r="E473" s="87"/>
      <c r="F473" s="85"/>
      <c r="G473" s="88"/>
      <c r="H473" s="88"/>
      <c r="I473" s="88"/>
      <c r="J473" s="89"/>
      <c r="K473" s="89"/>
      <c r="L473" s="89"/>
      <c r="M473" s="89"/>
      <c r="N473" s="90"/>
      <c r="O473" s="87"/>
    </row>
    <row r="474" spans="1:15" ht="22.5" customHeight="1">
      <c r="A474" s="108"/>
      <c r="B474" s="85"/>
      <c r="C474" s="85"/>
      <c r="D474" s="86"/>
      <c r="E474" s="87"/>
      <c r="F474" s="85"/>
      <c r="G474" s="88"/>
      <c r="H474" s="88"/>
      <c r="I474" s="88"/>
      <c r="J474" s="89"/>
      <c r="K474" s="89"/>
      <c r="L474" s="89"/>
      <c r="M474" s="89"/>
      <c r="N474" s="90"/>
      <c r="O474" s="87"/>
    </row>
    <row r="475" spans="1:15" ht="22.5" customHeight="1">
      <c r="A475" s="108"/>
      <c r="B475" s="85"/>
      <c r="C475" s="85"/>
      <c r="D475" s="86"/>
      <c r="E475" s="87"/>
      <c r="F475" s="85"/>
      <c r="G475" s="88"/>
      <c r="H475" s="88"/>
      <c r="I475" s="88"/>
      <c r="J475" s="89"/>
      <c r="K475" s="89"/>
      <c r="L475" s="89"/>
      <c r="M475" s="89"/>
      <c r="N475" s="90"/>
      <c r="O475" s="87"/>
    </row>
    <row r="476" spans="1:15" ht="22.5" customHeight="1">
      <c r="A476" s="108"/>
      <c r="B476" s="85"/>
      <c r="C476" s="85"/>
      <c r="D476" s="86"/>
      <c r="E476" s="87"/>
      <c r="F476" s="85"/>
      <c r="G476" s="88"/>
      <c r="H476" s="88"/>
      <c r="I476" s="88"/>
      <c r="J476" s="89"/>
      <c r="K476" s="89"/>
      <c r="L476" s="89"/>
      <c r="M476" s="89"/>
      <c r="N476" s="90"/>
      <c r="O476" s="87"/>
    </row>
    <row r="477" spans="1:15" ht="22.5" customHeight="1">
      <c r="A477" s="108"/>
      <c r="B477" s="85"/>
      <c r="C477" s="85"/>
      <c r="D477" s="86"/>
      <c r="E477" s="87"/>
      <c r="F477" s="85"/>
      <c r="G477" s="88"/>
      <c r="H477" s="88"/>
      <c r="I477" s="88"/>
      <c r="J477" s="89"/>
      <c r="K477" s="89"/>
      <c r="L477" s="89"/>
      <c r="M477" s="89"/>
      <c r="N477" s="90"/>
      <c r="O477" s="87"/>
    </row>
    <row r="478" spans="1:15" ht="22.5" customHeight="1">
      <c r="A478" s="108"/>
      <c r="B478" s="85"/>
      <c r="C478" s="85"/>
      <c r="D478" s="86"/>
      <c r="E478" s="87"/>
      <c r="F478" s="85"/>
      <c r="G478" s="88"/>
      <c r="H478" s="88"/>
      <c r="I478" s="88"/>
      <c r="J478" s="89"/>
      <c r="K478" s="89"/>
      <c r="L478" s="89"/>
      <c r="M478" s="89"/>
      <c r="N478" s="90"/>
      <c r="O478" s="87"/>
    </row>
    <row r="479" spans="1:15" ht="22.5" customHeight="1">
      <c r="A479" s="108"/>
      <c r="B479" s="85"/>
      <c r="C479" s="85"/>
      <c r="D479" s="86"/>
      <c r="E479" s="87"/>
      <c r="F479" s="85"/>
      <c r="G479" s="88"/>
      <c r="H479" s="88"/>
      <c r="I479" s="88"/>
      <c r="J479" s="89"/>
      <c r="K479" s="89"/>
      <c r="L479" s="89"/>
      <c r="M479" s="89"/>
      <c r="N479" s="90"/>
      <c r="O479" s="87"/>
    </row>
    <row r="480" spans="1:15" ht="22.5" customHeight="1">
      <c r="A480" s="108"/>
      <c r="B480" s="85"/>
      <c r="C480" s="85"/>
      <c r="D480" s="86"/>
      <c r="E480" s="87"/>
      <c r="F480" s="85"/>
      <c r="G480" s="88"/>
      <c r="H480" s="88"/>
      <c r="I480" s="88"/>
      <c r="J480" s="89"/>
      <c r="K480" s="89"/>
      <c r="L480" s="89"/>
      <c r="M480" s="89"/>
      <c r="N480" s="90"/>
      <c r="O480" s="87"/>
    </row>
    <row r="481" spans="1:15" ht="22.5" customHeight="1">
      <c r="A481" s="108"/>
      <c r="B481" s="85"/>
      <c r="C481" s="85"/>
      <c r="D481" s="86"/>
      <c r="E481" s="87"/>
      <c r="F481" s="85"/>
      <c r="G481" s="88"/>
      <c r="H481" s="88"/>
      <c r="I481" s="88"/>
      <c r="J481" s="89"/>
      <c r="K481" s="89"/>
      <c r="L481" s="89"/>
      <c r="M481" s="89"/>
      <c r="N481" s="90"/>
      <c r="O481" s="87"/>
    </row>
    <row r="482" spans="1:15" ht="22.5" customHeight="1">
      <c r="A482" s="108"/>
      <c r="B482" s="85"/>
      <c r="C482" s="85"/>
      <c r="D482" s="86"/>
      <c r="E482" s="87"/>
      <c r="F482" s="85"/>
      <c r="G482" s="88"/>
      <c r="H482" s="88"/>
      <c r="I482" s="88"/>
      <c r="J482" s="89"/>
      <c r="K482" s="89"/>
      <c r="L482" s="89"/>
      <c r="M482" s="89"/>
      <c r="N482" s="90"/>
      <c r="O482" s="87"/>
    </row>
    <row r="483" spans="1:15" ht="22.5" customHeight="1">
      <c r="A483" s="108"/>
      <c r="B483" s="85"/>
      <c r="C483" s="85"/>
      <c r="D483" s="86"/>
      <c r="E483" s="87"/>
      <c r="F483" s="85"/>
      <c r="G483" s="88"/>
      <c r="H483" s="88"/>
      <c r="I483" s="88"/>
      <c r="J483" s="89"/>
      <c r="K483" s="89"/>
      <c r="L483" s="89"/>
      <c r="M483" s="89"/>
      <c r="N483" s="90"/>
      <c r="O483" s="87"/>
    </row>
    <row r="484" spans="1:15" ht="22.5" customHeight="1">
      <c r="A484" s="108"/>
      <c r="B484" s="85"/>
      <c r="C484" s="85"/>
      <c r="D484" s="86"/>
      <c r="E484" s="87"/>
      <c r="F484" s="85"/>
      <c r="G484" s="88"/>
      <c r="H484" s="88"/>
      <c r="I484" s="88"/>
      <c r="J484" s="89"/>
      <c r="K484" s="89"/>
      <c r="L484" s="89"/>
      <c r="M484" s="89"/>
      <c r="N484" s="90"/>
      <c r="O484" s="87"/>
    </row>
    <row r="485" spans="1:15" ht="22.5" customHeight="1">
      <c r="A485" s="108"/>
      <c r="B485" s="85"/>
      <c r="C485" s="85"/>
      <c r="D485" s="86"/>
      <c r="E485" s="87"/>
      <c r="F485" s="85"/>
      <c r="G485" s="88"/>
      <c r="H485" s="88"/>
      <c r="I485" s="88"/>
      <c r="J485" s="89"/>
      <c r="K485" s="89"/>
      <c r="L485" s="89"/>
      <c r="M485" s="89"/>
      <c r="N485" s="90"/>
      <c r="O485" s="87"/>
    </row>
    <row r="486" spans="1:15" ht="22.5" customHeight="1">
      <c r="A486" s="108"/>
      <c r="B486" s="85"/>
      <c r="C486" s="85"/>
      <c r="D486" s="86"/>
      <c r="E486" s="87"/>
      <c r="F486" s="85"/>
      <c r="G486" s="88"/>
      <c r="H486" s="88"/>
      <c r="I486" s="88"/>
      <c r="J486" s="89"/>
      <c r="K486" s="89"/>
      <c r="L486" s="89"/>
      <c r="M486" s="89"/>
      <c r="N486" s="90"/>
      <c r="O486" s="87"/>
    </row>
    <row r="487" spans="1:15" ht="22.5" customHeight="1">
      <c r="A487" s="108"/>
      <c r="B487" s="85"/>
      <c r="C487" s="85"/>
      <c r="D487" s="86"/>
      <c r="E487" s="87"/>
      <c r="F487" s="85"/>
      <c r="G487" s="88"/>
      <c r="H487" s="88"/>
      <c r="I487" s="88"/>
      <c r="J487" s="89"/>
      <c r="K487" s="89"/>
      <c r="L487" s="89"/>
      <c r="M487" s="89"/>
      <c r="N487" s="90"/>
      <c r="O487" s="87"/>
    </row>
    <row r="488" spans="1:15" ht="22.5" customHeight="1">
      <c r="A488" s="108"/>
      <c r="B488" s="85"/>
      <c r="C488" s="85"/>
      <c r="D488" s="86"/>
      <c r="E488" s="87"/>
      <c r="F488" s="85"/>
      <c r="G488" s="88"/>
      <c r="H488" s="88"/>
      <c r="I488" s="88"/>
      <c r="J488" s="89"/>
      <c r="K488" s="89"/>
      <c r="L488" s="89"/>
      <c r="M488" s="89"/>
      <c r="N488" s="90"/>
      <c r="O488" s="87"/>
    </row>
    <row r="489" spans="1:15" ht="22.5" customHeight="1">
      <c r="A489" s="108"/>
      <c r="B489" s="85"/>
      <c r="C489" s="85"/>
      <c r="D489" s="86"/>
      <c r="E489" s="87"/>
      <c r="F489" s="85"/>
      <c r="G489" s="88"/>
      <c r="H489" s="88"/>
      <c r="I489" s="88"/>
      <c r="J489" s="89"/>
      <c r="K489" s="89"/>
      <c r="L489" s="89"/>
      <c r="M489" s="89"/>
      <c r="N489" s="90"/>
      <c r="O489" s="87"/>
    </row>
    <row r="490" spans="1:15" ht="22.5" customHeight="1">
      <c r="A490" s="108"/>
      <c r="B490" s="85"/>
      <c r="C490" s="85"/>
      <c r="D490" s="86"/>
      <c r="E490" s="87"/>
      <c r="F490" s="85"/>
      <c r="G490" s="88"/>
      <c r="H490" s="88"/>
      <c r="I490" s="88"/>
      <c r="J490" s="89"/>
      <c r="K490" s="89"/>
      <c r="L490" s="89"/>
      <c r="M490" s="89"/>
      <c r="N490" s="90"/>
      <c r="O490" s="87"/>
    </row>
    <row r="491" spans="1:15" ht="22.5" customHeight="1">
      <c r="A491" s="108"/>
      <c r="B491" s="85"/>
      <c r="C491" s="85"/>
      <c r="D491" s="86"/>
      <c r="E491" s="87"/>
      <c r="F491" s="85"/>
      <c r="G491" s="88"/>
      <c r="H491" s="88"/>
      <c r="I491" s="88"/>
      <c r="J491" s="89"/>
      <c r="K491" s="89"/>
      <c r="L491" s="89"/>
      <c r="M491" s="89"/>
      <c r="N491" s="90"/>
      <c r="O491" s="87"/>
    </row>
    <row r="492" spans="1:15" ht="22.5" customHeight="1">
      <c r="A492" s="108"/>
      <c r="B492" s="85"/>
      <c r="C492" s="85"/>
      <c r="D492" s="86"/>
      <c r="E492" s="87"/>
      <c r="F492" s="85"/>
      <c r="G492" s="88"/>
      <c r="H492" s="88"/>
      <c r="I492" s="88"/>
      <c r="J492" s="89"/>
      <c r="K492" s="89"/>
      <c r="L492" s="89"/>
      <c r="M492" s="89"/>
      <c r="N492" s="90"/>
      <c r="O492" s="87"/>
    </row>
    <row r="493" spans="1:15" ht="22.5" customHeight="1">
      <c r="A493" s="108"/>
      <c r="B493" s="85"/>
      <c r="C493" s="85"/>
      <c r="D493" s="86"/>
      <c r="E493" s="87"/>
      <c r="F493" s="85"/>
      <c r="G493" s="88"/>
      <c r="H493" s="88"/>
      <c r="I493" s="88"/>
      <c r="J493" s="89"/>
      <c r="K493" s="89"/>
      <c r="L493" s="89"/>
      <c r="M493" s="89"/>
      <c r="N493" s="90"/>
      <c r="O493" s="87"/>
    </row>
    <row r="494" spans="1:15" ht="22.5" customHeight="1">
      <c r="A494" s="108"/>
      <c r="B494" s="85"/>
      <c r="C494" s="85"/>
      <c r="D494" s="86"/>
      <c r="E494" s="87"/>
      <c r="F494" s="85"/>
      <c r="G494" s="88"/>
      <c r="H494" s="88"/>
      <c r="I494" s="88"/>
      <c r="J494" s="89"/>
      <c r="K494" s="89"/>
      <c r="L494" s="89"/>
      <c r="M494" s="89"/>
      <c r="N494" s="90"/>
      <c r="O494" s="87"/>
    </row>
    <row r="495" spans="1:15" ht="22.5" customHeight="1">
      <c r="A495" s="108"/>
      <c r="B495" s="85"/>
      <c r="C495" s="85"/>
      <c r="D495" s="86"/>
      <c r="E495" s="87"/>
      <c r="F495" s="85"/>
      <c r="G495" s="88"/>
      <c r="H495" s="88"/>
      <c r="I495" s="88"/>
      <c r="J495" s="89"/>
      <c r="K495" s="89"/>
      <c r="L495" s="89"/>
      <c r="M495" s="89"/>
      <c r="N495" s="90"/>
      <c r="O495" s="87"/>
    </row>
    <row r="496" spans="1:15" ht="22.5" customHeight="1">
      <c r="A496" s="108"/>
      <c r="B496" s="85"/>
      <c r="C496" s="85"/>
      <c r="D496" s="86"/>
      <c r="E496" s="87"/>
      <c r="F496" s="85"/>
      <c r="G496" s="88"/>
      <c r="H496" s="88"/>
      <c r="I496" s="88"/>
      <c r="J496" s="89"/>
      <c r="K496" s="89"/>
      <c r="L496" s="89"/>
      <c r="M496" s="89"/>
      <c r="N496" s="90"/>
      <c r="O496" s="87"/>
    </row>
    <row r="497" spans="1:15" ht="22.5" customHeight="1">
      <c r="A497" s="108"/>
      <c r="B497" s="85"/>
      <c r="C497" s="85"/>
      <c r="D497" s="86"/>
      <c r="E497" s="87"/>
      <c r="F497" s="85"/>
      <c r="G497" s="88"/>
      <c r="H497" s="88"/>
      <c r="I497" s="88"/>
      <c r="J497" s="89"/>
      <c r="K497" s="89"/>
      <c r="L497" s="89"/>
      <c r="M497" s="89"/>
      <c r="N497" s="90"/>
      <c r="O497" s="87"/>
    </row>
    <row r="498" spans="1:15" ht="22.5" customHeight="1">
      <c r="A498" s="108"/>
      <c r="B498" s="85"/>
      <c r="C498" s="85"/>
      <c r="D498" s="86"/>
      <c r="E498" s="87"/>
      <c r="F498" s="85"/>
      <c r="G498" s="88"/>
      <c r="H498" s="88"/>
      <c r="I498" s="88"/>
      <c r="J498" s="89"/>
      <c r="K498" s="89"/>
      <c r="L498" s="89"/>
      <c r="M498" s="89"/>
      <c r="N498" s="90"/>
      <c r="O498" s="87"/>
    </row>
    <row r="499" spans="1:15" ht="22.5" customHeight="1">
      <c r="A499" s="108"/>
      <c r="B499" s="85"/>
      <c r="C499" s="85"/>
      <c r="D499" s="86"/>
      <c r="E499" s="87"/>
      <c r="F499" s="85"/>
      <c r="G499" s="88"/>
      <c r="H499" s="88"/>
      <c r="I499" s="88"/>
      <c r="J499" s="89"/>
      <c r="K499" s="89"/>
      <c r="L499" s="89"/>
      <c r="M499" s="89"/>
      <c r="N499" s="90"/>
      <c r="O499" s="87"/>
    </row>
    <row r="500" spans="1:15" ht="22.5" customHeight="1">
      <c r="A500" s="108"/>
      <c r="B500" s="85"/>
      <c r="C500" s="85"/>
      <c r="D500" s="86"/>
      <c r="E500" s="87"/>
      <c r="F500" s="85"/>
      <c r="G500" s="88"/>
      <c r="H500" s="88"/>
      <c r="I500" s="88"/>
      <c r="J500" s="89"/>
      <c r="K500" s="89"/>
      <c r="L500" s="89"/>
      <c r="M500" s="89"/>
      <c r="N500" s="90"/>
      <c r="O500" s="87"/>
    </row>
    <row r="501" spans="1:15" ht="22.5" customHeight="1">
      <c r="A501" s="108"/>
      <c r="B501" s="85"/>
      <c r="C501" s="85"/>
      <c r="D501" s="86"/>
      <c r="E501" s="87"/>
      <c r="F501" s="85"/>
      <c r="G501" s="88"/>
      <c r="H501" s="88"/>
      <c r="I501" s="88"/>
      <c r="J501" s="89"/>
      <c r="K501" s="89"/>
      <c r="L501" s="89"/>
      <c r="M501" s="89"/>
      <c r="N501" s="90"/>
      <c r="O501" s="87"/>
    </row>
    <row r="502" spans="1:15" ht="22.5" customHeight="1">
      <c r="A502" s="108"/>
      <c r="B502" s="85"/>
      <c r="C502" s="85"/>
      <c r="D502" s="86"/>
      <c r="E502" s="87"/>
      <c r="F502" s="85"/>
      <c r="G502" s="88"/>
      <c r="H502" s="88"/>
      <c r="I502" s="88"/>
      <c r="J502" s="89"/>
      <c r="K502" s="89"/>
      <c r="L502" s="89"/>
      <c r="M502" s="89"/>
      <c r="N502" s="90"/>
      <c r="O502" s="87"/>
    </row>
    <row r="503" spans="1:15" ht="22.5" customHeight="1">
      <c r="A503" s="108"/>
      <c r="B503" s="85"/>
      <c r="C503" s="85"/>
      <c r="D503" s="86"/>
      <c r="E503" s="87"/>
      <c r="F503" s="85"/>
      <c r="G503" s="88"/>
      <c r="H503" s="88"/>
      <c r="I503" s="88"/>
      <c r="J503" s="89"/>
      <c r="K503" s="89"/>
      <c r="L503" s="89"/>
      <c r="M503" s="89"/>
      <c r="N503" s="90"/>
      <c r="O503" s="87"/>
    </row>
    <row r="504" spans="1:15" ht="22.5" customHeight="1">
      <c r="A504" s="108"/>
      <c r="B504" s="85"/>
      <c r="C504" s="85"/>
      <c r="D504" s="86"/>
      <c r="E504" s="87"/>
      <c r="F504" s="85"/>
      <c r="G504" s="88"/>
      <c r="H504" s="88"/>
      <c r="I504" s="88"/>
      <c r="J504" s="89"/>
      <c r="K504" s="89"/>
      <c r="L504" s="89"/>
      <c r="M504" s="89"/>
      <c r="N504" s="90"/>
      <c r="O504" s="87"/>
    </row>
    <row r="505" spans="1:15" ht="22.5" customHeight="1">
      <c r="A505" s="108"/>
      <c r="B505" s="85"/>
      <c r="C505" s="85"/>
      <c r="D505" s="86"/>
      <c r="E505" s="87"/>
      <c r="F505" s="85"/>
      <c r="G505" s="88"/>
      <c r="H505" s="88"/>
      <c r="I505" s="88"/>
      <c r="J505" s="89"/>
      <c r="K505" s="89"/>
      <c r="L505" s="89"/>
      <c r="M505" s="89"/>
      <c r="N505" s="90"/>
      <c r="O505" s="87"/>
    </row>
    <row r="506" spans="1:15" ht="22.5" customHeight="1">
      <c r="A506" s="108"/>
      <c r="B506" s="85"/>
      <c r="C506" s="85"/>
      <c r="D506" s="86"/>
      <c r="E506" s="87"/>
      <c r="F506" s="85"/>
      <c r="G506" s="88"/>
      <c r="H506" s="88"/>
      <c r="I506" s="88"/>
      <c r="J506" s="89"/>
      <c r="K506" s="89"/>
      <c r="L506" s="89"/>
      <c r="M506" s="89"/>
      <c r="N506" s="90"/>
      <c r="O506" s="87"/>
    </row>
    <row r="507" spans="1:15" ht="22.5" customHeight="1">
      <c r="A507" s="108"/>
      <c r="B507" s="85"/>
      <c r="C507" s="85"/>
      <c r="D507" s="86"/>
      <c r="E507" s="87"/>
      <c r="F507" s="85"/>
      <c r="G507" s="88"/>
      <c r="H507" s="88"/>
      <c r="I507" s="88"/>
      <c r="J507" s="89"/>
      <c r="K507" s="89"/>
      <c r="L507" s="89"/>
      <c r="M507" s="89"/>
      <c r="N507" s="90"/>
      <c r="O507" s="87"/>
    </row>
    <row r="508" spans="1:15" ht="22.5" customHeight="1">
      <c r="A508" s="108"/>
      <c r="B508" s="85"/>
      <c r="C508" s="85"/>
      <c r="D508" s="86"/>
      <c r="E508" s="87"/>
      <c r="F508" s="85"/>
      <c r="G508" s="88"/>
      <c r="H508" s="88"/>
      <c r="I508" s="88"/>
      <c r="J508" s="89"/>
      <c r="K508" s="89"/>
      <c r="L508" s="89"/>
      <c r="M508" s="89"/>
      <c r="N508" s="90"/>
      <c r="O508" s="87"/>
    </row>
    <row r="509" spans="1:15" ht="22.5" customHeight="1">
      <c r="A509" s="108"/>
      <c r="B509" s="85"/>
      <c r="C509" s="85"/>
      <c r="D509" s="86"/>
      <c r="E509" s="87"/>
      <c r="F509" s="85"/>
      <c r="G509" s="88"/>
      <c r="H509" s="88"/>
      <c r="I509" s="88"/>
      <c r="J509" s="89"/>
      <c r="K509" s="89"/>
      <c r="L509" s="89"/>
      <c r="M509" s="89"/>
      <c r="N509" s="90"/>
      <c r="O509" s="87"/>
    </row>
    <row r="510" spans="1:15" ht="22.5" customHeight="1">
      <c r="A510" s="108"/>
      <c r="B510" s="85"/>
      <c r="C510" s="85"/>
      <c r="D510" s="86"/>
      <c r="E510" s="87"/>
      <c r="F510" s="85"/>
      <c r="G510" s="88"/>
      <c r="H510" s="88"/>
      <c r="I510" s="88"/>
      <c r="J510" s="89"/>
      <c r="K510" s="89"/>
      <c r="L510" s="89"/>
      <c r="M510" s="89"/>
      <c r="N510" s="90"/>
      <c r="O510" s="87"/>
    </row>
    <row r="511" spans="1:15" ht="22.5" customHeight="1">
      <c r="A511" s="108"/>
      <c r="B511" s="85"/>
      <c r="C511" s="85"/>
      <c r="D511" s="86"/>
      <c r="E511" s="87"/>
      <c r="F511" s="85"/>
      <c r="G511" s="88"/>
      <c r="H511" s="88"/>
      <c r="I511" s="88"/>
      <c r="J511" s="89"/>
      <c r="K511" s="89"/>
      <c r="L511" s="89"/>
      <c r="M511" s="89"/>
      <c r="N511" s="90"/>
      <c r="O511" s="87"/>
    </row>
    <row r="512" spans="1:15" ht="22.5" customHeight="1">
      <c r="A512" s="108"/>
      <c r="B512" s="85"/>
      <c r="C512" s="85"/>
      <c r="D512" s="86"/>
      <c r="E512" s="87"/>
      <c r="F512" s="85"/>
      <c r="G512" s="88"/>
      <c r="H512" s="88"/>
      <c r="I512" s="88"/>
      <c r="J512" s="89"/>
      <c r="K512" s="89"/>
      <c r="L512" s="89"/>
      <c r="M512" s="89"/>
      <c r="N512" s="90"/>
      <c r="O512" s="87"/>
    </row>
    <row r="513" spans="1:15" ht="22.5" customHeight="1">
      <c r="A513" s="108"/>
      <c r="B513" s="85"/>
      <c r="C513" s="85"/>
      <c r="D513" s="86"/>
      <c r="E513" s="87"/>
      <c r="F513" s="85"/>
      <c r="G513" s="88"/>
      <c r="H513" s="88"/>
      <c r="I513" s="88"/>
      <c r="J513" s="89"/>
      <c r="K513" s="89"/>
      <c r="L513" s="89"/>
      <c r="M513" s="89"/>
      <c r="N513" s="90"/>
      <c r="O513" s="87"/>
    </row>
    <row r="514" spans="1:15" ht="22.5" customHeight="1">
      <c r="A514" s="108"/>
      <c r="B514" s="85"/>
      <c r="C514" s="85"/>
      <c r="D514" s="86"/>
      <c r="E514" s="87"/>
      <c r="F514" s="85"/>
      <c r="G514" s="88"/>
      <c r="H514" s="88"/>
      <c r="I514" s="88"/>
      <c r="J514" s="89"/>
      <c r="K514" s="89"/>
      <c r="L514" s="89"/>
      <c r="M514" s="89"/>
      <c r="N514" s="90"/>
      <c r="O514" s="87"/>
    </row>
    <row r="515" spans="1:15" ht="22.5" customHeight="1">
      <c r="A515" s="108"/>
      <c r="B515" s="85"/>
      <c r="C515" s="85"/>
      <c r="D515" s="86"/>
      <c r="E515" s="87"/>
      <c r="F515" s="85"/>
      <c r="G515" s="88"/>
      <c r="H515" s="88"/>
      <c r="I515" s="88"/>
      <c r="J515" s="89"/>
      <c r="K515" s="89"/>
      <c r="L515" s="89"/>
      <c r="M515" s="89"/>
      <c r="N515" s="90"/>
      <c r="O515" s="87"/>
    </row>
    <row r="516" spans="1:15" ht="22.5" customHeight="1">
      <c r="A516" s="108"/>
      <c r="B516" s="85"/>
      <c r="C516" s="85"/>
      <c r="D516" s="86"/>
      <c r="E516" s="87"/>
      <c r="F516" s="85"/>
      <c r="G516" s="88"/>
      <c r="H516" s="88"/>
      <c r="I516" s="88"/>
      <c r="J516" s="89"/>
      <c r="K516" s="89"/>
      <c r="L516" s="89"/>
      <c r="M516" s="89"/>
      <c r="N516" s="90"/>
      <c r="O516" s="87"/>
    </row>
    <row r="517" spans="1:15" ht="22.5" customHeight="1">
      <c r="A517" s="108"/>
      <c r="B517" s="85"/>
      <c r="C517" s="85"/>
      <c r="D517" s="86"/>
      <c r="E517" s="87"/>
      <c r="F517" s="85"/>
      <c r="G517" s="88"/>
      <c r="H517" s="88"/>
      <c r="I517" s="88"/>
      <c r="J517" s="89"/>
      <c r="K517" s="89"/>
      <c r="L517" s="89"/>
      <c r="M517" s="89"/>
      <c r="N517" s="90"/>
      <c r="O517" s="87"/>
    </row>
    <row r="518" spans="1:15" ht="22.5" customHeight="1">
      <c r="A518" s="108"/>
      <c r="B518" s="85"/>
      <c r="C518" s="85"/>
      <c r="D518" s="86"/>
      <c r="E518" s="87"/>
      <c r="F518" s="85"/>
      <c r="G518" s="88"/>
      <c r="H518" s="88"/>
      <c r="I518" s="88"/>
      <c r="J518" s="89"/>
      <c r="K518" s="89"/>
      <c r="L518" s="89"/>
      <c r="M518" s="89"/>
      <c r="N518" s="90"/>
      <c r="O518" s="87"/>
    </row>
    <row r="519" spans="1:15" ht="22.5" customHeight="1">
      <c r="A519" s="108"/>
      <c r="B519" s="85"/>
      <c r="C519" s="85"/>
      <c r="D519" s="86"/>
      <c r="E519" s="87"/>
      <c r="F519" s="85"/>
      <c r="G519" s="88"/>
      <c r="H519" s="88"/>
      <c r="I519" s="88"/>
      <c r="J519" s="89"/>
      <c r="K519" s="89"/>
      <c r="L519" s="89"/>
      <c r="M519" s="89"/>
      <c r="N519" s="90"/>
      <c r="O519" s="87"/>
    </row>
    <row r="520" spans="1:15" ht="22.5" customHeight="1">
      <c r="A520" s="108"/>
      <c r="B520" s="85"/>
      <c r="C520" s="85"/>
      <c r="D520" s="86"/>
      <c r="E520" s="87"/>
      <c r="F520" s="85"/>
      <c r="G520" s="88"/>
      <c r="H520" s="88"/>
      <c r="I520" s="88"/>
      <c r="J520" s="89"/>
      <c r="K520" s="89"/>
      <c r="L520" s="89"/>
      <c r="M520" s="89"/>
      <c r="N520" s="90"/>
      <c r="O520" s="87"/>
    </row>
    <row r="521" spans="1:15" ht="22.5" customHeight="1">
      <c r="A521" s="108"/>
      <c r="B521" s="85"/>
      <c r="C521" s="85"/>
      <c r="D521" s="86"/>
      <c r="E521" s="87"/>
      <c r="F521" s="85"/>
      <c r="G521" s="88"/>
      <c r="H521" s="88"/>
      <c r="I521" s="88"/>
      <c r="J521" s="89"/>
      <c r="K521" s="89"/>
      <c r="L521" s="89"/>
      <c r="M521" s="89"/>
      <c r="N521" s="90"/>
      <c r="O521" s="87"/>
    </row>
    <row r="522" spans="1:15" ht="22.5" customHeight="1">
      <c r="A522" s="108"/>
      <c r="B522" s="85"/>
      <c r="C522" s="85"/>
      <c r="D522" s="86"/>
      <c r="E522" s="87"/>
      <c r="F522" s="85"/>
      <c r="G522" s="88"/>
      <c r="H522" s="88"/>
      <c r="I522" s="88"/>
      <c r="J522" s="89"/>
      <c r="K522" s="89"/>
      <c r="L522" s="89"/>
      <c r="M522" s="89"/>
      <c r="N522" s="90"/>
      <c r="O522" s="87"/>
    </row>
    <row r="523" spans="1:15" ht="22.5" customHeight="1">
      <c r="A523" s="108"/>
      <c r="B523" s="85"/>
      <c r="C523" s="85"/>
      <c r="D523" s="86"/>
      <c r="E523" s="87"/>
      <c r="F523" s="85"/>
      <c r="G523" s="88"/>
      <c r="H523" s="88"/>
      <c r="I523" s="88"/>
      <c r="J523" s="89"/>
      <c r="K523" s="89"/>
      <c r="L523" s="89"/>
      <c r="M523" s="89"/>
      <c r="N523" s="90"/>
      <c r="O523" s="87"/>
    </row>
    <row r="524" spans="1:15" ht="22.5" customHeight="1">
      <c r="A524" s="108"/>
      <c r="B524" s="85"/>
      <c r="C524" s="85"/>
      <c r="D524" s="86"/>
      <c r="E524" s="87"/>
      <c r="F524" s="85"/>
      <c r="G524" s="88"/>
      <c r="H524" s="88"/>
      <c r="I524" s="88"/>
      <c r="J524" s="89"/>
      <c r="K524" s="89"/>
      <c r="L524" s="89"/>
      <c r="M524" s="89"/>
      <c r="N524" s="90"/>
      <c r="O524" s="87"/>
    </row>
    <row r="525" spans="1:15" ht="22.5" customHeight="1">
      <c r="A525" s="108"/>
      <c r="B525" s="85"/>
      <c r="C525" s="85"/>
      <c r="D525" s="86"/>
      <c r="E525" s="87"/>
      <c r="F525" s="85"/>
      <c r="G525" s="88"/>
      <c r="H525" s="88"/>
      <c r="I525" s="88"/>
      <c r="J525" s="89"/>
      <c r="K525" s="89"/>
      <c r="L525" s="89"/>
      <c r="M525" s="89"/>
      <c r="N525" s="90"/>
      <c r="O525" s="87"/>
    </row>
    <row r="526" spans="1:15" ht="22.5" customHeight="1">
      <c r="A526" s="108"/>
      <c r="B526" s="85"/>
      <c r="C526" s="85"/>
      <c r="D526" s="86"/>
      <c r="E526" s="87"/>
      <c r="F526" s="85"/>
      <c r="G526" s="88"/>
      <c r="H526" s="88"/>
      <c r="I526" s="88"/>
      <c r="J526" s="89"/>
      <c r="K526" s="89"/>
      <c r="L526" s="89"/>
      <c r="M526" s="89"/>
      <c r="N526" s="90"/>
      <c r="O526" s="87"/>
    </row>
    <row r="527" spans="1:15" ht="22.5" customHeight="1">
      <c r="A527" s="108"/>
      <c r="B527" s="85"/>
      <c r="C527" s="85"/>
      <c r="D527" s="86"/>
      <c r="E527" s="87"/>
      <c r="F527" s="85"/>
      <c r="G527" s="88"/>
      <c r="H527" s="88"/>
      <c r="I527" s="88"/>
      <c r="J527" s="89"/>
      <c r="K527" s="89"/>
      <c r="L527" s="89"/>
      <c r="M527" s="89"/>
      <c r="N527" s="90"/>
      <c r="O527" s="87"/>
    </row>
    <row r="528" spans="1:15" ht="22.5" customHeight="1">
      <c r="A528" s="108"/>
      <c r="B528" s="85"/>
      <c r="C528" s="85"/>
      <c r="D528" s="86"/>
      <c r="E528" s="87"/>
      <c r="F528" s="85"/>
      <c r="G528" s="88"/>
      <c r="H528" s="88"/>
      <c r="I528" s="88"/>
      <c r="J528" s="89"/>
      <c r="K528" s="89"/>
      <c r="L528" s="89"/>
      <c r="M528" s="89"/>
      <c r="N528" s="90"/>
      <c r="O528" s="87"/>
    </row>
    <row r="529" spans="1:15" ht="22.5" customHeight="1">
      <c r="A529" s="108"/>
      <c r="B529" s="85"/>
      <c r="C529" s="85"/>
      <c r="D529" s="86"/>
      <c r="E529" s="87"/>
      <c r="F529" s="85"/>
      <c r="G529" s="88"/>
      <c r="H529" s="88"/>
      <c r="I529" s="88"/>
      <c r="J529" s="89"/>
      <c r="K529" s="89"/>
      <c r="L529" s="89"/>
      <c r="M529" s="89"/>
      <c r="N529" s="90"/>
      <c r="O529" s="87"/>
    </row>
    <row r="530" spans="1:15" ht="22.5" customHeight="1">
      <c r="A530" s="108"/>
      <c r="B530" s="85"/>
      <c r="C530" s="85"/>
      <c r="D530" s="86"/>
      <c r="E530" s="87"/>
      <c r="F530" s="85"/>
      <c r="G530" s="88"/>
      <c r="H530" s="88"/>
      <c r="I530" s="88"/>
      <c r="J530" s="89"/>
      <c r="K530" s="89"/>
      <c r="L530" s="89"/>
      <c r="M530" s="89"/>
      <c r="N530" s="90"/>
      <c r="O530" s="87"/>
    </row>
    <row r="531" spans="1:15" ht="22.5" customHeight="1">
      <c r="A531" s="108"/>
      <c r="B531" s="85"/>
      <c r="C531" s="85"/>
      <c r="D531" s="86"/>
      <c r="E531" s="87"/>
      <c r="F531" s="85"/>
      <c r="G531" s="88"/>
      <c r="H531" s="88"/>
      <c r="I531" s="88"/>
      <c r="J531" s="89"/>
      <c r="K531" s="89"/>
      <c r="L531" s="89"/>
      <c r="M531" s="89"/>
      <c r="N531" s="90"/>
      <c r="O531" s="87"/>
    </row>
    <row r="532" spans="1:15" ht="22.5" customHeight="1">
      <c r="A532" s="108"/>
      <c r="B532" s="85"/>
      <c r="C532" s="85"/>
      <c r="D532" s="86"/>
      <c r="E532" s="87"/>
      <c r="F532" s="85"/>
      <c r="G532" s="88"/>
      <c r="H532" s="88"/>
      <c r="I532" s="88"/>
      <c r="J532" s="89"/>
      <c r="K532" s="89"/>
      <c r="L532" s="89"/>
      <c r="M532" s="89"/>
      <c r="N532" s="90"/>
      <c r="O532" s="87"/>
    </row>
    <row r="533" spans="1:15" ht="22.5" customHeight="1">
      <c r="A533" s="108"/>
      <c r="B533" s="85"/>
      <c r="C533" s="85"/>
      <c r="D533" s="86"/>
      <c r="E533" s="87"/>
      <c r="F533" s="85"/>
      <c r="G533" s="88"/>
      <c r="H533" s="88"/>
      <c r="I533" s="88"/>
      <c r="J533" s="89"/>
      <c r="K533" s="89"/>
      <c r="L533" s="89"/>
      <c r="M533" s="89"/>
      <c r="N533" s="90"/>
      <c r="O533" s="87"/>
    </row>
    <row r="534" spans="1:15" ht="22.5" customHeight="1">
      <c r="A534" s="108"/>
      <c r="B534" s="85"/>
      <c r="C534" s="85"/>
      <c r="D534" s="86"/>
      <c r="E534" s="87"/>
      <c r="F534" s="85"/>
      <c r="G534" s="88"/>
      <c r="H534" s="88"/>
      <c r="I534" s="88"/>
      <c r="J534" s="89"/>
      <c r="K534" s="89"/>
      <c r="L534" s="89"/>
      <c r="M534" s="89"/>
      <c r="N534" s="90"/>
      <c r="O534" s="87"/>
    </row>
    <row r="535" spans="1:15" ht="22.5" customHeight="1">
      <c r="A535" s="108"/>
      <c r="B535" s="85"/>
      <c r="C535" s="85"/>
      <c r="D535" s="86"/>
      <c r="E535" s="87"/>
      <c r="F535" s="85"/>
      <c r="G535" s="88"/>
      <c r="H535" s="88"/>
      <c r="I535" s="88"/>
      <c r="J535" s="89"/>
      <c r="K535" s="89"/>
      <c r="L535" s="89"/>
      <c r="M535" s="89"/>
      <c r="N535" s="90"/>
      <c r="O535" s="87"/>
    </row>
    <row r="536" spans="1:15" ht="22.5" customHeight="1">
      <c r="A536" s="108"/>
      <c r="B536" s="85"/>
      <c r="C536" s="85"/>
      <c r="D536" s="86"/>
      <c r="E536" s="87"/>
      <c r="F536" s="85"/>
      <c r="G536" s="88"/>
      <c r="H536" s="88"/>
      <c r="I536" s="88"/>
      <c r="J536" s="89"/>
      <c r="K536" s="89"/>
      <c r="L536" s="89"/>
      <c r="M536" s="89"/>
      <c r="N536" s="90"/>
      <c r="O536" s="87"/>
    </row>
    <row r="537" spans="1:15" ht="22.5" customHeight="1">
      <c r="A537" s="108"/>
      <c r="B537" s="85"/>
      <c r="C537" s="85"/>
      <c r="D537" s="86"/>
      <c r="E537" s="87"/>
      <c r="F537" s="85"/>
      <c r="G537" s="88"/>
      <c r="H537" s="88"/>
      <c r="I537" s="88"/>
      <c r="J537" s="89"/>
      <c r="K537" s="89"/>
      <c r="L537" s="89"/>
      <c r="M537" s="89"/>
      <c r="N537" s="90"/>
      <c r="O537" s="87"/>
    </row>
    <row r="538" spans="1:15" ht="22.5" customHeight="1">
      <c r="A538" s="108"/>
      <c r="B538" s="85"/>
      <c r="C538" s="85"/>
      <c r="D538" s="86"/>
      <c r="E538" s="87"/>
      <c r="F538" s="85"/>
      <c r="G538" s="88"/>
      <c r="H538" s="88"/>
      <c r="I538" s="88"/>
      <c r="J538" s="89"/>
      <c r="K538" s="89"/>
      <c r="L538" s="89"/>
      <c r="M538" s="89"/>
      <c r="N538" s="90"/>
      <c r="O538" s="87"/>
    </row>
    <row r="539" spans="1:15" ht="22.5" customHeight="1">
      <c r="A539" s="108"/>
      <c r="B539" s="85"/>
      <c r="C539" s="85"/>
      <c r="D539" s="86"/>
      <c r="E539" s="87"/>
      <c r="F539" s="85"/>
      <c r="G539" s="88"/>
      <c r="H539" s="88"/>
      <c r="I539" s="88"/>
      <c r="J539" s="89"/>
      <c r="K539" s="89"/>
      <c r="L539" s="89"/>
      <c r="M539" s="89"/>
      <c r="N539" s="90"/>
      <c r="O539" s="87"/>
    </row>
    <row r="540" spans="1:15" ht="22.5" customHeight="1">
      <c r="A540" s="108"/>
      <c r="B540" s="85"/>
      <c r="C540" s="85"/>
      <c r="D540" s="86"/>
      <c r="E540" s="87"/>
      <c r="F540" s="85"/>
      <c r="G540" s="88"/>
      <c r="H540" s="88"/>
      <c r="I540" s="88"/>
      <c r="J540" s="89"/>
      <c r="K540" s="89"/>
      <c r="L540" s="89"/>
      <c r="M540" s="89"/>
      <c r="N540" s="90"/>
      <c r="O540" s="87"/>
    </row>
    <row r="541" spans="1:15" ht="22.5" customHeight="1">
      <c r="A541" s="108"/>
      <c r="B541" s="85"/>
      <c r="C541" s="85"/>
      <c r="D541" s="86"/>
      <c r="E541" s="87"/>
      <c r="F541" s="85"/>
      <c r="G541" s="88"/>
      <c r="H541" s="88"/>
      <c r="I541" s="88"/>
      <c r="J541" s="89"/>
      <c r="K541" s="89"/>
      <c r="L541" s="89"/>
      <c r="M541" s="89"/>
      <c r="N541" s="90"/>
      <c r="O541" s="87"/>
    </row>
    <row r="542" spans="1:15" ht="22.5" customHeight="1">
      <c r="A542" s="108"/>
      <c r="B542" s="85"/>
      <c r="C542" s="85"/>
      <c r="D542" s="86"/>
      <c r="E542" s="87"/>
      <c r="F542" s="85"/>
      <c r="G542" s="88"/>
      <c r="H542" s="88"/>
      <c r="I542" s="88"/>
      <c r="J542" s="89"/>
      <c r="K542" s="89"/>
      <c r="L542" s="89"/>
      <c r="M542" s="89"/>
      <c r="N542" s="90"/>
      <c r="O542" s="87"/>
    </row>
    <row r="543" spans="1:15" ht="22.5" customHeight="1">
      <c r="A543" s="108"/>
      <c r="B543" s="85"/>
      <c r="C543" s="85"/>
      <c r="D543" s="86"/>
      <c r="E543" s="87"/>
      <c r="F543" s="85"/>
      <c r="G543" s="88"/>
      <c r="H543" s="88"/>
      <c r="I543" s="88"/>
      <c r="J543" s="89"/>
      <c r="K543" s="89"/>
      <c r="L543" s="89"/>
      <c r="M543" s="89"/>
      <c r="N543" s="90"/>
      <c r="O543" s="87"/>
    </row>
    <row r="544" spans="1:15" ht="22.5" customHeight="1">
      <c r="A544" s="108"/>
      <c r="B544" s="85"/>
      <c r="C544" s="85"/>
      <c r="D544" s="86"/>
      <c r="E544" s="87"/>
      <c r="F544" s="85"/>
      <c r="G544" s="88"/>
      <c r="H544" s="88"/>
      <c r="I544" s="88"/>
      <c r="J544" s="89"/>
      <c r="K544" s="89"/>
      <c r="L544" s="89"/>
      <c r="M544" s="89"/>
      <c r="N544" s="90"/>
      <c r="O544" s="87"/>
    </row>
    <row r="545" spans="1:15" ht="22.5" customHeight="1">
      <c r="A545" s="108"/>
      <c r="B545" s="85"/>
      <c r="C545" s="85"/>
      <c r="D545" s="86"/>
      <c r="E545" s="87"/>
      <c r="F545" s="85"/>
      <c r="G545" s="88"/>
      <c r="H545" s="88"/>
      <c r="I545" s="88"/>
      <c r="J545" s="89"/>
      <c r="K545" s="89"/>
      <c r="L545" s="89"/>
      <c r="M545" s="89"/>
      <c r="N545" s="90"/>
      <c r="O545" s="87"/>
    </row>
    <row r="546" spans="1:15" ht="22.5" customHeight="1">
      <c r="A546" s="108"/>
      <c r="B546" s="85"/>
      <c r="C546" s="85"/>
      <c r="D546" s="86"/>
      <c r="E546" s="87"/>
      <c r="F546" s="85"/>
      <c r="G546" s="88"/>
      <c r="H546" s="88"/>
      <c r="I546" s="88"/>
      <c r="J546" s="89"/>
      <c r="K546" s="89"/>
      <c r="L546" s="89"/>
      <c r="M546" s="89"/>
      <c r="N546" s="90"/>
      <c r="O546" s="87"/>
    </row>
    <row r="547" spans="1:15" ht="22.5" customHeight="1">
      <c r="A547" s="108"/>
      <c r="B547" s="85"/>
      <c r="C547" s="85"/>
      <c r="D547" s="86"/>
      <c r="E547" s="87"/>
      <c r="F547" s="85"/>
      <c r="G547" s="88"/>
      <c r="H547" s="88"/>
      <c r="I547" s="88"/>
      <c r="J547" s="89"/>
      <c r="K547" s="89"/>
      <c r="L547" s="89"/>
      <c r="M547" s="89"/>
      <c r="N547" s="90"/>
      <c r="O547" s="87"/>
    </row>
    <row r="548" spans="1:15" ht="22.5" customHeight="1">
      <c r="A548" s="108"/>
      <c r="B548" s="85"/>
      <c r="C548" s="85"/>
      <c r="D548" s="86"/>
      <c r="E548" s="87"/>
      <c r="F548" s="85"/>
      <c r="G548" s="88"/>
      <c r="H548" s="88"/>
      <c r="I548" s="88"/>
      <c r="J548" s="89"/>
      <c r="K548" s="89"/>
      <c r="L548" s="89"/>
      <c r="M548" s="89"/>
      <c r="N548" s="90"/>
      <c r="O548" s="87"/>
    </row>
    <row r="549" spans="1:15" ht="22.5" customHeight="1">
      <c r="A549" s="108"/>
      <c r="B549" s="85"/>
      <c r="C549" s="85"/>
      <c r="D549" s="86"/>
      <c r="E549" s="87"/>
      <c r="F549" s="85"/>
      <c r="G549" s="88"/>
      <c r="H549" s="88"/>
      <c r="I549" s="88"/>
      <c r="J549" s="89"/>
      <c r="K549" s="89"/>
      <c r="L549" s="89"/>
      <c r="M549" s="89"/>
      <c r="N549" s="90"/>
      <c r="O549" s="87"/>
    </row>
    <row r="550" spans="1:15" ht="22.5" customHeight="1">
      <c r="A550" s="108"/>
      <c r="B550" s="85"/>
      <c r="C550" s="85"/>
      <c r="D550" s="86"/>
      <c r="E550" s="87"/>
      <c r="F550" s="85"/>
      <c r="G550" s="88"/>
      <c r="H550" s="88"/>
      <c r="I550" s="88"/>
      <c r="J550" s="89"/>
      <c r="K550" s="89"/>
      <c r="L550" s="89"/>
      <c r="M550" s="89"/>
      <c r="N550" s="90"/>
      <c r="O550" s="87"/>
    </row>
    <row r="551" spans="1:15" ht="22.5" customHeight="1">
      <c r="A551" s="108"/>
      <c r="B551" s="85"/>
      <c r="C551" s="85"/>
      <c r="D551" s="86"/>
      <c r="E551" s="87"/>
      <c r="F551" s="85"/>
      <c r="G551" s="88"/>
      <c r="H551" s="88"/>
      <c r="I551" s="88"/>
      <c r="J551" s="89"/>
      <c r="K551" s="89"/>
      <c r="L551" s="89"/>
      <c r="M551" s="89"/>
      <c r="N551" s="90"/>
      <c r="O551" s="87"/>
    </row>
    <row r="552" spans="1:15" ht="22.5" customHeight="1">
      <c r="A552" s="108"/>
      <c r="B552" s="85"/>
      <c r="C552" s="85"/>
      <c r="D552" s="86"/>
      <c r="E552" s="87"/>
      <c r="F552" s="85"/>
      <c r="G552" s="88"/>
      <c r="H552" s="88"/>
      <c r="I552" s="88"/>
      <c r="J552" s="89"/>
      <c r="K552" s="89"/>
      <c r="L552" s="89"/>
      <c r="M552" s="89"/>
      <c r="N552" s="90"/>
      <c r="O552" s="87"/>
    </row>
    <row r="553" spans="1:15" ht="22.5" customHeight="1">
      <c r="A553" s="108"/>
      <c r="B553" s="85"/>
      <c r="C553" s="85"/>
      <c r="D553" s="86"/>
      <c r="E553" s="87"/>
      <c r="F553" s="85"/>
      <c r="G553" s="88"/>
      <c r="H553" s="88"/>
      <c r="I553" s="88"/>
      <c r="J553" s="89"/>
      <c r="K553" s="89"/>
      <c r="L553" s="89"/>
      <c r="M553" s="89"/>
      <c r="N553" s="90"/>
      <c r="O553" s="87"/>
    </row>
    <row r="554" spans="1:15" ht="22.5" customHeight="1">
      <c r="A554" s="108"/>
      <c r="B554" s="85"/>
      <c r="C554" s="85"/>
      <c r="D554" s="86"/>
      <c r="E554" s="87"/>
      <c r="F554" s="85"/>
      <c r="G554" s="88"/>
      <c r="H554" s="88"/>
      <c r="I554" s="88"/>
      <c r="J554" s="89"/>
      <c r="K554" s="89"/>
      <c r="L554" s="89"/>
      <c r="M554" s="89"/>
      <c r="N554" s="90"/>
      <c r="O554" s="87"/>
    </row>
    <row r="555" spans="1:15" ht="22.5" customHeight="1">
      <c r="A555" s="108"/>
      <c r="B555" s="85"/>
      <c r="C555" s="85"/>
      <c r="D555" s="86"/>
      <c r="E555" s="87"/>
      <c r="F555" s="85"/>
      <c r="G555" s="88"/>
      <c r="H555" s="88"/>
      <c r="I555" s="88"/>
      <c r="J555" s="89"/>
      <c r="K555" s="89"/>
      <c r="L555" s="89"/>
      <c r="M555" s="89"/>
      <c r="N555" s="90"/>
      <c r="O555" s="87"/>
    </row>
    <row r="556" spans="1:15" ht="22.5" customHeight="1">
      <c r="A556" s="108"/>
      <c r="B556" s="85"/>
      <c r="C556" s="85"/>
      <c r="D556" s="86"/>
      <c r="E556" s="87"/>
      <c r="F556" s="85"/>
      <c r="G556" s="88"/>
      <c r="H556" s="88"/>
      <c r="I556" s="88"/>
      <c r="J556" s="89"/>
      <c r="K556" s="89"/>
      <c r="L556" s="89"/>
      <c r="M556" s="89"/>
      <c r="N556" s="90"/>
      <c r="O556" s="87"/>
    </row>
    <row r="557" spans="1:15" ht="22.5" customHeight="1">
      <c r="A557" s="108"/>
      <c r="B557" s="85"/>
      <c r="C557" s="85"/>
      <c r="D557" s="86"/>
      <c r="E557" s="87"/>
      <c r="F557" s="85"/>
      <c r="G557" s="88"/>
      <c r="H557" s="88"/>
      <c r="I557" s="88"/>
      <c r="J557" s="89"/>
      <c r="K557" s="89"/>
      <c r="L557" s="89"/>
      <c r="M557" s="89"/>
      <c r="N557" s="90"/>
      <c r="O557" s="87"/>
    </row>
    <row r="558" spans="1:15" ht="22.5" customHeight="1">
      <c r="A558" s="108"/>
      <c r="B558" s="85"/>
      <c r="C558" s="85"/>
      <c r="D558" s="86"/>
      <c r="E558" s="87"/>
      <c r="F558" s="85"/>
      <c r="G558" s="88"/>
      <c r="H558" s="88"/>
      <c r="I558" s="88"/>
      <c r="J558" s="89"/>
      <c r="K558" s="89"/>
      <c r="L558" s="89"/>
      <c r="M558" s="89"/>
      <c r="N558" s="90"/>
      <c r="O558" s="87"/>
    </row>
    <row r="559" spans="1:15" ht="22.5" customHeight="1">
      <c r="A559" s="108"/>
      <c r="B559" s="85"/>
      <c r="C559" s="85"/>
      <c r="D559" s="86"/>
      <c r="E559" s="87"/>
      <c r="F559" s="85"/>
      <c r="G559" s="88"/>
      <c r="H559" s="88"/>
      <c r="I559" s="88"/>
      <c r="J559" s="89"/>
      <c r="K559" s="89"/>
      <c r="L559" s="89"/>
      <c r="M559" s="89"/>
      <c r="N559" s="90"/>
      <c r="O559" s="87"/>
    </row>
    <row r="560" spans="1:15" ht="22.5" customHeight="1">
      <c r="A560" s="108"/>
      <c r="B560" s="85"/>
      <c r="C560" s="85"/>
      <c r="D560" s="86"/>
      <c r="E560" s="87"/>
      <c r="F560" s="85"/>
      <c r="G560" s="88"/>
      <c r="H560" s="88"/>
      <c r="I560" s="88"/>
      <c r="J560" s="89"/>
      <c r="K560" s="89"/>
      <c r="L560" s="89"/>
      <c r="M560" s="89"/>
      <c r="N560" s="90"/>
      <c r="O560" s="87"/>
    </row>
    <row r="561" spans="1:15" ht="22.5" customHeight="1">
      <c r="A561" s="108"/>
      <c r="B561" s="85"/>
      <c r="C561" s="85"/>
      <c r="D561" s="86"/>
      <c r="E561" s="87"/>
      <c r="F561" s="85"/>
      <c r="G561" s="88"/>
      <c r="H561" s="88"/>
      <c r="I561" s="88"/>
      <c r="J561" s="89"/>
      <c r="K561" s="89"/>
      <c r="L561" s="89"/>
      <c r="M561" s="89"/>
      <c r="N561" s="90"/>
      <c r="O561" s="87"/>
    </row>
    <row r="562" spans="1:15" ht="22.5" customHeight="1">
      <c r="A562" s="108"/>
      <c r="B562" s="85"/>
      <c r="C562" s="85"/>
      <c r="D562" s="86"/>
      <c r="E562" s="87"/>
      <c r="F562" s="85"/>
      <c r="G562" s="88"/>
      <c r="H562" s="88"/>
      <c r="I562" s="88"/>
      <c r="J562" s="89"/>
      <c r="K562" s="89"/>
      <c r="L562" s="89"/>
      <c r="M562" s="89"/>
      <c r="N562" s="90"/>
      <c r="O562" s="87"/>
    </row>
    <row r="563" spans="1:15" ht="22.5" customHeight="1">
      <c r="A563" s="108"/>
      <c r="B563" s="85"/>
      <c r="C563" s="85"/>
      <c r="D563" s="86"/>
      <c r="E563" s="87"/>
      <c r="F563" s="85"/>
      <c r="G563" s="88"/>
      <c r="H563" s="88"/>
      <c r="I563" s="88"/>
      <c r="J563" s="89"/>
      <c r="K563" s="89"/>
      <c r="L563" s="89"/>
      <c r="M563" s="89"/>
      <c r="N563" s="90"/>
      <c r="O563" s="87"/>
    </row>
    <row r="564" spans="1:15" ht="22.5" customHeight="1">
      <c r="A564" s="108"/>
      <c r="B564" s="85"/>
      <c r="C564" s="85"/>
      <c r="D564" s="86"/>
      <c r="E564" s="87"/>
      <c r="F564" s="85"/>
      <c r="G564" s="88"/>
      <c r="H564" s="88"/>
      <c r="I564" s="88"/>
      <c r="J564" s="89"/>
      <c r="K564" s="89"/>
      <c r="L564" s="89"/>
      <c r="M564" s="89"/>
      <c r="N564" s="90"/>
      <c r="O564" s="87"/>
    </row>
    <row r="565" spans="1:15" ht="22.5" customHeight="1">
      <c r="A565" s="108"/>
      <c r="B565" s="85"/>
      <c r="C565" s="85"/>
      <c r="D565" s="86"/>
      <c r="E565" s="87"/>
      <c r="F565" s="85"/>
      <c r="G565" s="88"/>
      <c r="H565" s="88"/>
      <c r="I565" s="88"/>
      <c r="J565" s="89"/>
      <c r="K565" s="89"/>
      <c r="L565" s="89"/>
      <c r="M565" s="89"/>
      <c r="N565" s="90"/>
      <c r="O565" s="87"/>
    </row>
    <row r="566" spans="1:15" ht="22.5" customHeight="1">
      <c r="A566" s="108"/>
      <c r="B566" s="85"/>
      <c r="C566" s="85"/>
      <c r="D566" s="86"/>
      <c r="E566" s="87"/>
      <c r="F566" s="85"/>
      <c r="G566" s="88"/>
      <c r="H566" s="88"/>
      <c r="I566" s="88"/>
      <c r="J566" s="89"/>
      <c r="K566" s="89"/>
      <c r="L566" s="89"/>
      <c r="M566" s="89"/>
      <c r="N566" s="90"/>
      <c r="O566" s="87"/>
    </row>
    <row r="567" spans="1:15" ht="22.5" customHeight="1">
      <c r="A567" s="108"/>
      <c r="B567" s="85"/>
      <c r="C567" s="85"/>
      <c r="D567" s="86"/>
      <c r="E567" s="87"/>
      <c r="F567" s="85"/>
      <c r="G567" s="88"/>
      <c r="H567" s="88"/>
      <c r="I567" s="88"/>
      <c r="J567" s="89"/>
      <c r="K567" s="89"/>
      <c r="L567" s="89"/>
      <c r="M567" s="89"/>
      <c r="N567" s="90"/>
      <c r="O567" s="87"/>
    </row>
    <row r="568" spans="1:15" ht="22.5" customHeight="1">
      <c r="A568" s="108"/>
      <c r="B568" s="85"/>
      <c r="C568" s="85"/>
      <c r="D568" s="86"/>
      <c r="E568" s="87"/>
      <c r="F568" s="85"/>
      <c r="G568" s="88"/>
      <c r="H568" s="88"/>
      <c r="I568" s="88"/>
      <c r="J568" s="89"/>
      <c r="K568" s="89"/>
      <c r="L568" s="89"/>
      <c r="M568" s="89"/>
      <c r="N568" s="90"/>
      <c r="O568" s="87"/>
    </row>
    <row r="569" spans="1:15" ht="22.5" customHeight="1">
      <c r="A569" s="108"/>
      <c r="B569" s="85"/>
      <c r="C569" s="85"/>
      <c r="D569" s="86"/>
      <c r="E569" s="87"/>
      <c r="F569" s="85"/>
      <c r="G569" s="88"/>
      <c r="H569" s="88"/>
      <c r="I569" s="88"/>
      <c r="J569" s="89"/>
      <c r="K569" s="89"/>
      <c r="L569" s="89"/>
      <c r="M569" s="89"/>
      <c r="N569" s="90"/>
      <c r="O569" s="87"/>
    </row>
    <row r="570" spans="1:15" ht="22.5" customHeight="1">
      <c r="A570" s="108"/>
      <c r="B570" s="85"/>
      <c r="C570" s="85"/>
      <c r="D570" s="86"/>
      <c r="E570" s="87"/>
      <c r="F570" s="85"/>
      <c r="G570" s="88"/>
      <c r="H570" s="88"/>
      <c r="I570" s="88"/>
      <c r="J570" s="89"/>
      <c r="K570" s="89"/>
      <c r="L570" s="89"/>
      <c r="M570" s="89"/>
      <c r="N570" s="90"/>
      <c r="O570" s="87"/>
    </row>
    <row r="571" spans="1:15" ht="22.5" customHeight="1">
      <c r="A571" s="108"/>
      <c r="B571" s="85"/>
      <c r="C571" s="85"/>
      <c r="D571" s="86"/>
      <c r="E571" s="87"/>
      <c r="F571" s="85"/>
      <c r="G571" s="88"/>
      <c r="H571" s="88"/>
      <c r="I571" s="88"/>
      <c r="J571" s="89"/>
      <c r="K571" s="89"/>
      <c r="L571" s="89"/>
      <c r="M571" s="89"/>
      <c r="N571" s="90"/>
      <c r="O571" s="87"/>
    </row>
    <row r="572" spans="1:15" ht="22.5" customHeight="1">
      <c r="A572" s="108"/>
      <c r="B572" s="85"/>
      <c r="C572" s="85"/>
      <c r="D572" s="86"/>
      <c r="E572" s="87"/>
      <c r="F572" s="85"/>
      <c r="G572" s="88"/>
      <c r="H572" s="88"/>
      <c r="I572" s="88"/>
      <c r="J572" s="89"/>
      <c r="K572" s="89"/>
      <c r="L572" s="89"/>
      <c r="M572" s="89"/>
      <c r="N572" s="90"/>
      <c r="O572" s="87"/>
    </row>
    <row r="573" spans="1:15" ht="22.5" customHeight="1">
      <c r="A573" s="108"/>
      <c r="B573" s="85"/>
      <c r="C573" s="85"/>
      <c r="D573" s="86"/>
      <c r="E573" s="87"/>
      <c r="F573" s="85"/>
      <c r="G573" s="88"/>
      <c r="H573" s="88"/>
      <c r="I573" s="88"/>
      <c r="J573" s="89"/>
      <c r="K573" s="89"/>
      <c r="L573" s="89"/>
      <c r="M573" s="89"/>
      <c r="N573" s="90"/>
      <c r="O573" s="87"/>
    </row>
    <row r="574" spans="1:15" ht="22.5" customHeight="1">
      <c r="A574" s="108"/>
      <c r="B574" s="85"/>
      <c r="C574" s="85"/>
      <c r="D574" s="86"/>
      <c r="E574" s="87"/>
      <c r="F574" s="85"/>
      <c r="G574" s="88"/>
      <c r="H574" s="88"/>
      <c r="I574" s="88"/>
      <c r="J574" s="89"/>
      <c r="K574" s="89"/>
      <c r="L574" s="89"/>
      <c r="M574" s="89"/>
      <c r="N574" s="90"/>
      <c r="O574" s="87"/>
    </row>
    <row r="575" spans="1:15" ht="22.5" customHeight="1">
      <c r="A575" s="108"/>
      <c r="B575" s="85"/>
      <c r="C575" s="85"/>
      <c r="D575" s="86"/>
      <c r="E575" s="87"/>
      <c r="F575" s="85"/>
      <c r="G575" s="88"/>
      <c r="H575" s="88"/>
      <c r="I575" s="88"/>
      <c r="J575" s="89"/>
      <c r="K575" s="89"/>
      <c r="L575" s="89"/>
      <c r="M575" s="89"/>
      <c r="N575" s="90"/>
      <c r="O575" s="87"/>
    </row>
    <row r="576" spans="1:15" ht="22.5" customHeight="1">
      <c r="A576" s="108"/>
      <c r="B576" s="85"/>
      <c r="C576" s="85"/>
      <c r="D576" s="86"/>
      <c r="E576" s="87"/>
      <c r="F576" s="85"/>
      <c r="G576" s="88"/>
      <c r="H576" s="88"/>
      <c r="I576" s="88"/>
      <c r="J576" s="89"/>
      <c r="K576" s="89"/>
      <c r="L576" s="89"/>
      <c r="M576" s="89"/>
      <c r="N576" s="90"/>
      <c r="O576" s="87"/>
    </row>
    <row r="577" spans="1:15" ht="22.5" customHeight="1">
      <c r="A577" s="108"/>
      <c r="B577" s="85"/>
      <c r="C577" s="85"/>
      <c r="D577" s="86"/>
      <c r="E577" s="87"/>
      <c r="F577" s="85"/>
      <c r="G577" s="88"/>
      <c r="H577" s="88"/>
      <c r="I577" s="88"/>
      <c r="J577" s="89"/>
      <c r="K577" s="89"/>
      <c r="L577" s="89"/>
      <c r="M577" s="89"/>
      <c r="N577" s="90"/>
      <c r="O577" s="87"/>
    </row>
    <row r="578" spans="1:15" ht="22.5" customHeight="1">
      <c r="A578" s="108"/>
      <c r="B578" s="85"/>
      <c r="C578" s="85"/>
      <c r="D578" s="86"/>
      <c r="E578" s="87"/>
      <c r="F578" s="85"/>
      <c r="G578" s="88"/>
      <c r="H578" s="88"/>
      <c r="I578" s="88"/>
      <c r="J578" s="89"/>
      <c r="K578" s="89"/>
      <c r="L578" s="89"/>
      <c r="M578" s="89"/>
      <c r="N578" s="90"/>
      <c r="O578" s="87"/>
    </row>
    <row r="579" spans="1:15" ht="22.5" customHeight="1">
      <c r="A579" s="108"/>
      <c r="B579" s="85"/>
      <c r="C579" s="85"/>
      <c r="D579" s="86"/>
      <c r="E579" s="87"/>
      <c r="F579" s="85"/>
      <c r="G579" s="88"/>
      <c r="H579" s="88"/>
      <c r="I579" s="88"/>
      <c r="J579" s="89"/>
      <c r="K579" s="89"/>
      <c r="L579" s="89"/>
      <c r="M579" s="89"/>
      <c r="N579" s="90"/>
      <c r="O579" s="87"/>
    </row>
    <row r="580" spans="1:15" ht="22.5" customHeight="1">
      <c r="A580" s="108"/>
      <c r="B580" s="85"/>
      <c r="C580" s="85"/>
      <c r="D580" s="86"/>
      <c r="E580" s="87"/>
      <c r="F580" s="85"/>
      <c r="G580" s="88"/>
      <c r="H580" s="88"/>
      <c r="I580" s="88"/>
      <c r="J580" s="89"/>
      <c r="K580" s="89"/>
      <c r="L580" s="89"/>
      <c r="M580" s="89"/>
      <c r="N580" s="90"/>
      <c r="O580" s="87"/>
    </row>
    <row r="581" spans="1:15" ht="22.5" customHeight="1">
      <c r="A581" s="108"/>
      <c r="B581" s="85"/>
      <c r="C581" s="85"/>
      <c r="D581" s="86"/>
      <c r="E581" s="87"/>
      <c r="F581" s="85"/>
      <c r="G581" s="88"/>
      <c r="H581" s="88"/>
      <c r="I581" s="88"/>
      <c r="J581" s="89"/>
      <c r="K581" s="89"/>
      <c r="L581" s="89"/>
      <c r="M581" s="89"/>
      <c r="N581" s="90"/>
      <c r="O581" s="87"/>
    </row>
    <row r="582" spans="1:15" ht="22.5" customHeight="1">
      <c r="A582" s="108"/>
      <c r="B582" s="85"/>
      <c r="C582" s="85"/>
      <c r="D582" s="86"/>
      <c r="E582" s="87"/>
      <c r="F582" s="85"/>
      <c r="G582" s="88"/>
      <c r="H582" s="88"/>
      <c r="I582" s="88"/>
      <c r="J582" s="89"/>
      <c r="K582" s="89"/>
      <c r="L582" s="89"/>
      <c r="M582" s="89"/>
      <c r="N582" s="90"/>
      <c r="O582" s="87"/>
    </row>
    <row r="583" spans="1:15" ht="22.5" customHeight="1">
      <c r="A583" s="108"/>
      <c r="B583" s="85"/>
      <c r="C583" s="85"/>
      <c r="D583" s="86"/>
      <c r="E583" s="87"/>
      <c r="F583" s="85"/>
      <c r="G583" s="88"/>
      <c r="H583" s="88"/>
      <c r="I583" s="88"/>
      <c r="J583" s="89"/>
      <c r="K583" s="89"/>
      <c r="L583" s="89"/>
      <c r="M583" s="89"/>
      <c r="N583" s="90"/>
      <c r="O583" s="87"/>
    </row>
    <row r="584" spans="1:15" ht="22.5" customHeight="1">
      <c r="A584" s="108"/>
      <c r="B584" s="85"/>
      <c r="C584" s="85"/>
      <c r="D584" s="86"/>
      <c r="E584" s="87"/>
      <c r="F584" s="85"/>
      <c r="G584" s="88"/>
      <c r="H584" s="88"/>
      <c r="I584" s="88"/>
      <c r="J584" s="89"/>
      <c r="K584" s="89"/>
      <c r="L584" s="89"/>
      <c r="M584" s="89"/>
      <c r="N584" s="90"/>
      <c r="O584" s="87"/>
    </row>
    <row r="585" spans="1:15" ht="22.5" customHeight="1">
      <c r="A585" s="108"/>
      <c r="B585" s="85"/>
      <c r="C585" s="85"/>
      <c r="D585" s="86"/>
      <c r="E585" s="87"/>
      <c r="F585" s="85"/>
      <c r="G585" s="88"/>
      <c r="H585" s="88"/>
      <c r="I585" s="88"/>
      <c r="J585" s="89"/>
      <c r="K585" s="89"/>
      <c r="L585" s="89"/>
      <c r="M585" s="89"/>
      <c r="N585" s="90"/>
      <c r="O585" s="87"/>
    </row>
    <row r="586" spans="1:15" ht="22.5" customHeight="1">
      <c r="A586" s="108"/>
      <c r="B586" s="85"/>
      <c r="C586" s="85"/>
      <c r="D586" s="86"/>
      <c r="E586" s="87"/>
      <c r="F586" s="85"/>
      <c r="G586" s="88"/>
      <c r="H586" s="88"/>
      <c r="I586" s="88"/>
      <c r="J586" s="89"/>
      <c r="K586" s="89"/>
      <c r="L586" s="89"/>
      <c r="M586" s="89"/>
      <c r="N586" s="90"/>
      <c r="O586" s="87"/>
    </row>
    <row r="587" spans="1:15" ht="22.5" customHeight="1">
      <c r="A587" s="108"/>
      <c r="B587" s="85"/>
      <c r="C587" s="85"/>
      <c r="D587" s="86"/>
      <c r="E587" s="87"/>
      <c r="F587" s="85"/>
      <c r="G587" s="88"/>
      <c r="H587" s="88"/>
      <c r="I587" s="88"/>
      <c r="J587" s="89"/>
      <c r="K587" s="89"/>
      <c r="L587" s="89"/>
      <c r="M587" s="89"/>
      <c r="N587" s="90"/>
      <c r="O587" s="87"/>
    </row>
    <row r="588" spans="1:15" ht="22.5" customHeight="1">
      <c r="A588" s="108"/>
      <c r="B588" s="85"/>
      <c r="C588" s="85"/>
      <c r="D588" s="86"/>
      <c r="E588" s="87"/>
      <c r="F588" s="85"/>
      <c r="G588" s="88"/>
      <c r="H588" s="88"/>
      <c r="I588" s="88"/>
      <c r="J588" s="89"/>
      <c r="K588" s="89"/>
      <c r="L588" s="89"/>
      <c r="M588" s="89"/>
      <c r="N588" s="90"/>
      <c r="O588" s="87"/>
    </row>
    <row r="589" spans="1:15" ht="22.5" customHeight="1">
      <c r="A589" s="108"/>
      <c r="B589" s="85"/>
      <c r="C589" s="85"/>
      <c r="D589" s="86"/>
      <c r="E589" s="87"/>
      <c r="F589" s="85"/>
      <c r="G589" s="88"/>
      <c r="H589" s="88"/>
      <c r="I589" s="88"/>
      <c r="J589" s="89"/>
      <c r="K589" s="89"/>
      <c r="L589" s="89"/>
      <c r="M589" s="89"/>
      <c r="N589" s="90"/>
      <c r="O589" s="87"/>
    </row>
    <row r="590" spans="1:15" ht="22.5" customHeight="1">
      <c r="A590" s="108"/>
      <c r="B590" s="85"/>
      <c r="C590" s="85"/>
      <c r="D590" s="86"/>
      <c r="E590" s="87"/>
      <c r="F590" s="85"/>
      <c r="G590" s="88"/>
      <c r="H590" s="88"/>
      <c r="I590" s="88"/>
      <c r="J590" s="89"/>
      <c r="K590" s="89"/>
      <c r="L590" s="89"/>
      <c r="M590" s="89"/>
      <c r="N590" s="90"/>
      <c r="O590" s="87"/>
    </row>
    <row r="591" spans="1:15" ht="22.5" customHeight="1">
      <c r="A591" s="108"/>
      <c r="B591" s="85"/>
      <c r="C591" s="85"/>
      <c r="D591" s="86"/>
      <c r="E591" s="87"/>
      <c r="F591" s="85"/>
      <c r="G591" s="88"/>
      <c r="H591" s="88"/>
      <c r="I591" s="88"/>
      <c r="J591" s="89"/>
      <c r="K591" s="89"/>
      <c r="L591" s="89"/>
      <c r="M591" s="89"/>
      <c r="N591" s="90"/>
      <c r="O591" s="87"/>
    </row>
    <row r="592" spans="1:15" ht="22.5" customHeight="1">
      <c r="A592" s="108"/>
      <c r="B592" s="85"/>
      <c r="C592" s="85"/>
      <c r="D592" s="86"/>
      <c r="E592" s="87"/>
      <c r="F592" s="85"/>
      <c r="G592" s="88"/>
      <c r="H592" s="88"/>
      <c r="I592" s="88"/>
      <c r="J592" s="89"/>
      <c r="K592" s="89"/>
      <c r="L592" s="89"/>
      <c r="M592" s="89"/>
      <c r="N592" s="90"/>
      <c r="O592" s="87"/>
    </row>
    <row r="593" spans="1:15" ht="22.5" customHeight="1">
      <c r="A593" s="108"/>
      <c r="B593" s="85"/>
      <c r="C593" s="85"/>
      <c r="D593" s="86"/>
      <c r="E593" s="87"/>
      <c r="F593" s="85"/>
      <c r="G593" s="88"/>
      <c r="H593" s="88"/>
      <c r="I593" s="88"/>
      <c r="J593" s="89"/>
      <c r="K593" s="89"/>
      <c r="L593" s="89"/>
      <c r="M593" s="89"/>
      <c r="N593" s="90"/>
      <c r="O593" s="87"/>
    </row>
    <row r="594" spans="1:15" ht="22.5" customHeight="1">
      <c r="A594" s="108"/>
      <c r="B594" s="85"/>
      <c r="C594" s="85"/>
      <c r="D594" s="86"/>
      <c r="E594" s="87"/>
      <c r="F594" s="85"/>
      <c r="G594" s="88"/>
      <c r="H594" s="88"/>
      <c r="I594" s="88"/>
      <c r="J594" s="89"/>
      <c r="K594" s="89"/>
      <c r="L594" s="89"/>
      <c r="M594" s="89"/>
      <c r="N594" s="90"/>
      <c r="O594" s="87"/>
    </row>
    <row r="595" spans="1:15" ht="22.5" customHeight="1">
      <c r="A595" s="108"/>
      <c r="B595" s="85"/>
      <c r="C595" s="85"/>
      <c r="D595" s="86"/>
      <c r="E595" s="87"/>
      <c r="F595" s="85"/>
      <c r="G595" s="88"/>
      <c r="H595" s="88"/>
      <c r="I595" s="88"/>
      <c r="J595" s="89"/>
      <c r="K595" s="89"/>
      <c r="L595" s="89"/>
      <c r="M595" s="89"/>
      <c r="N595" s="90"/>
      <c r="O595" s="87"/>
    </row>
    <row r="596" spans="1:15" ht="22.5" customHeight="1">
      <c r="A596" s="108"/>
      <c r="B596" s="85"/>
      <c r="C596" s="85"/>
      <c r="D596" s="86"/>
      <c r="E596" s="87"/>
      <c r="F596" s="85"/>
      <c r="G596" s="88"/>
      <c r="H596" s="88"/>
      <c r="I596" s="88"/>
      <c r="J596" s="89"/>
      <c r="K596" s="89"/>
      <c r="L596" s="89"/>
      <c r="M596" s="89"/>
      <c r="N596" s="90"/>
      <c r="O596" s="87"/>
    </row>
    <row r="597" spans="1:15" ht="22.5" customHeight="1">
      <c r="A597" s="108"/>
      <c r="B597" s="85"/>
      <c r="C597" s="85"/>
      <c r="D597" s="86"/>
      <c r="E597" s="87"/>
      <c r="F597" s="85"/>
      <c r="G597" s="88"/>
      <c r="H597" s="88"/>
      <c r="I597" s="88"/>
      <c r="J597" s="89"/>
      <c r="K597" s="89"/>
      <c r="L597" s="89"/>
      <c r="M597" s="89"/>
      <c r="N597" s="90"/>
      <c r="O597" s="87"/>
    </row>
    <row r="598" spans="1:15" ht="22.5" customHeight="1">
      <c r="A598" s="108"/>
      <c r="B598" s="85"/>
      <c r="C598" s="85"/>
      <c r="D598" s="86"/>
      <c r="E598" s="87"/>
      <c r="F598" s="85"/>
      <c r="G598" s="88"/>
      <c r="H598" s="88"/>
      <c r="I598" s="88"/>
      <c r="J598" s="89"/>
      <c r="K598" s="89"/>
      <c r="L598" s="89"/>
      <c r="M598" s="89"/>
      <c r="N598" s="90"/>
      <c r="O598" s="87"/>
    </row>
    <row r="599" spans="1:15" ht="22.5" customHeight="1">
      <c r="A599" s="108"/>
      <c r="B599" s="85"/>
      <c r="C599" s="85"/>
      <c r="D599" s="86"/>
      <c r="E599" s="87"/>
      <c r="F599" s="85"/>
      <c r="G599" s="88"/>
      <c r="H599" s="88"/>
      <c r="I599" s="88"/>
      <c r="J599" s="89"/>
      <c r="K599" s="89"/>
      <c r="L599" s="89"/>
      <c r="M599" s="89"/>
      <c r="N599" s="90"/>
      <c r="O599" s="87"/>
    </row>
    <row r="600" spans="1:15" ht="22.5" customHeight="1">
      <c r="A600" s="108"/>
      <c r="B600" s="85"/>
      <c r="C600" s="85"/>
      <c r="D600" s="86"/>
      <c r="E600" s="87"/>
      <c r="F600" s="85"/>
      <c r="G600" s="88"/>
      <c r="H600" s="88"/>
      <c r="I600" s="88"/>
      <c r="J600" s="89"/>
      <c r="K600" s="89"/>
      <c r="L600" s="89"/>
      <c r="M600" s="89"/>
      <c r="N600" s="90"/>
      <c r="O600" s="87"/>
    </row>
    <row r="601" spans="1:15" ht="22.5" customHeight="1">
      <c r="A601" s="108"/>
      <c r="B601" s="85"/>
      <c r="C601" s="85"/>
      <c r="D601" s="86"/>
      <c r="E601" s="87"/>
      <c r="F601" s="85"/>
      <c r="G601" s="88"/>
      <c r="H601" s="88"/>
      <c r="I601" s="88"/>
      <c r="J601" s="89"/>
      <c r="K601" s="89"/>
      <c r="L601" s="89"/>
      <c r="M601" s="89"/>
      <c r="N601" s="90"/>
      <c r="O601" s="87"/>
    </row>
    <row r="602" spans="1:15" ht="22.5" customHeight="1">
      <c r="A602" s="108"/>
      <c r="B602" s="85"/>
      <c r="C602" s="85"/>
      <c r="D602" s="86"/>
      <c r="E602" s="87"/>
      <c r="F602" s="85"/>
      <c r="G602" s="88"/>
      <c r="H602" s="88"/>
      <c r="I602" s="88"/>
      <c r="J602" s="89"/>
      <c r="K602" s="89"/>
      <c r="L602" s="89"/>
      <c r="M602" s="89"/>
      <c r="N602" s="90"/>
      <c r="O602" s="87"/>
    </row>
    <row r="603" spans="1:15" ht="22.5" customHeight="1">
      <c r="A603" s="108"/>
      <c r="B603" s="85"/>
      <c r="C603" s="85"/>
      <c r="D603" s="86"/>
      <c r="E603" s="87"/>
      <c r="F603" s="85"/>
      <c r="G603" s="88"/>
      <c r="H603" s="88"/>
      <c r="I603" s="88"/>
      <c r="J603" s="89"/>
      <c r="K603" s="89"/>
      <c r="L603" s="89"/>
      <c r="M603" s="89"/>
      <c r="N603" s="90"/>
      <c r="O603" s="87"/>
    </row>
    <row r="604" spans="1:15" ht="22.5" customHeight="1">
      <c r="A604" s="108"/>
      <c r="B604" s="85"/>
      <c r="C604" s="85"/>
      <c r="D604" s="86"/>
      <c r="E604" s="87"/>
      <c r="F604" s="85"/>
      <c r="G604" s="88"/>
      <c r="H604" s="88"/>
      <c r="I604" s="88"/>
      <c r="J604" s="89"/>
      <c r="K604" s="89"/>
      <c r="L604" s="89"/>
      <c r="M604" s="89"/>
      <c r="N604" s="90"/>
      <c r="O604" s="87"/>
    </row>
    <row r="605" spans="1:15" ht="22.5" customHeight="1">
      <c r="A605" s="108"/>
      <c r="B605" s="85"/>
      <c r="C605" s="85"/>
      <c r="D605" s="86"/>
      <c r="E605" s="87"/>
      <c r="F605" s="85"/>
      <c r="G605" s="88"/>
      <c r="H605" s="88"/>
      <c r="I605" s="88"/>
      <c r="J605" s="89"/>
      <c r="K605" s="89"/>
      <c r="L605" s="89"/>
      <c r="M605" s="89"/>
      <c r="N605" s="90"/>
      <c r="O605" s="87"/>
    </row>
    <row r="606" spans="1:15" ht="22.5" customHeight="1">
      <c r="A606" s="108"/>
      <c r="B606" s="85"/>
      <c r="C606" s="85"/>
      <c r="D606" s="86"/>
      <c r="E606" s="87"/>
      <c r="F606" s="85"/>
      <c r="G606" s="88"/>
      <c r="H606" s="88"/>
      <c r="I606" s="88"/>
      <c r="J606" s="89"/>
      <c r="K606" s="89"/>
      <c r="L606" s="89"/>
      <c r="M606" s="89"/>
      <c r="N606" s="90"/>
      <c r="O606" s="87"/>
    </row>
    <row r="607" spans="1:15" ht="22.5" customHeight="1">
      <c r="A607" s="108"/>
      <c r="B607" s="85"/>
      <c r="C607" s="85"/>
      <c r="D607" s="86"/>
      <c r="E607" s="87"/>
      <c r="F607" s="85"/>
      <c r="G607" s="88"/>
      <c r="H607" s="88"/>
      <c r="I607" s="88"/>
      <c r="J607" s="89"/>
      <c r="K607" s="89"/>
      <c r="L607" s="89"/>
      <c r="M607" s="89"/>
      <c r="N607" s="90"/>
      <c r="O607" s="87"/>
    </row>
    <row r="608" spans="1:15" ht="22.5" customHeight="1">
      <c r="A608" s="108"/>
      <c r="B608" s="85"/>
      <c r="C608" s="85"/>
      <c r="D608" s="86"/>
      <c r="E608" s="87"/>
      <c r="F608" s="85"/>
      <c r="G608" s="88"/>
      <c r="H608" s="88"/>
      <c r="I608" s="88"/>
      <c r="J608" s="89"/>
      <c r="K608" s="89"/>
      <c r="L608" s="89"/>
      <c r="M608" s="89"/>
      <c r="N608" s="90"/>
      <c r="O608" s="87"/>
    </row>
    <row r="609" spans="1:15" ht="22.5" customHeight="1">
      <c r="A609" s="108"/>
      <c r="B609" s="85"/>
      <c r="C609" s="85"/>
      <c r="D609" s="86"/>
      <c r="E609" s="87"/>
      <c r="F609" s="85"/>
      <c r="G609" s="88"/>
      <c r="H609" s="88"/>
      <c r="I609" s="88"/>
      <c r="J609" s="89"/>
      <c r="K609" s="89"/>
      <c r="L609" s="89"/>
      <c r="M609" s="89"/>
      <c r="N609" s="90"/>
      <c r="O609" s="87"/>
    </row>
    <row r="610" spans="1:15" ht="22.5" customHeight="1">
      <c r="A610" s="108"/>
      <c r="B610" s="85"/>
      <c r="C610" s="85"/>
      <c r="D610" s="86"/>
      <c r="E610" s="87"/>
      <c r="F610" s="85"/>
      <c r="G610" s="88"/>
      <c r="H610" s="88"/>
      <c r="I610" s="88"/>
      <c r="J610" s="89"/>
      <c r="K610" s="89"/>
      <c r="L610" s="89"/>
      <c r="M610" s="89"/>
      <c r="N610" s="90"/>
      <c r="O610" s="87"/>
    </row>
    <row r="611" spans="1:15" ht="22.5" customHeight="1">
      <c r="A611" s="108"/>
      <c r="B611" s="85"/>
      <c r="C611" s="85"/>
      <c r="D611" s="86"/>
      <c r="E611" s="87"/>
      <c r="F611" s="85"/>
      <c r="G611" s="88"/>
      <c r="H611" s="88"/>
      <c r="I611" s="88"/>
      <c r="J611" s="89"/>
      <c r="K611" s="89"/>
      <c r="L611" s="89"/>
      <c r="M611" s="89"/>
      <c r="N611" s="90"/>
      <c r="O611" s="87"/>
    </row>
    <row r="612" spans="1:15" ht="22.5" customHeight="1">
      <c r="A612" s="108"/>
      <c r="B612" s="85"/>
      <c r="C612" s="85"/>
      <c r="D612" s="86"/>
      <c r="E612" s="87"/>
      <c r="F612" s="85"/>
      <c r="G612" s="88"/>
      <c r="H612" s="88"/>
      <c r="I612" s="88"/>
      <c r="J612" s="89"/>
      <c r="K612" s="89"/>
      <c r="L612" s="89"/>
      <c r="M612" s="89"/>
      <c r="N612" s="90"/>
      <c r="O612" s="87"/>
    </row>
    <row r="613" spans="1:15" ht="22.5" customHeight="1">
      <c r="A613" s="108"/>
      <c r="B613" s="85"/>
      <c r="C613" s="85"/>
      <c r="D613" s="86"/>
      <c r="E613" s="87"/>
      <c r="F613" s="85"/>
      <c r="G613" s="88"/>
      <c r="H613" s="88"/>
      <c r="I613" s="88"/>
      <c r="J613" s="89"/>
      <c r="K613" s="89"/>
      <c r="L613" s="89"/>
      <c r="M613" s="89"/>
      <c r="N613" s="90"/>
      <c r="O613" s="87"/>
    </row>
    <row r="614" spans="1:15" ht="22.5" customHeight="1">
      <c r="A614" s="108"/>
      <c r="B614" s="85"/>
      <c r="C614" s="85"/>
      <c r="D614" s="86"/>
      <c r="E614" s="87"/>
      <c r="F614" s="85"/>
      <c r="G614" s="88"/>
      <c r="H614" s="88"/>
      <c r="I614" s="88"/>
      <c r="J614" s="89"/>
      <c r="K614" s="89"/>
      <c r="L614" s="89"/>
      <c r="M614" s="89"/>
      <c r="N614" s="90"/>
      <c r="O614" s="87"/>
    </row>
    <row r="615" spans="1:15" ht="22.5" customHeight="1">
      <c r="A615" s="108"/>
      <c r="B615" s="85"/>
      <c r="C615" s="85"/>
      <c r="D615" s="86"/>
      <c r="E615" s="87"/>
      <c r="F615" s="85"/>
      <c r="G615" s="88"/>
      <c r="H615" s="88"/>
      <c r="I615" s="88"/>
      <c r="J615" s="89"/>
      <c r="K615" s="89"/>
      <c r="L615" s="89"/>
      <c r="M615" s="89"/>
      <c r="N615" s="90"/>
      <c r="O615" s="87"/>
    </row>
    <row r="616" spans="1:15" ht="22.5" customHeight="1">
      <c r="A616" s="108"/>
      <c r="B616" s="85"/>
      <c r="C616" s="85"/>
      <c r="D616" s="86"/>
      <c r="E616" s="87"/>
      <c r="F616" s="85"/>
      <c r="G616" s="88"/>
      <c r="H616" s="88"/>
      <c r="I616" s="88"/>
      <c r="J616" s="89"/>
      <c r="K616" s="89"/>
      <c r="L616" s="89"/>
      <c r="M616" s="89"/>
      <c r="N616" s="90"/>
      <c r="O616" s="87"/>
    </row>
    <row r="617" spans="1:15" ht="22.5" customHeight="1">
      <c r="A617" s="108"/>
      <c r="B617" s="85"/>
      <c r="C617" s="85"/>
      <c r="D617" s="86"/>
      <c r="E617" s="87"/>
      <c r="F617" s="85"/>
      <c r="G617" s="88"/>
      <c r="H617" s="88"/>
      <c r="I617" s="88"/>
      <c r="J617" s="89"/>
      <c r="K617" s="89"/>
      <c r="L617" s="89"/>
      <c r="M617" s="89"/>
      <c r="N617" s="90"/>
      <c r="O617" s="87"/>
    </row>
    <row r="618" spans="1:15" ht="22.5" customHeight="1">
      <c r="A618" s="108"/>
      <c r="B618" s="85"/>
      <c r="C618" s="85"/>
      <c r="D618" s="86"/>
      <c r="E618" s="87"/>
      <c r="F618" s="85"/>
      <c r="G618" s="88"/>
      <c r="H618" s="88"/>
      <c r="I618" s="88"/>
      <c r="J618" s="89"/>
      <c r="K618" s="89"/>
      <c r="L618" s="89"/>
      <c r="M618" s="89"/>
      <c r="N618" s="90"/>
      <c r="O618" s="87"/>
    </row>
    <row r="619" spans="1:15" ht="22.5" customHeight="1">
      <c r="A619" s="108"/>
      <c r="B619" s="85"/>
      <c r="C619" s="85"/>
      <c r="D619" s="86"/>
      <c r="E619" s="87"/>
      <c r="F619" s="85"/>
      <c r="G619" s="88"/>
      <c r="H619" s="88"/>
      <c r="I619" s="88"/>
      <c r="J619" s="89"/>
      <c r="K619" s="89"/>
      <c r="L619" s="89"/>
      <c r="M619" s="89"/>
      <c r="N619" s="90"/>
      <c r="O619" s="87"/>
    </row>
    <row r="620" spans="1:15" ht="22.5" customHeight="1">
      <c r="A620" s="108"/>
      <c r="B620" s="85"/>
      <c r="C620" s="85"/>
      <c r="D620" s="86"/>
      <c r="E620" s="87"/>
      <c r="F620" s="85"/>
      <c r="G620" s="88"/>
      <c r="H620" s="88"/>
      <c r="I620" s="88"/>
      <c r="J620" s="89"/>
      <c r="K620" s="89"/>
      <c r="L620" s="89"/>
      <c r="M620" s="89"/>
      <c r="N620" s="90"/>
      <c r="O620" s="87"/>
    </row>
    <row r="621" spans="1:15" ht="22.5" customHeight="1">
      <c r="A621" s="108"/>
      <c r="B621" s="85"/>
      <c r="C621" s="85"/>
      <c r="D621" s="86"/>
      <c r="E621" s="87"/>
      <c r="F621" s="85"/>
      <c r="G621" s="88"/>
      <c r="H621" s="88"/>
      <c r="I621" s="88"/>
      <c r="J621" s="89"/>
      <c r="K621" s="89"/>
      <c r="L621" s="89"/>
      <c r="M621" s="89"/>
      <c r="N621" s="90"/>
      <c r="O621" s="87"/>
    </row>
    <row r="622" spans="1:15" ht="22.5" customHeight="1">
      <c r="A622" s="108"/>
      <c r="B622" s="85"/>
      <c r="C622" s="85"/>
      <c r="D622" s="86"/>
      <c r="E622" s="87"/>
      <c r="F622" s="85"/>
      <c r="G622" s="88"/>
      <c r="H622" s="88"/>
      <c r="I622" s="88"/>
      <c r="J622" s="89"/>
      <c r="K622" s="89"/>
      <c r="L622" s="89"/>
      <c r="M622" s="89"/>
      <c r="N622" s="90"/>
      <c r="O622" s="87"/>
    </row>
    <row r="623" spans="1:15" ht="22.5" customHeight="1">
      <c r="A623" s="108"/>
      <c r="B623" s="85"/>
      <c r="C623" s="85"/>
      <c r="D623" s="86"/>
      <c r="E623" s="87"/>
      <c r="F623" s="85"/>
      <c r="G623" s="88"/>
      <c r="H623" s="88"/>
      <c r="I623" s="88"/>
      <c r="J623" s="89"/>
      <c r="K623" s="89"/>
      <c r="L623" s="89"/>
      <c r="M623" s="89"/>
      <c r="N623" s="90"/>
      <c r="O623" s="87"/>
    </row>
    <row r="624" spans="1:15" ht="22.5" customHeight="1">
      <c r="A624" s="108"/>
      <c r="B624" s="85"/>
      <c r="C624" s="85"/>
      <c r="D624" s="86"/>
      <c r="E624" s="87"/>
      <c r="F624" s="85"/>
      <c r="G624" s="88"/>
      <c r="H624" s="88"/>
      <c r="I624" s="88"/>
      <c r="J624" s="89"/>
      <c r="K624" s="89"/>
      <c r="L624" s="89"/>
      <c r="M624" s="89"/>
      <c r="N624" s="90"/>
      <c r="O624" s="87"/>
    </row>
    <row r="625" spans="1:15" ht="22.5" customHeight="1">
      <c r="A625" s="108"/>
      <c r="B625" s="85"/>
      <c r="C625" s="85"/>
      <c r="D625" s="86"/>
      <c r="E625" s="87"/>
      <c r="F625" s="85"/>
      <c r="G625" s="88"/>
      <c r="H625" s="88"/>
      <c r="I625" s="88"/>
      <c r="J625" s="89"/>
      <c r="K625" s="89"/>
      <c r="L625" s="89"/>
      <c r="M625" s="89"/>
      <c r="N625" s="90"/>
      <c r="O625" s="87"/>
    </row>
    <row r="626" spans="1:15" ht="22.5" customHeight="1">
      <c r="A626" s="108"/>
      <c r="B626" s="85"/>
      <c r="C626" s="85"/>
      <c r="D626" s="86"/>
      <c r="E626" s="87"/>
      <c r="F626" s="85"/>
      <c r="G626" s="88"/>
      <c r="H626" s="88"/>
      <c r="I626" s="88"/>
      <c r="J626" s="89"/>
      <c r="K626" s="89"/>
      <c r="L626" s="89"/>
      <c r="M626" s="89"/>
      <c r="N626" s="90"/>
      <c r="O626" s="87"/>
    </row>
    <row r="627" spans="1:15" ht="22.5" customHeight="1">
      <c r="A627" s="108"/>
      <c r="B627" s="85"/>
      <c r="C627" s="85"/>
      <c r="D627" s="86"/>
      <c r="E627" s="87"/>
      <c r="F627" s="85"/>
      <c r="G627" s="88"/>
      <c r="H627" s="88"/>
      <c r="I627" s="88"/>
      <c r="J627" s="89"/>
      <c r="K627" s="89"/>
      <c r="L627" s="89"/>
      <c r="M627" s="89"/>
      <c r="N627" s="90"/>
      <c r="O627" s="87"/>
    </row>
    <row r="628" spans="1:15" ht="22.5" customHeight="1">
      <c r="A628" s="108"/>
      <c r="B628" s="85"/>
      <c r="C628" s="85"/>
      <c r="D628" s="86"/>
      <c r="E628" s="87"/>
      <c r="F628" s="85"/>
      <c r="G628" s="88"/>
      <c r="H628" s="88"/>
      <c r="I628" s="88"/>
      <c r="J628" s="89"/>
      <c r="K628" s="89"/>
      <c r="L628" s="89"/>
      <c r="M628" s="89"/>
      <c r="N628" s="90"/>
      <c r="O628" s="87"/>
    </row>
    <row r="629" spans="1:15" ht="22.5" customHeight="1">
      <c r="A629" s="108"/>
      <c r="B629" s="85"/>
      <c r="C629" s="85"/>
      <c r="D629" s="86"/>
      <c r="E629" s="87"/>
      <c r="F629" s="85"/>
      <c r="G629" s="88"/>
      <c r="H629" s="88"/>
      <c r="I629" s="88"/>
      <c r="J629" s="89"/>
      <c r="K629" s="89"/>
      <c r="L629" s="89"/>
      <c r="M629" s="89"/>
      <c r="N629" s="90"/>
      <c r="O629" s="87"/>
    </row>
    <row r="630" spans="1:15" ht="22.5" customHeight="1">
      <c r="A630" s="108"/>
      <c r="B630" s="85"/>
      <c r="C630" s="85"/>
      <c r="D630" s="86"/>
      <c r="E630" s="87"/>
      <c r="F630" s="85"/>
      <c r="G630" s="88"/>
      <c r="H630" s="88"/>
      <c r="I630" s="88"/>
      <c r="J630" s="89"/>
      <c r="K630" s="89"/>
      <c r="L630" s="89"/>
      <c r="M630" s="89"/>
      <c r="N630" s="90"/>
      <c r="O630" s="87"/>
    </row>
    <row r="631" spans="1:15" ht="22.5" customHeight="1">
      <c r="A631" s="108"/>
      <c r="B631" s="85"/>
      <c r="C631" s="85"/>
      <c r="D631" s="86"/>
      <c r="E631" s="87"/>
      <c r="F631" s="85"/>
      <c r="G631" s="88"/>
      <c r="H631" s="88"/>
      <c r="I631" s="88"/>
      <c r="J631" s="89"/>
      <c r="K631" s="89"/>
      <c r="L631" s="89"/>
      <c r="M631" s="89"/>
      <c r="N631" s="90"/>
      <c r="O631" s="87"/>
    </row>
    <row r="632" spans="1:15" ht="22.5" customHeight="1">
      <c r="A632" s="108"/>
      <c r="B632" s="85"/>
      <c r="C632" s="85"/>
      <c r="D632" s="86"/>
      <c r="E632" s="87"/>
      <c r="F632" s="85"/>
      <c r="G632" s="88"/>
      <c r="H632" s="88"/>
      <c r="I632" s="88"/>
      <c r="J632" s="89"/>
      <c r="K632" s="89"/>
      <c r="L632" s="89"/>
      <c r="M632" s="89"/>
      <c r="N632" s="90"/>
      <c r="O632" s="87"/>
    </row>
    <row r="633" spans="1:15" ht="22.5" customHeight="1">
      <c r="A633" s="108"/>
      <c r="B633" s="85"/>
      <c r="C633" s="85"/>
      <c r="D633" s="86"/>
      <c r="E633" s="87"/>
      <c r="F633" s="85"/>
      <c r="G633" s="88"/>
      <c r="H633" s="88"/>
      <c r="I633" s="88"/>
      <c r="J633" s="89"/>
      <c r="K633" s="89"/>
      <c r="L633" s="89"/>
      <c r="M633" s="89"/>
      <c r="N633" s="90"/>
      <c r="O633" s="87"/>
    </row>
    <row r="634" spans="1:15" ht="22.5" customHeight="1">
      <c r="A634" s="108"/>
      <c r="B634" s="85"/>
      <c r="C634" s="85"/>
      <c r="D634" s="86"/>
      <c r="E634" s="87"/>
      <c r="F634" s="85"/>
      <c r="G634" s="88"/>
      <c r="H634" s="88"/>
      <c r="I634" s="88"/>
      <c r="J634" s="89"/>
      <c r="K634" s="89"/>
      <c r="L634" s="89"/>
      <c r="M634" s="89"/>
      <c r="N634" s="90"/>
      <c r="O634" s="87"/>
    </row>
    <row r="635" spans="1:15" ht="22.5" customHeight="1">
      <c r="A635" s="108"/>
      <c r="B635" s="85"/>
      <c r="C635" s="85"/>
      <c r="D635" s="86"/>
      <c r="E635" s="87"/>
      <c r="F635" s="85"/>
      <c r="G635" s="88"/>
      <c r="H635" s="88"/>
      <c r="I635" s="88"/>
      <c r="J635" s="89"/>
      <c r="K635" s="89"/>
      <c r="L635" s="89"/>
      <c r="M635" s="89"/>
      <c r="N635" s="90"/>
      <c r="O635" s="87"/>
    </row>
    <row r="636" spans="1:15" ht="22.5" customHeight="1">
      <c r="A636" s="108"/>
      <c r="B636" s="85"/>
      <c r="C636" s="85"/>
      <c r="D636" s="86"/>
      <c r="E636" s="87"/>
      <c r="F636" s="85"/>
      <c r="G636" s="88"/>
      <c r="H636" s="88"/>
      <c r="I636" s="88"/>
      <c r="J636" s="89"/>
      <c r="K636" s="89"/>
      <c r="L636" s="89"/>
      <c r="M636" s="89"/>
      <c r="N636" s="90"/>
      <c r="O636" s="87"/>
    </row>
    <row r="637" spans="1:15" ht="22.5" customHeight="1">
      <c r="A637" s="108"/>
      <c r="B637" s="85"/>
      <c r="C637" s="85"/>
      <c r="D637" s="86"/>
      <c r="E637" s="87"/>
      <c r="F637" s="85"/>
      <c r="G637" s="88"/>
      <c r="H637" s="88"/>
      <c r="I637" s="88"/>
      <c r="J637" s="89"/>
      <c r="K637" s="89"/>
      <c r="L637" s="89"/>
      <c r="M637" s="89"/>
      <c r="N637" s="90"/>
      <c r="O637" s="87"/>
    </row>
    <row r="638" spans="1:15" ht="22.5" customHeight="1">
      <c r="A638" s="108"/>
      <c r="B638" s="85"/>
      <c r="C638" s="85"/>
      <c r="D638" s="86"/>
      <c r="E638" s="87"/>
      <c r="F638" s="85"/>
      <c r="G638" s="88"/>
      <c r="H638" s="88"/>
      <c r="I638" s="88"/>
      <c r="J638" s="89"/>
      <c r="K638" s="89"/>
      <c r="L638" s="89"/>
      <c r="M638" s="89"/>
      <c r="N638" s="90"/>
      <c r="O638" s="87"/>
    </row>
    <row r="639" spans="1:15" ht="22.5" customHeight="1">
      <c r="A639" s="108"/>
      <c r="B639" s="85"/>
      <c r="C639" s="85"/>
      <c r="D639" s="86"/>
      <c r="E639" s="87"/>
      <c r="F639" s="85"/>
      <c r="G639" s="88"/>
      <c r="H639" s="88"/>
      <c r="I639" s="88"/>
      <c r="J639" s="89"/>
      <c r="K639" s="89"/>
      <c r="L639" s="89"/>
      <c r="M639" s="89"/>
      <c r="N639" s="90"/>
      <c r="O639" s="87"/>
    </row>
    <row r="640" spans="1:15" ht="22.5" customHeight="1">
      <c r="A640" s="108"/>
      <c r="B640" s="85"/>
      <c r="C640" s="85"/>
      <c r="D640" s="86"/>
      <c r="E640" s="87"/>
      <c r="F640" s="85"/>
      <c r="G640" s="88"/>
      <c r="H640" s="88"/>
      <c r="I640" s="88"/>
      <c r="J640" s="89"/>
      <c r="K640" s="89"/>
      <c r="L640" s="89"/>
      <c r="M640" s="89"/>
      <c r="N640" s="90"/>
      <c r="O640" s="87"/>
    </row>
    <row r="641" spans="1:15" ht="22.5" customHeight="1">
      <c r="A641" s="108"/>
      <c r="B641" s="85"/>
      <c r="C641" s="85"/>
      <c r="D641" s="86"/>
      <c r="E641" s="87"/>
      <c r="F641" s="85"/>
      <c r="G641" s="88"/>
      <c r="H641" s="88"/>
      <c r="I641" s="88"/>
      <c r="J641" s="89"/>
      <c r="K641" s="89"/>
      <c r="L641" s="89"/>
      <c r="M641" s="89"/>
      <c r="N641" s="90"/>
      <c r="O641" s="87"/>
    </row>
    <row r="642" spans="1:15" ht="22.5" customHeight="1">
      <c r="A642" s="108"/>
      <c r="B642" s="85"/>
      <c r="C642" s="85"/>
      <c r="D642" s="86"/>
      <c r="E642" s="87"/>
      <c r="F642" s="85"/>
      <c r="G642" s="88"/>
      <c r="H642" s="88"/>
      <c r="I642" s="88"/>
      <c r="J642" s="89"/>
      <c r="K642" s="89"/>
      <c r="L642" s="89"/>
      <c r="M642" s="89"/>
      <c r="N642" s="90"/>
      <c r="O642" s="87"/>
    </row>
    <row r="643" spans="1:15" ht="22.5" customHeight="1">
      <c r="A643" s="108"/>
      <c r="B643" s="85"/>
      <c r="C643" s="85"/>
      <c r="D643" s="86"/>
      <c r="E643" s="87"/>
      <c r="F643" s="85"/>
      <c r="G643" s="88"/>
      <c r="H643" s="88"/>
      <c r="I643" s="88"/>
      <c r="J643" s="89"/>
      <c r="K643" s="89"/>
      <c r="L643" s="89"/>
      <c r="M643" s="89"/>
      <c r="N643" s="90"/>
      <c r="O643" s="87"/>
    </row>
    <row r="644" spans="1:15" ht="22.5" customHeight="1">
      <c r="A644" s="108"/>
      <c r="B644" s="85"/>
      <c r="C644" s="85"/>
      <c r="D644" s="86"/>
      <c r="E644" s="87"/>
      <c r="F644" s="85"/>
      <c r="G644" s="88"/>
      <c r="H644" s="88"/>
      <c r="I644" s="88"/>
      <c r="J644" s="89"/>
      <c r="K644" s="89"/>
      <c r="L644" s="89"/>
      <c r="M644" s="89"/>
      <c r="N644" s="90"/>
      <c r="O644" s="87"/>
    </row>
    <row r="645" spans="1:15" ht="22.5" customHeight="1">
      <c r="A645" s="108"/>
      <c r="B645" s="85"/>
      <c r="C645" s="85"/>
      <c r="D645" s="86"/>
      <c r="E645" s="87"/>
      <c r="F645" s="85"/>
      <c r="G645" s="88"/>
      <c r="H645" s="88"/>
      <c r="I645" s="88"/>
      <c r="J645" s="89"/>
      <c r="K645" s="89"/>
      <c r="L645" s="89"/>
      <c r="M645" s="89"/>
      <c r="N645" s="90"/>
      <c r="O645" s="87"/>
    </row>
    <row r="646" spans="1:15" ht="22.5" customHeight="1">
      <c r="A646" s="108"/>
      <c r="B646" s="85"/>
      <c r="C646" s="85"/>
      <c r="D646" s="86"/>
      <c r="E646" s="87"/>
      <c r="F646" s="85"/>
      <c r="G646" s="88"/>
      <c r="H646" s="88"/>
      <c r="I646" s="88"/>
      <c r="J646" s="89"/>
      <c r="K646" s="89"/>
      <c r="L646" s="89"/>
      <c r="M646" s="89"/>
      <c r="N646" s="90"/>
      <c r="O646" s="87"/>
    </row>
    <row r="647" spans="1:15" ht="22.5" customHeight="1">
      <c r="A647" s="108"/>
      <c r="B647" s="85"/>
      <c r="C647" s="85"/>
      <c r="D647" s="86"/>
      <c r="E647" s="87"/>
      <c r="F647" s="85"/>
      <c r="G647" s="88"/>
      <c r="H647" s="88"/>
      <c r="I647" s="88"/>
      <c r="J647" s="89"/>
      <c r="K647" s="89"/>
      <c r="L647" s="89"/>
      <c r="M647" s="89"/>
      <c r="N647" s="90"/>
      <c r="O647" s="87"/>
    </row>
    <row r="648" spans="1:15" ht="22.5" customHeight="1">
      <c r="A648" s="108"/>
      <c r="B648" s="85"/>
      <c r="C648" s="85"/>
      <c r="D648" s="86"/>
      <c r="E648" s="87"/>
      <c r="F648" s="85"/>
      <c r="G648" s="88"/>
      <c r="H648" s="88"/>
      <c r="I648" s="88"/>
      <c r="J648" s="89"/>
      <c r="K648" s="89"/>
      <c r="L648" s="89"/>
      <c r="M648" s="89"/>
      <c r="N648" s="90"/>
      <c r="O648" s="87"/>
    </row>
    <row r="649" spans="1:15" ht="22.5" customHeight="1">
      <c r="A649" s="108"/>
      <c r="B649" s="85"/>
      <c r="C649" s="85"/>
      <c r="D649" s="86"/>
      <c r="E649" s="87"/>
      <c r="F649" s="85"/>
      <c r="G649" s="88"/>
      <c r="H649" s="88"/>
      <c r="I649" s="88"/>
      <c r="J649" s="89"/>
      <c r="K649" s="89"/>
      <c r="L649" s="89"/>
      <c r="M649" s="89"/>
      <c r="N649" s="90"/>
      <c r="O649" s="87"/>
    </row>
    <row r="650" spans="1:15" ht="22.5" customHeight="1">
      <c r="A650" s="108"/>
      <c r="B650" s="85"/>
      <c r="C650" s="85"/>
      <c r="D650" s="86"/>
      <c r="E650" s="87"/>
      <c r="F650" s="85"/>
      <c r="G650" s="88"/>
      <c r="H650" s="88"/>
      <c r="I650" s="88"/>
      <c r="J650" s="89"/>
      <c r="K650" s="89"/>
      <c r="L650" s="89"/>
      <c r="M650" s="89"/>
      <c r="N650" s="90"/>
      <c r="O650" s="87"/>
    </row>
    <row r="651" spans="1:15" ht="22.5" customHeight="1">
      <c r="A651" s="108"/>
      <c r="B651" s="85"/>
      <c r="C651" s="85"/>
      <c r="D651" s="86"/>
      <c r="E651" s="87"/>
      <c r="F651" s="85"/>
      <c r="G651" s="88"/>
      <c r="H651" s="88"/>
      <c r="I651" s="88"/>
      <c r="J651" s="89"/>
      <c r="K651" s="89"/>
      <c r="L651" s="89"/>
      <c r="M651" s="89"/>
      <c r="N651" s="90"/>
      <c r="O651" s="87"/>
    </row>
    <row r="652" spans="1:15" ht="22.5" customHeight="1">
      <c r="A652" s="108"/>
      <c r="B652" s="85"/>
      <c r="C652" s="85"/>
      <c r="D652" s="86"/>
      <c r="E652" s="87"/>
      <c r="F652" s="85"/>
      <c r="G652" s="88"/>
      <c r="H652" s="88"/>
      <c r="I652" s="88"/>
      <c r="J652" s="89"/>
      <c r="K652" s="89"/>
      <c r="L652" s="89"/>
      <c r="M652" s="89"/>
      <c r="N652" s="90"/>
      <c r="O652" s="87"/>
    </row>
    <row r="653" spans="1:15" ht="22.5" customHeight="1">
      <c r="A653" s="108"/>
      <c r="B653" s="85"/>
      <c r="C653" s="85"/>
      <c r="D653" s="86"/>
      <c r="E653" s="87"/>
      <c r="F653" s="85"/>
      <c r="G653" s="88"/>
      <c r="H653" s="88"/>
      <c r="I653" s="88"/>
      <c r="J653" s="89"/>
      <c r="K653" s="89"/>
      <c r="L653" s="89"/>
      <c r="M653" s="89"/>
      <c r="N653" s="90"/>
      <c r="O653" s="87"/>
    </row>
    <row r="654" spans="1:15" ht="22.5" customHeight="1">
      <c r="A654" s="108"/>
      <c r="B654" s="85"/>
      <c r="C654" s="85"/>
      <c r="D654" s="86"/>
      <c r="E654" s="87"/>
      <c r="F654" s="85"/>
      <c r="G654" s="88"/>
      <c r="H654" s="88"/>
      <c r="I654" s="88"/>
      <c r="J654" s="89"/>
      <c r="K654" s="89"/>
      <c r="L654" s="89"/>
      <c r="M654" s="89"/>
      <c r="N654" s="90"/>
      <c r="O654" s="87"/>
    </row>
    <row r="655" spans="1:15" ht="22.5" customHeight="1">
      <c r="A655" s="108"/>
      <c r="B655" s="85"/>
      <c r="C655" s="85"/>
      <c r="D655" s="86"/>
      <c r="E655" s="87"/>
      <c r="F655" s="85"/>
      <c r="G655" s="88"/>
      <c r="H655" s="88"/>
      <c r="I655" s="88"/>
      <c r="J655" s="89"/>
      <c r="K655" s="89"/>
      <c r="L655" s="89"/>
      <c r="M655" s="89"/>
      <c r="N655" s="90"/>
      <c r="O655" s="87"/>
    </row>
    <row r="656" spans="1:15" ht="22.5" customHeight="1">
      <c r="A656" s="108"/>
      <c r="B656" s="85"/>
      <c r="C656" s="85"/>
      <c r="D656" s="86"/>
      <c r="E656" s="87"/>
      <c r="F656" s="85"/>
      <c r="G656" s="88"/>
      <c r="H656" s="88"/>
      <c r="I656" s="88"/>
      <c r="J656" s="89"/>
      <c r="K656" s="89"/>
      <c r="L656" s="89"/>
      <c r="M656" s="89"/>
      <c r="N656" s="90"/>
      <c r="O656" s="87"/>
    </row>
    <row r="657" spans="1:15" ht="22.5" customHeight="1">
      <c r="A657" s="108"/>
      <c r="B657" s="85"/>
      <c r="C657" s="85"/>
      <c r="D657" s="86"/>
      <c r="E657" s="87"/>
      <c r="F657" s="85"/>
      <c r="G657" s="88"/>
      <c r="H657" s="88"/>
      <c r="I657" s="88"/>
      <c r="J657" s="89"/>
      <c r="K657" s="89"/>
      <c r="L657" s="89"/>
      <c r="M657" s="89"/>
      <c r="N657" s="90"/>
      <c r="O657" s="87"/>
    </row>
    <row r="658" spans="1:15" ht="22.5" customHeight="1">
      <c r="A658" s="108"/>
      <c r="B658" s="85"/>
      <c r="C658" s="85"/>
      <c r="D658" s="86"/>
      <c r="E658" s="87"/>
      <c r="F658" s="85"/>
      <c r="G658" s="88"/>
      <c r="H658" s="88"/>
      <c r="I658" s="88"/>
      <c r="J658" s="89"/>
      <c r="K658" s="89"/>
      <c r="L658" s="89"/>
      <c r="M658" s="89"/>
      <c r="N658" s="90"/>
      <c r="O658" s="87"/>
    </row>
    <row r="659" spans="1:15" ht="22.5" customHeight="1">
      <c r="A659" s="108"/>
      <c r="B659" s="85"/>
      <c r="C659" s="85"/>
      <c r="D659" s="86"/>
      <c r="E659" s="87"/>
      <c r="F659" s="85"/>
      <c r="G659" s="88"/>
      <c r="H659" s="88"/>
      <c r="I659" s="88"/>
      <c r="J659" s="89"/>
      <c r="K659" s="89"/>
      <c r="L659" s="89"/>
      <c r="M659" s="89"/>
      <c r="N659" s="90"/>
      <c r="O659" s="87"/>
    </row>
    <row r="660" spans="1:15" ht="22.5" customHeight="1">
      <c r="A660" s="108"/>
      <c r="B660" s="85"/>
      <c r="C660" s="85"/>
      <c r="D660" s="86"/>
      <c r="E660" s="87"/>
      <c r="F660" s="85"/>
      <c r="G660" s="88"/>
      <c r="H660" s="88"/>
      <c r="I660" s="88"/>
      <c r="J660" s="89"/>
      <c r="K660" s="89"/>
      <c r="L660" s="89"/>
      <c r="M660" s="89"/>
      <c r="N660" s="90"/>
      <c r="O660" s="87"/>
    </row>
    <row r="661" spans="1:15" ht="22.5" customHeight="1">
      <c r="A661" s="108"/>
      <c r="B661" s="85"/>
      <c r="C661" s="85"/>
      <c r="D661" s="86"/>
      <c r="E661" s="87"/>
      <c r="F661" s="85"/>
      <c r="G661" s="88"/>
      <c r="H661" s="88"/>
      <c r="I661" s="88"/>
      <c r="J661" s="89"/>
      <c r="K661" s="89"/>
      <c r="L661" s="89"/>
      <c r="M661" s="89"/>
      <c r="N661" s="90"/>
      <c r="O661" s="87"/>
    </row>
    <row r="662" spans="1:15" ht="22.5" customHeight="1">
      <c r="A662" s="108"/>
      <c r="B662" s="85"/>
      <c r="C662" s="85"/>
      <c r="D662" s="86"/>
      <c r="E662" s="87"/>
      <c r="F662" s="85"/>
      <c r="G662" s="88"/>
      <c r="H662" s="88"/>
      <c r="I662" s="88"/>
      <c r="J662" s="89"/>
      <c r="K662" s="89"/>
      <c r="L662" s="89"/>
      <c r="M662" s="89"/>
      <c r="N662" s="90"/>
      <c r="O662" s="87"/>
    </row>
    <row r="663" spans="1:15" ht="22.5" customHeight="1">
      <c r="A663" s="108"/>
      <c r="B663" s="85"/>
      <c r="C663" s="85"/>
      <c r="D663" s="86"/>
      <c r="E663" s="87"/>
      <c r="F663" s="85"/>
      <c r="G663" s="88"/>
      <c r="H663" s="88"/>
      <c r="I663" s="88"/>
      <c r="J663" s="89"/>
      <c r="K663" s="89"/>
      <c r="L663" s="89"/>
      <c r="M663" s="89"/>
      <c r="N663" s="90"/>
      <c r="O663" s="87"/>
    </row>
    <row r="664" spans="1:15" ht="22.5" customHeight="1">
      <c r="A664" s="108"/>
      <c r="B664" s="85"/>
      <c r="C664" s="85"/>
      <c r="D664" s="86"/>
      <c r="E664" s="87"/>
      <c r="F664" s="85"/>
      <c r="G664" s="88"/>
      <c r="H664" s="88"/>
      <c r="I664" s="88"/>
      <c r="J664" s="89"/>
      <c r="K664" s="89"/>
      <c r="L664" s="89"/>
      <c r="M664" s="89"/>
      <c r="N664" s="90"/>
      <c r="O664" s="87"/>
    </row>
    <row r="665" spans="1:15" ht="22.5" customHeight="1">
      <c r="A665" s="108"/>
      <c r="B665" s="85"/>
      <c r="C665" s="85"/>
      <c r="D665" s="86"/>
      <c r="E665" s="87"/>
      <c r="F665" s="85"/>
      <c r="G665" s="88"/>
      <c r="H665" s="88"/>
      <c r="I665" s="88"/>
      <c r="J665" s="89"/>
      <c r="K665" s="89"/>
      <c r="L665" s="89"/>
      <c r="M665" s="89"/>
      <c r="N665" s="90"/>
      <c r="O665" s="87"/>
    </row>
    <row r="666" spans="1:15" ht="22.5" customHeight="1">
      <c r="A666" s="108"/>
      <c r="B666" s="85"/>
      <c r="C666" s="85"/>
      <c r="D666" s="86"/>
      <c r="E666" s="87"/>
      <c r="F666" s="85"/>
      <c r="G666" s="88"/>
      <c r="H666" s="88"/>
      <c r="I666" s="88"/>
      <c r="J666" s="89"/>
      <c r="K666" s="89"/>
      <c r="L666" s="89"/>
      <c r="M666" s="89"/>
      <c r="N666" s="90"/>
      <c r="O666" s="87"/>
    </row>
    <row r="667" spans="1:15" ht="22.5" customHeight="1">
      <c r="A667" s="108"/>
      <c r="B667" s="85"/>
      <c r="C667" s="85"/>
      <c r="D667" s="86"/>
      <c r="E667" s="87"/>
      <c r="F667" s="85"/>
      <c r="G667" s="88"/>
      <c r="H667" s="88"/>
      <c r="I667" s="88"/>
      <c r="J667" s="89"/>
      <c r="K667" s="89"/>
      <c r="L667" s="89"/>
      <c r="M667" s="89"/>
      <c r="N667" s="90"/>
      <c r="O667" s="87"/>
    </row>
    <row r="668" spans="1:15" ht="22.5" customHeight="1">
      <c r="A668" s="108"/>
      <c r="B668" s="85"/>
      <c r="C668" s="85"/>
      <c r="D668" s="86"/>
      <c r="E668" s="87"/>
      <c r="F668" s="85"/>
      <c r="G668" s="88"/>
      <c r="H668" s="88"/>
      <c r="I668" s="88"/>
      <c r="J668" s="89"/>
      <c r="K668" s="89"/>
      <c r="L668" s="89"/>
      <c r="M668" s="89"/>
      <c r="N668" s="90"/>
      <c r="O668" s="87"/>
    </row>
    <row r="669" spans="1:15" ht="22.5" customHeight="1">
      <c r="A669" s="108"/>
      <c r="B669" s="85"/>
      <c r="C669" s="85"/>
      <c r="D669" s="86"/>
      <c r="E669" s="87"/>
      <c r="F669" s="85"/>
      <c r="G669" s="88"/>
      <c r="H669" s="88"/>
      <c r="I669" s="88"/>
      <c r="J669" s="89"/>
      <c r="K669" s="89"/>
      <c r="L669" s="89"/>
      <c r="M669" s="89"/>
      <c r="N669" s="90"/>
      <c r="O669" s="87"/>
    </row>
    <row r="670" spans="1:15" ht="22.5" customHeight="1">
      <c r="A670" s="108"/>
      <c r="B670" s="85"/>
      <c r="C670" s="85"/>
      <c r="D670" s="86"/>
      <c r="E670" s="87"/>
      <c r="F670" s="85"/>
      <c r="G670" s="88"/>
      <c r="H670" s="88"/>
      <c r="I670" s="88"/>
      <c r="J670" s="89"/>
      <c r="K670" s="89"/>
      <c r="L670" s="89"/>
      <c r="M670" s="89"/>
      <c r="N670" s="90"/>
      <c r="O670" s="87"/>
    </row>
    <row r="671" spans="1:15" ht="22.5" customHeight="1">
      <c r="A671" s="108"/>
      <c r="B671" s="85"/>
      <c r="C671" s="85"/>
      <c r="D671" s="86"/>
      <c r="E671" s="87"/>
      <c r="F671" s="85"/>
      <c r="G671" s="88"/>
      <c r="H671" s="88"/>
      <c r="I671" s="88"/>
      <c r="J671" s="89"/>
      <c r="K671" s="89"/>
      <c r="L671" s="89"/>
      <c r="M671" s="89"/>
      <c r="N671" s="90"/>
      <c r="O671" s="87"/>
    </row>
    <row r="672" spans="1:15" ht="22.5" customHeight="1">
      <c r="A672" s="108"/>
      <c r="B672" s="85"/>
      <c r="C672" s="85"/>
      <c r="D672" s="86"/>
      <c r="E672" s="87"/>
      <c r="F672" s="85"/>
      <c r="G672" s="88"/>
      <c r="H672" s="88"/>
      <c r="I672" s="88"/>
      <c r="J672" s="89"/>
      <c r="K672" s="89"/>
      <c r="L672" s="89"/>
      <c r="M672" s="89"/>
      <c r="N672" s="90"/>
      <c r="O672" s="87"/>
    </row>
    <row r="673" spans="1:15" ht="22.5" customHeight="1">
      <c r="A673" s="108"/>
      <c r="B673" s="85"/>
      <c r="C673" s="85"/>
      <c r="D673" s="86"/>
      <c r="E673" s="87"/>
      <c r="F673" s="85"/>
      <c r="G673" s="88"/>
      <c r="H673" s="88"/>
      <c r="I673" s="88"/>
      <c r="J673" s="89"/>
      <c r="K673" s="89"/>
      <c r="L673" s="89"/>
      <c r="M673" s="89"/>
      <c r="N673" s="90"/>
      <c r="O673" s="87"/>
    </row>
    <row r="674" spans="1:15" ht="22.5" customHeight="1">
      <c r="A674" s="108"/>
      <c r="B674" s="85"/>
      <c r="C674" s="85"/>
      <c r="D674" s="86"/>
      <c r="E674" s="87"/>
      <c r="F674" s="85"/>
      <c r="G674" s="88"/>
      <c r="H674" s="88"/>
      <c r="I674" s="88"/>
      <c r="J674" s="89"/>
      <c r="K674" s="89"/>
      <c r="L674" s="89"/>
      <c r="M674" s="89"/>
      <c r="N674" s="90"/>
      <c r="O674" s="87"/>
    </row>
    <row r="675" spans="1:15" ht="22.5" customHeight="1">
      <c r="A675" s="108"/>
      <c r="B675" s="85"/>
      <c r="C675" s="85"/>
      <c r="D675" s="86"/>
      <c r="E675" s="87"/>
      <c r="F675" s="85"/>
      <c r="G675" s="88"/>
      <c r="H675" s="88"/>
      <c r="I675" s="88"/>
      <c r="J675" s="89"/>
      <c r="K675" s="89"/>
      <c r="L675" s="89"/>
      <c r="M675" s="89"/>
      <c r="N675" s="90"/>
      <c r="O675" s="87"/>
    </row>
    <row r="676" spans="1:15" ht="22.5" customHeight="1">
      <c r="A676" s="108"/>
      <c r="B676" s="85"/>
      <c r="C676" s="85"/>
      <c r="D676" s="86"/>
      <c r="E676" s="87"/>
      <c r="F676" s="85"/>
      <c r="G676" s="88"/>
      <c r="H676" s="88"/>
      <c r="I676" s="88"/>
      <c r="J676" s="89"/>
      <c r="K676" s="89"/>
      <c r="L676" s="89"/>
      <c r="M676" s="89"/>
      <c r="N676" s="90"/>
      <c r="O676" s="87"/>
    </row>
    <row r="677" spans="1:15" ht="22.5" customHeight="1">
      <c r="A677" s="108"/>
      <c r="B677" s="85"/>
      <c r="C677" s="85"/>
      <c r="D677" s="86"/>
      <c r="E677" s="87"/>
      <c r="F677" s="85"/>
      <c r="G677" s="88"/>
      <c r="H677" s="88"/>
      <c r="I677" s="88"/>
      <c r="J677" s="89"/>
      <c r="K677" s="89"/>
      <c r="L677" s="89"/>
      <c r="M677" s="89"/>
      <c r="N677" s="90"/>
      <c r="O677" s="87"/>
    </row>
    <row r="678" spans="1:15" ht="22.5" customHeight="1">
      <c r="A678" s="108"/>
      <c r="B678" s="85"/>
      <c r="C678" s="85"/>
      <c r="D678" s="86"/>
      <c r="E678" s="87"/>
      <c r="F678" s="85"/>
      <c r="G678" s="88"/>
      <c r="H678" s="88"/>
      <c r="I678" s="88"/>
      <c r="J678" s="89"/>
      <c r="K678" s="89"/>
      <c r="L678" s="89"/>
      <c r="M678" s="89"/>
      <c r="N678" s="90"/>
      <c r="O678" s="87"/>
    </row>
    <row r="679" spans="1:15" ht="22.5" customHeight="1">
      <c r="A679" s="108"/>
      <c r="B679" s="85"/>
      <c r="C679" s="85"/>
      <c r="D679" s="86"/>
      <c r="E679" s="87"/>
      <c r="F679" s="85"/>
      <c r="G679" s="88"/>
      <c r="H679" s="88"/>
      <c r="I679" s="88"/>
      <c r="J679" s="89"/>
      <c r="K679" s="89"/>
      <c r="L679" s="89"/>
      <c r="M679" s="89"/>
      <c r="N679" s="90"/>
      <c r="O679" s="87"/>
    </row>
    <row r="680" spans="1:15" ht="22.5" customHeight="1">
      <c r="A680" s="108"/>
      <c r="B680" s="85"/>
      <c r="C680" s="85"/>
      <c r="D680" s="86"/>
      <c r="E680" s="87"/>
      <c r="F680" s="85"/>
      <c r="G680" s="88"/>
      <c r="H680" s="88"/>
      <c r="I680" s="88"/>
      <c r="J680" s="89"/>
      <c r="K680" s="89"/>
      <c r="L680" s="89"/>
      <c r="M680" s="89"/>
      <c r="N680" s="90"/>
      <c r="O680" s="87"/>
    </row>
    <row r="681" spans="1:15" ht="22.5" customHeight="1">
      <c r="A681" s="108"/>
      <c r="B681" s="85"/>
      <c r="C681" s="85"/>
      <c r="D681" s="86"/>
      <c r="E681" s="87"/>
      <c r="F681" s="85"/>
      <c r="G681" s="88"/>
      <c r="H681" s="88"/>
      <c r="I681" s="88"/>
      <c r="J681" s="89"/>
      <c r="K681" s="89"/>
      <c r="L681" s="89"/>
      <c r="M681" s="89"/>
      <c r="N681" s="90"/>
      <c r="O681" s="87"/>
    </row>
    <row r="682" spans="1:15" ht="22.5" customHeight="1">
      <c r="A682" s="108"/>
      <c r="B682" s="85"/>
      <c r="C682" s="85"/>
      <c r="D682" s="86"/>
      <c r="E682" s="87"/>
      <c r="F682" s="85"/>
      <c r="G682" s="88"/>
      <c r="H682" s="88"/>
      <c r="I682" s="88"/>
      <c r="J682" s="89"/>
      <c r="K682" s="89"/>
      <c r="L682" s="89"/>
      <c r="M682" s="89"/>
      <c r="N682" s="90"/>
      <c r="O682" s="87"/>
    </row>
    <row r="683" spans="1:15" ht="22.5" customHeight="1">
      <c r="A683" s="108"/>
      <c r="B683" s="85"/>
      <c r="C683" s="85"/>
      <c r="D683" s="86"/>
      <c r="E683" s="87"/>
      <c r="F683" s="85"/>
      <c r="G683" s="88"/>
      <c r="H683" s="88"/>
      <c r="I683" s="88"/>
      <c r="J683" s="89"/>
      <c r="K683" s="89"/>
      <c r="L683" s="89"/>
      <c r="M683" s="89"/>
      <c r="N683" s="90"/>
      <c r="O683" s="87"/>
    </row>
    <row r="684" spans="1:15" ht="22.5" customHeight="1">
      <c r="A684" s="108"/>
      <c r="B684" s="85"/>
      <c r="C684" s="85"/>
      <c r="D684" s="86"/>
      <c r="E684" s="87"/>
      <c r="F684" s="85"/>
      <c r="G684" s="88"/>
      <c r="H684" s="88"/>
      <c r="I684" s="88"/>
      <c r="J684" s="89"/>
      <c r="K684" s="89"/>
      <c r="L684" s="89"/>
      <c r="M684" s="89"/>
      <c r="N684" s="90"/>
      <c r="O684" s="87"/>
    </row>
    <row r="685" spans="1:15" ht="22.5" customHeight="1">
      <c r="A685" s="108"/>
      <c r="B685" s="85"/>
      <c r="C685" s="85"/>
      <c r="D685" s="86"/>
      <c r="E685" s="87"/>
      <c r="F685" s="85"/>
      <c r="G685" s="88"/>
      <c r="H685" s="88"/>
      <c r="I685" s="88"/>
      <c r="J685" s="89"/>
      <c r="K685" s="89"/>
      <c r="L685" s="89"/>
      <c r="M685" s="89"/>
      <c r="N685" s="90"/>
      <c r="O685" s="87"/>
    </row>
    <row r="686" spans="1:15" ht="22.5" customHeight="1">
      <c r="A686" s="108"/>
      <c r="B686" s="85"/>
      <c r="C686" s="85"/>
      <c r="D686" s="86"/>
      <c r="E686" s="87"/>
      <c r="F686" s="85"/>
      <c r="G686" s="88"/>
      <c r="H686" s="88"/>
      <c r="I686" s="88"/>
      <c r="J686" s="89"/>
      <c r="K686" s="89"/>
      <c r="L686" s="89"/>
      <c r="M686" s="89"/>
      <c r="N686" s="90"/>
      <c r="O686" s="87"/>
    </row>
    <row r="687" spans="1:15" ht="22.5" customHeight="1">
      <c r="A687" s="108"/>
      <c r="B687" s="85"/>
      <c r="C687" s="85"/>
      <c r="D687" s="86"/>
      <c r="E687" s="87"/>
      <c r="F687" s="85"/>
      <c r="G687" s="88"/>
      <c r="H687" s="88"/>
      <c r="I687" s="88"/>
      <c r="J687" s="89"/>
      <c r="K687" s="89"/>
      <c r="L687" s="89"/>
      <c r="M687" s="89"/>
      <c r="N687" s="90"/>
      <c r="O687" s="87"/>
    </row>
    <row r="688" spans="1:15" ht="22.5" customHeight="1">
      <c r="A688" s="108"/>
      <c r="B688" s="85"/>
      <c r="C688" s="85"/>
      <c r="D688" s="86"/>
      <c r="E688" s="87"/>
      <c r="F688" s="85"/>
      <c r="G688" s="88"/>
      <c r="H688" s="88"/>
      <c r="I688" s="88"/>
      <c r="J688" s="89"/>
      <c r="K688" s="89"/>
      <c r="L688" s="89"/>
      <c r="M688" s="89"/>
      <c r="N688" s="90"/>
      <c r="O688" s="87"/>
    </row>
    <row r="689" spans="1:15" ht="22.5" customHeight="1">
      <c r="A689" s="108"/>
      <c r="B689" s="85"/>
      <c r="C689" s="85"/>
      <c r="D689" s="86"/>
      <c r="E689" s="87"/>
      <c r="F689" s="85"/>
      <c r="G689" s="88"/>
      <c r="H689" s="88"/>
      <c r="I689" s="88"/>
      <c r="J689" s="89"/>
      <c r="K689" s="89"/>
      <c r="L689" s="89"/>
      <c r="M689" s="89"/>
      <c r="N689" s="90"/>
      <c r="O689" s="87"/>
    </row>
    <row r="690" spans="1:15" ht="22.5" customHeight="1">
      <c r="A690" s="108"/>
      <c r="B690" s="85"/>
      <c r="C690" s="85"/>
      <c r="D690" s="86"/>
      <c r="E690" s="87"/>
      <c r="F690" s="85"/>
      <c r="G690" s="88"/>
      <c r="H690" s="88"/>
      <c r="I690" s="88"/>
      <c r="J690" s="89"/>
      <c r="K690" s="89"/>
      <c r="L690" s="89"/>
      <c r="M690" s="89"/>
      <c r="N690" s="90"/>
      <c r="O690" s="87"/>
    </row>
    <row r="691" spans="1:15" ht="22.5" customHeight="1">
      <c r="A691" s="108"/>
      <c r="B691" s="85"/>
      <c r="C691" s="85"/>
      <c r="D691" s="86"/>
      <c r="E691" s="87"/>
      <c r="F691" s="85"/>
      <c r="G691" s="88"/>
      <c r="H691" s="88"/>
      <c r="I691" s="88"/>
      <c r="J691" s="89"/>
      <c r="K691" s="89"/>
      <c r="L691" s="89"/>
      <c r="M691" s="89"/>
      <c r="N691" s="90"/>
      <c r="O691" s="87"/>
    </row>
    <row r="692" spans="1:15" ht="22.5" customHeight="1">
      <c r="A692" s="108"/>
      <c r="B692" s="85"/>
      <c r="C692" s="85"/>
      <c r="D692" s="86"/>
      <c r="E692" s="87"/>
      <c r="F692" s="85"/>
      <c r="G692" s="88"/>
      <c r="H692" s="88"/>
      <c r="I692" s="88"/>
      <c r="J692" s="89"/>
      <c r="K692" s="89"/>
      <c r="L692" s="89"/>
      <c r="M692" s="89"/>
      <c r="N692" s="90"/>
      <c r="O692" s="87"/>
    </row>
    <row r="693" spans="1:15" ht="22.5" customHeight="1">
      <c r="A693" s="108"/>
      <c r="B693" s="85"/>
      <c r="C693" s="85"/>
      <c r="D693" s="86"/>
      <c r="E693" s="87"/>
      <c r="F693" s="85"/>
      <c r="G693" s="88"/>
      <c r="H693" s="88"/>
      <c r="I693" s="88"/>
      <c r="J693" s="89"/>
      <c r="K693" s="89"/>
      <c r="L693" s="89"/>
      <c r="M693" s="89"/>
      <c r="N693" s="90"/>
      <c r="O693" s="87"/>
    </row>
    <row r="694" spans="1:15" ht="22.5" customHeight="1">
      <c r="A694" s="108"/>
      <c r="B694" s="85"/>
      <c r="C694" s="85"/>
      <c r="D694" s="86"/>
      <c r="E694" s="87"/>
      <c r="F694" s="85"/>
      <c r="G694" s="88"/>
      <c r="H694" s="88"/>
      <c r="I694" s="88"/>
      <c r="J694" s="89"/>
      <c r="K694" s="89"/>
      <c r="L694" s="89"/>
      <c r="M694" s="89"/>
      <c r="N694" s="90"/>
      <c r="O694" s="87"/>
    </row>
    <row r="695" spans="1:15" ht="22.5" customHeight="1">
      <c r="A695" s="108"/>
      <c r="B695" s="85"/>
      <c r="C695" s="85"/>
      <c r="D695" s="86"/>
      <c r="E695" s="87"/>
      <c r="F695" s="85"/>
      <c r="G695" s="88"/>
      <c r="H695" s="88"/>
      <c r="I695" s="88"/>
      <c r="J695" s="89"/>
      <c r="K695" s="89"/>
      <c r="L695" s="89"/>
      <c r="M695" s="89"/>
      <c r="N695" s="90"/>
      <c r="O695" s="87"/>
    </row>
    <row r="696" spans="1:15" ht="22.5" customHeight="1">
      <c r="A696" s="108"/>
      <c r="B696" s="85"/>
      <c r="C696" s="85"/>
      <c r="D696" s="86"/>
      <c r="E696" s="87"/>
      <c r="F696" s="85"/>
      <c r="G696" s="88"/>
      <c r="H696" s="88"/>
      <c r="I696" s="88"/>
      <c r="J696" s="89"/>
      <c r="K696" s="89"/>
      <c r="L696" s="89"/>
      <c r="M696" s="89"/>
      <c r="N696" s="90"/>
      <c r="O696" s="87"/>
    </row>
    <row r="697" spans="1:15" ht="22.5" customHeight="1">
      <c r="A697" s="108"/>
      <c r="B697" s="85"/>
      <c r="C697" s="85"/>
      <c r="D697" s="86"/>
      <c r="E697" s="87"/>
      <c r="F697" s="85"/>
      <c r="G697" s="88"/>
      <c r="H697" s="88"/>
      <c r="I697" s="88"/>
      <c r="J697" s="89"/>
      <c r="K697" s="89"/>
      <c r="L697" s="89"/>
      <c r="M697" s="89"/>
      <c r="N697" s="90"/>
      <c r="O697" s="87"/>
    </row>
    <row r="698" spans="1:15" ht="22.5" customHeight="1">
      <c r="A698" s="108"/>
      <c r="B698" s="85"/>
      <c r="C698" s="85"/>
      <c r="D698" s="86"/>
      <c r="E698" s="87"/>
      <c r="F698" s="85"/>
      <c r="G698" s="88"/>
      <c r="H698" s="88"/>
      <c r="I698" s="88"/>
      <c r="J698" s="89"/>
      <c r="K698" s="89"/>
      <c r="L698" s="89"/>
      <c r="M698" s="89"/>
      <c r="N698" s="90"/>
      <c r="O698" s="87"/>
    </row>
    <row r="699" spans="1:15" ht="22.5" customHeight="1">
      <c r="A699" s="108"/>
      <c r="B699" s="85"/>
      <c r="C699" s="85"/>
      <c r="D699" s="86"/>
      <c r="E699" s="87"/>
      <c r="F699" s="85"/>
      <c r="G699" s="88"/>
      <c r="H699" s="88"/>
      <c r="I699" s="88"/>
      <c r="J699" s="89"/>
      <c r="K699" s="89"/>
      <c r="L699" s="89"/>
      <c r="M699" s="89"/>
      <c r="N699" s="90"/>
      <c r="O699" s="87"/>
    </row>
    <row r="700" spans="1:15" ht="22.5" customHeight="1">
      <c r="A700" s="108"/>
      <c r="B700" s="85"/>
      <c r="C700" s="85"/>
      <c r="D700" s="86"/>
      <c r="E700" s="87"/>
      <c r="F700" s="85"/>
      <c r="G700" s="88"/>
      <c r="H700" s="88"/>
      <c r="I700" s="88"/>
      <c r="J700" s="89"/>
      <c r="K700" s="89"/>
      <c r="L700" s="89"/>
      <c r="M700" s="89"/>
      <c r="N700" s="90"/>
      <c r="O700" s="87"/>
    </row>
    <row r="701" spans="1:15" ht="22.5" customHeight="1">
      <c r="A701" s="108"/>
      <c r="B701" s="85"/>
      <c r="C701" s="85"/>
      <c r="D701" s="86"/>
      <c r="E701" s="87"/>
      <c r="F701" s="85"/>
      <c r="G701" s="88"/>
      <c r="H701" s="88"/>
      <c r="I701" s="88"/>
      <c r="J701" s="89"/>
      <c r="K701" s="89"/>
      <c r="L701" s="89"/>
      <c r="M701" s="89"/>
      <c r="N701" s="90"/>
      <c r="O701" s="87"/>
    </row>
    <row r="702" spans="1:15" ht="22.5" customHeight="1">
      <c r="A702" s="108"/>
      <c r="B702" s="85"/>
      <c r="C702" s="85"/>
      <c r="D702" s="86"/>
      <c r="E702" s="87"/>
      <c r="F702" s="85"/>
      <c r="G702" s="88"/>
      <c r="H702" s="88"/>
      <c r="I702" s="88"/>
      <c r="J702" s="89"/>
      <c r="K702" s="89"/>
      <c r="L702" s="89"/>
      <c r="M702" s="89"/>
      <c r="N702" s="90"/>
      <c r="O702" s="87"/>
    </row>
    <row r="703" spans="1:15" ht="22.5" customHeight="1">
      <c r="A703" s="108"/>
      <c r="B703" s="85"/>
      <c r="C703" s="85"/>
      <c r="D703" s="86"/>
      <c r="E703" s="87"/>
      <c r="F703" s="85"/>
      <c r="G703" s="88"/>
      <c r="H703" s="88"/>
      <c r="I703" s="88"/>
      <c r="J703" s="89"/>
      <c r="K703" s="89"/>
      <c r="L703" s="89"/>
      <c r="M703" s="89"/>
      <c r="N703" s="90"/>
      <c r="O703" s="87"/>
    </row>
    <row r="704" spans="1:15" ht="22.5" customHeight="1">
      <c r="A704" s="108"/>
      <c r="B704" s="85"/>
      <c r="C704" s="85"/>
      <c r="D704" s="86"/>
      <c r="E704" s="87"/>
      <c r="F704" s="85"/>
      <c r="G704" s="88"/>
      <c r="H704" s="88"/>
      <c r="I704" s="88"/>
      <c r="J704" s="89"/>
      <c r="K704" s="89"/>
      <c r="L704" s="89"/>
      <c r="M704" s="89"/>
      <c r="N704" s="90"/>
      <c r="O704" s="87"/>
    </row>
    <row r="705" spans="1:15" ht="22.5" customHeight="1">
      <c r="A705" s="108"/>
      <c r="B705" s="85"/>
      <c r="C705" s="85"/>
      <c r="D705" s="86"/>
      <c r="E705" s="87"/>
      <c r="F705" s="85"/>
      <c r="G705" s="88"/>
      <c r="H705" s="88"/>
      <c r="I705" s="88"/>
      <c r="J705" s="89"/>
      <c r="K705" s="89"/>
      <c r="L705" s="89"/>
      <c r="M705" s="89"/>
      <c r="N705" s="90"/>
      <c r="O705" s="87"/>
    </row>
    <row r="706" spans="1:15" ht="22.5" customHeight="1">
      <c r="A706" s="108"/>
      <c r="B706" s="85"/>
      <c r="C706" s="85"/>
      <c r="D706" s="86"/>
      <c r="E706" s="87"/>
      <c r="F706" s="85"/>
      <c r="G706" s="88"/>
      <c r="H706" s="88"/>
      <c r="I706" s="88"/>
      <c r="J706" s="89"/>
      <c r="K706" s="89"/>
      <c r="L706" s="89"/>
      <c r="M706" s="89"/>
      <c r="N706" s="90"/>
      <c r="O706" s="87"/>
    </row>
    <row r="707" spans="1:15" ht="22.5" customHeight="1">
      <c r="A707" s="108"/>
      <c r="B707" s="85"/>
      <c r="C707" s="85"/>
      <c r="D707" s="86"/>
      <c r="E707" s="87"/>
      <c r="F707" s="85"/>
      <c r="G707" s="88"/>
      <c r="H707" s="88"/>
      <c r="I707" s="88"/>
      <c r="J707" s="89"/>
      <c r="K707" s="89"/>
      <c r="L707" s="89"/>
      <c r="M707" s="89"/>
      <c r="N707" s="90"/>
      <c r="O707" s="87"/>
    </row>
    <row r="708" spans="1:15" ht="22.5" customHeight="1">
      <c r="A708" s="108"/>
      <c r="B708" s="85"/>
      <c r="C708" s="85"/>
      <c r="D708" s="86"/>
      <c r="E708" s="87"/>
      <c r="F708" s="85"/>
      <c r="G708" s="88"/>
      <c r="H708" s="88"/>
      <c r="I708" s="88"/>
      <c r="J708" s="89"/>
      <c r="K708" s="89"/>
      <c r="L708" s="89"/>
      <c r="M708" s="89"/>
      <c r="N708" s="90"/>
      <c r="O708" s="87"/>
    </row>
    <row r="709" spans="1:15" ht="22.5" customHeight="1">
      <c r="A709" s="108"/>
      <c r="B709" s="85"/>
      <c r="C709" s="85"/>
      <c r="D709" s="86"/>
      <c r="E709" s="87"/>
      <c r="F709" s="85"/>
      <c r="G709" s="88"/>
      <c r="H709" s="88"/>
      <c r="I709" s="88"/>
      <c r="J709" s="89"/>
      <c r="K709" s="89"/>
      <c r="L709" s="89"/>
      <c r="M709" s="89"/>
      <c r="N709" s="90"/>
      <c r="O709" s="87"/>
    </row>
    <row r="710" spans="1:15" ht="22.5" customHeight="1">
      <c r="A710" s="108"/>
      <c r="B710" s="85"/>
      <c r="C710" s="85"/>
      <c r="D710" s="86"/>
      <c r="E710" s="87"/>
      <c r="F710" s="85"/>
      <c r="G710" s="88"/>
      <c r="H710" s="88"/>
      <c r="I710" s="88"/>
      <c r="J710" s="89"/>
      <c r="K710" s="89"/>
      <c r="L710" s="89"/>
      <c r="M710" s="89"/>
      <c r="N710" s="90"/>
      <c r="O710" s="87"/>
    </row>
    <row r="711" spans="1:15" ht="22.5" customHeight="1">
      <c r="A711" s="108"/>
      <c r="B711" s="85"/>
      <c r="C711" s="85"/>
      <c r="D711" s="86"/>
      <c r="E711" s="87"/>
      <c r="F711" s="85"/>
      <c r="G711" s="88"/>
      <c r="H711" s="88"/>
      <c r="I711" s="88"/>
      <c r="J711" s="89"/>
      <c r="K711" s="89"/>
      <c r="L711" s="89"/>
      <c r="M711" s="89"/>
      <c r="N711" s="90"/>
      <c r="O711" s="87"/>
    </row>
    <row r="712" spans="1:15" ht="22.5" customHeight="1">
      <c r="A712" s="108"/>
      <c r="B712" s="85"/>
      <c r="C712" s="85"/>
      <c r="D712" s="86"/>
      <c r="E712" s="87"/>
      <c r="F712" s="85"/>
      <c r="G712" s="88"/>
      <c r="H712" s="88"/>
      <c r="I712" s="88"/>
      <c r="J712" s="89"/>
      <c r="K712" s="89"/>
      <c r="L712" s="89"/>
      <c r="M712" s="89"/>
      <c r="N712" s="90"/>
      <c r="O712" s="87"/>
    </row>
    <row r="713" spans="1:15" ht="22.5" customHeight="1">
      <c r="A713" s="108"/>
      <c r="B713" s="85"/>
      <c r="C713" s="85"/>
      <c r="D713" s="86"/>
      <c r="E713" s="87"/>
      <c r="F713" s="85"/>
      <c r="G713" s="88"/>
      <c r="H713" s="88"/>
      <c r="I713" s="88"/>
      <c r="J713" s="89"/>
      <c r="K713" s="89"/>
      <c r="L713" s="89"/>
      <c r="M713" s="89"/>
      <c r="N713" s="90"/>
      <c r="O713" s="87"/>
    </row>
    <row r="714" spans="1:15" ht="22.5" customHeight="1">
      <c r="A714" s="108"/>
      <c r="B714" s="85"/>
      <c r="C714" s="85"/>
      <c r="D714" s="86"/>
      <c r="E714" s="87"/>
      <c r="F714" s="85"/>
      <c r="G714" s="88"/>
      <c r="H714" s="88"/>
      <c r="I714" s="88"/>
      <c r="J714" s="89"/>
      <c r="K714" s="89"/>
      <c r="L714" s="89"/>
      <c r="M714" s="89"/>
      <c r="N714" s="90"/>
      <c r="O714" s="87"/>
    </row>
    <row r="715" spans="1:15" ht="22.5" customHeight="1">
      <c r="A715" s="108"/>
      <c r="B715" s="85"/>
      <c r="C715" s="85"/>
      <c r="D715" s="86"/>
      <c r="E715" s="87"/>
      <c r="F715" s="85"/>
      <c r="G715" s="88"/>
      <c r="H715" s="88"/>
      <c r="I715" s="88"/>
      <c r="J715" s="89"/>
      <c r="K715" s="89"/>
      <c r="L715" s="89"/>
      <c r="M715" s="89"/>
      <c r="N715" s="90"/>
      <c r="O715" s="87"/>
    </row>
    <row r="716" spans="1:15" ht="22.5" customHeight="1">
      <c r="A716" s="108"/>
      <c r="B716" s="85"/>
      <c r="C716" s="85"/>
      <c r="D716" s="86"/>
      <c r="E716" s="87"/>
      <c r="F716" s="85"/>
      <c r="G716" s="88"/>
      <c r="H716" s="88"/>
      <c r="I716" s="88"/>
      <c r="J716" s="89"/>
      <c r="K716" s="89"/>
      <c r="L716" s="89"/>
      <c r="M716" s="89"/>
      <c r="N716" s="90"/>
      <c r="O716" s="87"/>
    </row>
    <row r="717" spans="1:15" ht="22.5" customHeight="1">
      <c r="A717" s="108"/>
      <c r="B717" s="85"/>
      <c r="C717" s="85"/>
      <c r="D717" s="86"/>
      <c r="E717" s="87"/>
      <c r="F717" s="85"/>
      <c r="G717" s="88"/>
      <c r="H717" s="88"/>
      <c r="I717" s="88"/>
      <c r="J717" s="89"/>
      <c r="K717" s="89"/>
      <c r="L717" s="89"/>
      <c r="M717" s="89"/>
      <c r="N717" s="90"/>
      <c r="O717" s="87"/>
    </row>
    <row r="718" spans="1:15" ht="22.5" customHeight="1">
      <c r="A718" s="108"/>
      <c r="B718" s="85"/>
      <c r="C718" s="85"/>
      <c r="D718" s="86"/>
      <c r="E718" s="87"/>
      <c r="F718" s="85"/>
      <c r="G718" s="88"/>
      <c r="H718" s="88"/>
      <c r="I718" s="88"/>
      <c r="J718" s="89"/>
      <c r="K718" s="89"/>
      <c r="L718" s="89"/>
      <c r="M718" s="89"/>
      <c r="N718" s="90"/>
      <c r="O718" s="87"/>
    </row>
    <row r="719" spans="1:15" ht="22.5" customHeight="1">
      <c r="A719" s="108"/>
      <c r="B719" s="85"/>
      <c r="C719" s="85"/>
      <c r="D719" s="86"/>
      <c r="E719" s="87"/>
      <c r="F719" s="85"/>
      <c r="G719" s="88"/>
      <c r="H719" s="88"/>
      <c r="I719" s="88"/>
      <c r="J719" s="89"/>
      <c r="K719" s="89"/>
      <c r="L719" s="89"/>
      <c r="M719" s="89"/>
      <c r="N719" s="90"/>
      <c r="O719" s="87"/>
    </row>
    <row r="720" spans="1:15" ht="22.5" customHeight="1">
      <c r="A720" s="108"/>
      <c r="B720" s="85"/>
      <c r="C720" s="85"/>
      <c r="D720" s="86"/>
      <c r="E720" s="87"/>
      <c r="F720" s="85"/>
      <c r="G720" s="88"/>
      <c r="H720" s="88"/>
      <c r="I720" s="88"/>
      <c r="J720" s="89"/>
      <c r="K720" s="89"/>
      <c r="L720" s="89"/>
      <c r="M720" s="89"/>
      <c r="N720" s="90"/>
      <c r="O720" s="87"/>
    </row>
    <row r="721" spans="1:15" ht="22.5" customHeight="1">
      <c r="A721" s="108"/>
      <c r="B721" s="85"/>
      <c r="C721" s="85"/>
      <c r="D721" s="86"/>
      <c r="E721" s="87"/>
      <c r="F721" s="85"/>
      <c r="G721" s="88"/>
      <c r="H721" s="88"/>
      <c r="I721" s="88"/>
      <c r="J721" s="89"/>
      <c r="K721" s="89"/>
      <c r="L721" s="89"/>
      <c r="M721" s="89"/>
      <c r="N721" s="90"/>
      <c r="O721" s="87"/>
    </row>
    <row r="722" spans="1:15" ht="22.5" customHeight="1">
      <c r="A722" s="108"/>
      <c r="B722" s="85"/>
      <c r="C722" s="85"/>
      <c r="D722" s="86"/>
      <c r="E722" s="87"/>
      <c r="F722" s="85"/>
      <c r="G722" s="88"/>
      <c r="H722" s="88"/>
      <c r="I722" s="88"/>
      <c r="J722" s="89"/>
      <c r="K722" s="89"/>
      <c r="L722" s="89"/>
      <c r="M722" s="89"/>
      <c r="N722" s="90"/>
      <c r="O722" s="87"/>
    </row>
    <row r="723" spans="1:15" ht="22.5" customHeight="1">
      <c r="A723" s="108"/>
      <c r="B723" s="85"/>
      <c r="C723" s="85"/>
      <c r="D723" s="86"/>
      <c r="E723" s="87"/>
      <c r="F723" s="85"/>
      <c r="G723" s="88"/>
      <c r="H723" s="88"/>
      <c r="I723" s="88"/>
      <c r="J723" s="89"/>
      <c r="K723" s="89"/>
      <c r="L723" s="89"/>
      <c r="M723" s="89"/>
      <c r="N723" s="90"/>
      <c r="O723" s="87"/>
    </row>
    <row r="724" spans="1:15" ht="22.5" customHeight="1">
      <c r="A724" s="108"/>
      <c r="B724" s="85"/>
      <c r="C724" s="85"/>
      <c r="D724" s="86"/>
      <c r="E724" s="87"/>
      <c r="F724" s="85"/>
      <c r="G724" s="88"/>
      <c r="H724" s="88"/>
      <c r="I724" s="88"/>
      <c r="J724" s="89"/>
      <c r="K724" s="89"/>
      <c r="L724" s="89"/>
      <c r="M724" s="89"/>
      <c r="N724" s="90"/>
      <c r="O724" s="87"/>
    </row>
    <row r="725" spans="1:15" ht="22.5" customHeight="1">
      <c r="A725" s="108"/>
      <c r="B725" s="85"/>
      <c r="C725" s="85"/>
      <c r="D725" s="86"/>
      <c r="E725" s="87"/>
      <c r="F725" s="85"/>
      <c r="G725" s="88"/>
      <c r="H725" s="88"/>
      <c r="I725" s="88"/>
      <c r="J725" s="89"/>
      <c r="K725" s="89"/>
      <c r="L725" s="89"/>
      <c r="M725" s="89"/>
      <c r="N725" s="90"/>
      <c r="O725" s="87"/>
    </row>
    <row r="726" spans="1:15" ht="22.5" customHeight="1">
      <c r="A726" s="108"/>
      <c r="B726" s="85"/>
      <c r="C726" s="85"/>
      <c r="D726" s="86"/>
      <c r="E726" s="87"/>
      <c r="F726" s="85"/>
      <c r="G726" s="88"/>
      <c r="H726" s="88"/>
      <c r="I726" s="88"/>
      <c r="J726" s="89"/>
      <c r="K726" s="89"/>
      <c r="L726" s="89"/>
      <c r="M726" s="89"/>
      <c r="N726" s="90"/>
      <c r="O726" s="87"/>
    </row>
    <row r="727" spans="1:15" ht="22.5" customHeight="1">
      <c r="A727" s="108"/>
      <c r="B727" s="85"/>
      <c r="C727" s="85"/>
      <c r="D727" s="86"/>
      <c r="E727" s="87"/>
      <c r="F727" s="85"/>
      <c r="G727" s="88"/>
      <c r="H727" s="88"/>
      <c r="I727" s="88"/>
      <c r="J727" s="89"/>
      <c r="K727" s="89"/>
      <c r="L727" s="89"/>
      <c r="M727" s="89"/>
      <c r="N727" s="90"/>
      <c r="O727" s="87"/>
    </row>
    <row r="728" spans="1:15" ht="22.5" customHeight="1">
      <c r="A728" s="108"/>
      <c r="B728" s="85"/>
      <c r="C728" s="85"/>
      <c r="D728" s="86"/>
      <c r="E728" s="87"/>
      <c r="F728" s="85"/>
      <c r="G728" s="88"/>
      <c r="H728" s="88"/>
      <c r="I728" s="88"/>
      <c r="J728" s="89"/>
      <c r="K728" s="89"/>
      <c r="L728" s="89"/>
      <c r="M728" s="89"/>
      <c r="N728" s="90"/>
      <c r="O728" s="87"/>
    </row>
    <row r="729" spans="1:15" ht="22.5" customHeight="1">
      <c r="A729" s="108"/>
      <c r="B729" s="85"/>
      <c r="C729" s="85"/>
      <c r="D729" s="86"/>
      <c r="E729" s="87"/>
      <c r="F729" s="85"/>
      <c r="G729" s="88"/>
      <c r="H729" s="88"/>
      <c r="I729" s="88"/>
      <c r="J729" s="89"/>
      <c r="K729" s="89"/>
      <c r="L729" s="89"/>
      <c r="M729" s="89"/>
      <c r="N729" s="90"/>
      <c r="O729" s="87"/>
    </row>
    <row r="730" spans="1:15" ht="22.5" customHeight="1">
      <c r="A730" s="108"/>
      <c r="B730" s="85"/>
      <c r="C730" s="85"/>
      <c r="D730" s="86"/>
      <c r="E730" s="87"/>
      <c r="F730" s="85"/>
      <c r="G730" s="88"/>
      <c r="H730" s="88"/>
      <c r="I730" s="88"/>
      <c r="J730" s="89"/>
      <c r="K730" s="89"/>
      <c r="L730" s="89"/>
      <c r="M730" s="89"/>
      <c r="N730" s="90"/>
      <c r="O730" s="87"/>
    </row>
    <row r="731" spans="1:15" ht="22.5" customHeight="1">
      <c r="A731" s="108"/>
      <c r="B731" s="85"/>
      <c r="C731" s="85"/>
      <c r="D731" s="86"/>
      <c r="E731" s="87"/>
      <c r="F731" s="85"/>
      <c r="G731" s="88"/>
      <c r="H731" s="88"/>
      <c r="I731" s="88"/>
      <c r="J731" s="89"/>
      <c r="K731" s="89"/>
      <c r="L731" s="89"/>
      <c r="M731" s="89"/>
      <c r="N731" s="90"/>
      <c r="O731" s="87"/>
    </row>
    <row r="732" spans="1:15" ht="22.5" customHeight="1">
      <c r="A732" s="108"/>
      <c r="B732" s="85"/>
      <c r="C732" s="85"/>
      <c r="D732" s="86"/>
      <c r="E732" s="87"/>
      <c r="F732" s="85"/>
      <c r="G732" s="88"/>
      <c r="H732" s="88"/>
      <c r="I732" s="88"/>
      <c r="J732" s="89"/>
      <c r="K732" s="89"/>
      <c r="L732" s="89"/>
      <c r="M732" s="89"/>
      <c r="N732" s="90"/>
      <c r="O732" s="87"/>
    </row>
    <row r="733" spans="1:15" ht="22.5" customHeight="1">
      <c r="A733" s="108"/>
      <c r="B733" s="85"/>
      <c r="C733" s="85"/>
      <c r="D733" s="86"/>
      <c r="E733" s="87"/>
      <c r="F733" s="85"/>
      <c r="G733" s="88"/>
      <c r="H733" s="88"/>
      <c r="I733" s="88"/>
      <c r="J733" s="89"/>
      <c r="K733" s="89"/>
      <c r="L733" s="89"/>
      <c r="M733" s="89"/>
      <c r="N733" s="90"/>
      <c r="O733" s="87"/>
    </row>
    <row r="734" spans="1:15" ht="22.5" customHeight="1">
      <c r="A734" s="108"/>
      <c r="B734" s="85"/>
      <c r="C734" s="85"/>
      <c r="D734" s="86"/>
      <c r="E734" s="87"/>
      <c r="F734" s="85"/>
      <c r="G734" s="88"/>
      <c r="H734" s="88"/>
      <c r="I734" s="88"/>
      <c r="J734" s="89"/>
      <c r="K734" s="89"/>
      <c r="L734" s="89"/>
      <c r="M734" s="89"/>
      <c r="N734" s="90"/>
      <c r="O734" s="87"/>
    </row>
    <row r="735" spans="1:15" ht="22.5" customHeight="1">
      <c r="A735" s="108"/>
      <c r="B735" s="85"/>
      <c r="C735" s="85"/>
      <c r="D735" s="86"/>
      <c r="E735" s="87"/>
      <c r="F735" s="85"/>
      <c r="G735" s="88"/>
      <c r="H735" s="88"/>
      <c r="I735" s="88"/>
      <c r="J735" s="89"/>
      <c r="K735" s="89"/>
      <c r="L735" s="89"/>
      <c r="M735" s="89"/>
      <c r="N735" s="90"/>
      <c r="O735" s="87"/>
    </row>
    <row r="736" spans="1:15" ht="22.5" customHeight="1">
      <c r="A736" s="108"/>
      <c r="B736" s="85"/>
      <c r="C736" s="85"/>
      <c r="D736" s="86"/>
      <c r="E736" s="87"/>
      <c r="F736" s="85"/>
      <c r="G736" s="88"/>
      <c r="H736" s="88"/>
      <c r="I736" s="88"/>
      <c r="J736" s="89"/>
      <c r="K736" s="89"/>
      <c r="L736" s="89"/>
      <c r="M736" s="89"/>
      <c r="N736" s="90"/>
      <c r="O736" s="87"/>
    </row>
    <row r="737" spans="1:15" ht="22.5" customHeight="1">
      <c r="A737" s="108"/>
      <c r="B737" s="85"/>
      <c r="C737" s="85"/>
      <c r="D737" s="86"/>
      <c r="E737" s="87"/>
      <c r="F737" s="85"/>
      <c r="G737" s="88"/>
      <c r="H737" s="88"/>
      <c r="I737" s="88"/>
      <c r="J737" s="89"/>
      <c r="K737" s="89"/>
      <c r="L737" s="89"/>
      <c r="M737" s="89"/>
      <c r="N737" s="90"/>
      <c r="O737" s="87"/>
    </row>
    <row r="738" spans="1:15" ht="22.5" customHeight="1">
      <c r="A738" s="108"/>
      <c r="B738" s="85"/>
      <c r="C738" s="85"/>
      <c r="D738" s="86"/>
      <c r="E738" s="87"/>
      <c r="F738" s="85"/>
      <c r="G738" s="88"/>
      <c r="H738" s="88"/>
      <c r="I738" s="88"/>
      <c r="J738" s="89"/>
      <c r="K738" s="89"/>
      <c r="L738" s="89"/>
      <c r="M738" s="89"/>
      <c r="N738" s="90"/>
      <c r="O738" s="87"/>
    </row>
    <row r="739" spans="1:15" ht="22.5" customHeight="1">
      <c r="A739" s="108"/>
      <c r="B739" s="85"/>
      <c r="C739" s="85"/>
      <c r="D739" s="86"/>
      <c r="E739" s="87"/>
      <c r="F739" s="85"/>
      <c r="G739" s="88"/>
      <c r="H739" s="88"/>
      <c r="I739" s="88"/>
      <c r="J739" s="89"/>
      <c r="K739" s="89"/>
      <c r="L739" s="89"/>
      <c r="M739" s="89"/>
      <c r="N739" s="90"/>
      <c r="O739" s="87"/>
    </row>
    <row r="740" spans="1:15" ht="22.5" customHeight="1">
      <c r="A740" s="108"/>
      <c r="B740" s="85"/>
      <c r="C740" s="85"/>
      <c r="D740" s="86"/>
      <c r="E740" s="87"/>
      <c r="F740" s="85"/>
      <c r="G740" s="88"/>
      <c r="H740" s="88"/>
      <c r="I740" s="88"/>
      <c r="J740" s="89"/>
      <c r="K740" s="89"/>
      <c r="L740" s="89"/>
      <c r="M740" s="89"/>
      <c r="N740" s="90"/>
      <c r="O740" s="87"/>
    </row>
    <row r="741" spans="1:15" ht="22.5" customHeight="1">
      <c r="A741" s="108"/>
      <c r="B741" s="85"/>
      <c r="C741" s="85"/>
      <c r="D741" s="86"/>
      <c r="E741" s="87"/>
      <c r="F741" s="85"/>
      <c r="G741" s="88"/>
      <c r="H741" s="88"/>
      <c r="I741" s="88"/>
      <c r="J741" s="89"/>
      <c r="K741" s="89"/>
      <c r="L741" s="89"/>
      <c r="M741" s="89"/>
      <c r="N741" s="90"/>
      <c r="O741" s="87"/>
    </row>
    <row r="742" spans="1:15" ht="22.5" customHeight="1">
      <c r="A742" s="108"/>
      <c r="B742" s="85"/>
      <c r="C742" s="85"/>
      <c r="D742" s="86"/>
      <c r="E742" s="87"/>
      <c r="F742" s="85"/>
      <c r="G742" s="88"/>
      <c r="H742" s="88"/>
      <c r="I742" s="88"/>
      <c r="J742" s="89"/>
      <c r="K742" s="89"/>
      <c r="L742" s="89"/>
      <c r="M742" s="89"/>
      <c r="N742" s="90"/>
      <c r="O742" s="87"/>
    </row>
    <row r="743" spans="1:15" ht="22.5" customHeight="1">
      <c r="A743" s="108"/>
      <c r="B743" s="85"/>
      <c r="C743" s="85"/>
      <c r="D743" s="86"/>
      <c r="E743" s="87"/>
      <c r="F743" s="85"/>
      <c r="G743" s="88"/>
      <c r="H743" s="88"/>
      <c r="I743" s="88"/>
      <c r="J743" s="89"/>
      <c r="K743" s="89"/>
      <c r="L743" s="89"/>
      <c r="M743" s="89"/>
      <c r="N743" s="90"/>
      <c r="O743" s="87"/>
    </row>
    <row r="744" spans="1:15" ht="22.5" customHeight="1">
      <c r="A744" s="108"/>
      <c r="B744" s="85"/>
      <c r="C744" s="85"/>
      <c r="D744" s="86"/>
      <c r="E744" s="87"/>
      <c r="F744" s="85"/>
      <c r="G744" s="88"/>
      <c r="H744" s="88"/>
      <c r="I744" s="88"/>
      <c r="J744" s="89"/>
      <c r="K744" s="89"/>
      <c r="L744" s="89"/>
      <c r="M744" s="89"/>
      <c r="N744" s="90"/>
      <c r="O744" s="87"/>
    </row>
    <row r="745" spans="1:15" ht="22.5" customHeight="1">
      <c r="A745" s="108"/>
      <c r="B745" s="85"/>
      <c r="C745" s="85"/>
      <c r="D745" s="86"/>
      <c r="E745" s="87"/>
      <c r="F745" s="85"/>
      <c r="G745" s="88"/>
      <c r="H745" s="88"/>
      <c r="I745" s="88"/>
      <c r="J745" s="89"/>
      <c r="K745" s="89"/>
      <c r="L745" s="89"/>
      <c r="M745" s="89"/>
      <c r="N745" s="90"/>
      <c r="O745" s="87"/>
    </row>
    <row r="746" spans="1:15" ht="22.5" customHeight="1">
      <c r="A746" s="108"/>
      <c r="B746" s="85"/>
      <c r="C746" s="85"/>
      <c r="D746" s="86"/>
      <c r="E746" s="87"/>
      <c r="F746" s="85"/>
      <c r="G746" s="88"/>
      <c r="H746" s="88"/>
      <c r="I746" s="88"/>
      <c r="J746" s="89"/>
      <c r="K746" s="89"/>
      <c r="L746" s="89"/>
      <c r="M746" s="89"/>
      <c r="N746" s="90"/>
      <c r="O746" s="87"/>
    </row>
    <row r="747" spans="1:15" ht="22.5" customHeight="1">
      <c r="A747" s="108"/>
      <c r="B747" s="85"/>
      <c r="C747" s="85"/>
      <c r="D747" s="86"/>
      <c r="E747" s="87"/>
      <c r="F747" s="85"/>
      <c r="G747" s="88"/>
      <c r="H747" s="88"/>
      <c r="I747" s="88"/>
      <c r="J747" s="89"/>
      <c r="K747" s="89"/>
      <c r="L747" s="89"/>
      <c r="M747" s="89"/>
      <c r="N747" s="90"/>
      <c r="O747" s="87"/>
    </row>
    <row r="748" spans="1:15" ht="22.5" customHeight="1">
      <c r="A748" s="108"/>
      <c r="B748" s="85"/>
      <c r="C748" s="85"/>
      <c r="D748" s="86"/>
      <c r="E748" s="87"/>
      <c r="F748" s="85"/>
      <c r="G748" s="88"/>
      <c r="H748" s="88"/>
      <c r="I748" s="88"/>
      <c r="J748" s="89"/>
      <c r="K748" s="89"/>
      <c r="L748" s="89"/>
      <c r="M748" s="89"/>
      <c r="N748" s="90"/>
      <c r="O748" s="87"/>
    </row>
    <row r="749" spans="1:15" ht="22.5" customHeight="1">
      <c r="A749" s="108"/>
      <c r="B749" s="85"/>
      <c r="C749" s="85"/>
      <c r="D749" s="86"/>
      <c r="E749" s="87"/>
      <c r="F749" s="85"/>
      <c r="G749" s="88"/>
      <c r="H749" s="88"/>
      <c r="I749" s="88"/>
      <c r="J749" s="89"/>
      <c r="K749" s="89"/>
      <c r="L749" s="89"/>
      <c r="M749" s="89"/>
      <c r="N749" s="90"/>
      <c r="O749" s="87"/>
    </row>
    <row r="750" spans="1:15" ht="22.5" customHeight="1">
      <c r="A750" s="108"/>
      <c r="B750" s="85"/>
      <c r="C750" s="85"/>
      <c r="D750" s="86"/>
      <c r="E750" s="87"/>
      <c r="F750" s="85"/>
      <c r="G750" s="88"/>
      <c r="H750" s="88"/>
      <c r="I750" s="88"/>
      <c r="J750" s="89"/>
      <c r="K750" s="89"/>
      <c r="L750" s="89"/>
      <c r="M750" s="89"/>
      <c r="N750" s="90"/>
      <c r="O750" s="87"/>
    </row>
    <row r="751" spans="1:15" ht="22.5" customHeight="1">
      <c r="A751" s="108"/>
      <c r="B751" s="85"/>
      <c r="C751" s="85"/>
      <c r="D751" s="86"/>
      <c r="E751" s="87"/>
      <c r="F751" s="85"/>
      <c r="G751" s="88"/>
      <c r="H751" s="88"/>
      <c r="I751" s="88"/>
      <c r="J751" s="89"/>
      <c r="K751" s="89"/>
      <c r="L751" s="89"/>
      <c r="M751" s="89"/>
      <c r="N751" s="90"/>
      <c r="O751" s="87"/>
    </row>
    <row r="752" spans="1:15" ht="22.5" customHeight="1">
      <c r="A752" s="108"/>
      <c r="B752" s="85"/>
      <c r="C752" s="85"/>
      <c r="D752" s="86"/>
      <c r="E752" s="87"/>
      <c r="F752" s="85"/>
      <c r="G752" s="88"/>
      <c r="H752" s="88"/>
      <c r="I752" s="88"/>
      <c r="J752" s="89"/>
      <c r="K752" s="89"/>
      <c r="L752" s="89"/>
      <c r="M752" s="89"/>
      <c r="N752" s="90"/>
      <c r="O752" s="87"/>
    </row>
    <row r="753" spans="1:15" ht="22.5" customHeight="1">
      <c r="A753" s="108"/>
      <c r="B753" s="85"/>
      <c r="C753" s="85"/>
      <c r="D753" s="86"/>
      <c r="E753" s="87"/>
      <c r="F753" s="85"/>
      <c r="G753" s="88"/>
      <c r="H753" s="88"/>
      <c r="I753" s="88"/>
      <c r="J753" s="89"/>
      <c r="K753" s="89"/>
      <c r="L753" s="89"/>
      <c r="M753" s="89"/>
      <c r="N753" s="90"/>
      <c r="O753" s="87"/>
    </row>
    <row r="754" spans="1:15" ht="22.5" customHeight="1">
      <c r="A754" s="108"/>
      <c r="B754" s="85"/>
      <c r="C754" s="85"/>
      <c r="D754" s="86"/>
      <c r="E754" s="87"/>
      <c r="F754" s="85"/>
      <c r="G754" s="88"/>
      <c r="H754" s="88"/>
      <c r="I754" s="88"/>
      <c r="J754" s="89"/>
      <c r="K754" s="89"/>
      <c r="L754" s="89"/>
      <c r="M754" s="89"/>
      <c r="N754" s="90"/>
      <c r="O754" s="87"/>
    </row>
    <row r="755" spans="1:15" ht="22.5" customHeight="1">
      <c r="A755" s="108"/>
      <c r="B755" s="85"/>
      <c r="C755" s="85"/>
      <c r="D755" s="86"/>
      <c r="E755" s="87"/>
      <c r="F755" s="85"/>
      <c r="G755" s="88"/>
      <c r="H755" s="88"/>
      <c r="I755" s="88"/>
      <c r="J755" s="89"/>
      <c r="K755" s="89"/>
      <c r="L755" s="89"/>
      <c r="M755" s="89"/>
      <c r="N755" s="90"/>
      <c r="O755" s="87"/>
    </row>
    <row r="756" spans="1:15" ht="22.5" customHeight="1">
      <c r="A756" s="108"/>
      <c r="B756" s="85"/>
      <c r="C756" s="85"/>
      <c r="D756" s="86"/>
      <c r="E756" s="87"/>
      <c r="F756" s="85"/>
      <c r="G756" s="88"/>
      <c r="H756" s="88"/>
      <c r="I756" s="88"/>
      <c r="J756" s="89"/>
      <c r="K756" s="89"/>
      <c r="L756" s="89"/>
      <c r="M756" s="89"/>
      <c r="N756" s="90"/>
      <c r="O756" s="87"/>
    </row>
    <row r="757" spans="1:15" ht="22.5" customHeight="1">
      <c r="A757" s="108"/>
      <c r="B757" s="85"/>
      <c r="C757" s="85"/>
      <c r="D757" s="86"/>
      <c r="E757" s="87"/>
      <c r="F757" s="85"/>
      <c r="G757" s="88"/>
      <c r="H757" s="88"/>
      <c r="I757" s="88"/>
      <c r="J757" s="89"/>
      <c r="K757" s="89"/>
      <c r="L757" s="89"/>
      <c r="M757" s="89"/>
      <c r="N757" s="90"/>
      <c r="O757" s="87"/>
    </row>
    <row r="758" spans="1:15" ht="22.5" customHeight="1">
      <c r="A758" s="108"/>
      <c r="B758" s="85"/>
      <c r="C758" s="85"/>
      <c r="D758" s="86"/>
      <c r="E758" s="87"/>
      <c r="F758" s="85"/>
      <c r="G758" s="88"/>
      <c r="H758" s="88"/>
      <c r="I758" s="88"/>
      <c r="J758" s="89"/>
      <c r="K758" s="89"/>
      <c r="L758" s="89"/>
      <c r="M758" s="89"/>
      <c r="N758" s="90"/>
      <c r="O758" s="87"/>
    </row>
    <row r="759" spans="1:15" ht="22.5" customHeight="1">
      <c r="A759" s="108"/>
      <c r="B759" s="85"/>
      <c r="C759" s="85"/>
      <c r="D759" s="86"/>
      <c r="E759" s="87"/>
      <c r="F759" s="85"/>
      <c r="G759" s="88"/>
      <c r="H759" s="88"/>
      <c r="I759" s="88"/>
      <c r="J759" s="89"/>
      <c r="K759" s="89"/>
      <c r="L759" s="89"/>
      <c r="M759" s="89"/>
      <c r="N759" s="90"/>
      <c r="O759" s="87"/>
    </row>
    <row r="760" spans="1:15" ht="22.5" customHeight="1">
      <c r="A760" s="108"/>
      <c r="B760" s="85"/>
      <c r="C760" s="85"/>
      <c r="D760" s="86"/>
      <c r="E760" s="87"/>
      <c r="F760" s="85"/>
      <c r="G760" s="88"/>
      <c r="H760" s="88"/>
      <c r="I760" s="88"/>
      <c r="J760" s="89"/>
      <c r="K760" s="89"/>
      <c r="L760" s="89"/>
      <c r="M760" s="89"/>
      <c r="N760" s="90"/>
      <c r="O760" s="87"/>
    </row>
    <row r="761" spans="1:15" ht="22.5" customHeight="1">
      <c r="A761" s="108"/>
      <c r="B761" s="85"/>
      <c r="C761" s="85"/>
      <c r="D761" s="86"/>
      <c r="E761" s="87"/>
      <c r="F761" s="85"/>
      <c r="G761" s="88"/>
      <c r="H761" s="88"/>
      <c r="I761" s="88"/>
      <c r="J761" s="89"/>
      <c r="K761" s="89"/>
      <c r="L761" s="89"/>
      <c r="M761" s="89"/>
      <c r="N761" s="90"/>
      <c r="O761" s="87"/>
    </row>
    <row r="762" spans="1:15" ht="22.5" customHeight="1">
      <c r="A762" s="108"/>
      <c r="B762" s="85"/>
      <c r="C762" s="85"/>
      <c r="D762" s="86"/>
      <c r="E762" s="87"/>
      <c r="F762" s="85"/>
      <c r="G762" s="88"/>
      <c r="H762" s="88"/>
      <c r="I762" s="88"/>
      <c r="J762" s="89"/>
      <c r="K762" s="89"/>
      <c r="L762" s="89"/>
      <c r="M762" s="89"/>
      <c r="N762" s="90"/>
      <c r="O762" s="87"/>
    </row>
    <row r="763" spans="1:15" ht="22.5" customHeight="1">
      <c r="A763" s="108"/>
      <c r="B763" s="85"/>
      <c r="C763" s="85"/>
      <c r="D763" s="86"/>
      <c r="E763" s="87"/>
      <c r="F763" s="85"/>
      <c r="G763" s="88"/>
      <c r="H763" s="88"/>
      <c r="I763" s="88"/>
      <c r="J763" s="89"/>
      <c r="K763" s="89"/>
      <c r="L763" s="89"/>
      <c r="M763" s="89"/>
      <c r="N763" s="90"/>
      <c r="O763" s="87"/>
    </row>
    <row r="764" spans="1:15" ht="22.5" customHeight="1">
      <c r="A764" s="108"/>
      <c r="B764" s="85"/>
      <c r="C764" s="85"/>
      <c r="D764" s="86"/>
      <c r="E764" s="87"/>
      <c r="F764" s="85"/>
      <c r="G764" s="88"/>
      <c r="H764" s="88"/>
      <c r="I764" s="88"/>
      <c r="J764" s="89"/>
      <c r="K764" s="89"/>
      <c r="L764" s="89"/>
      <c r="M764" s="89"/>
      <c r="N764" s="90"/>
      <c r="O764" s="87"/>
    </row>
    <row r="765" spans="1:15" ht="22.5" customHeight="1">
      <c r="A765" s="108"/>
      <c r="B765" s="85"/>
      <c r="C765" s="85"/>
      <c r="D765" s="86"/>
      <c r="E765" s="87"/>
      <c r="F765" s="85"/>
      <c r="G765" s="88"/>
      <c r="H765" s="88"/>
      <c r="I765" s="88"/>
      <c r="J765" s="89"/>
      <c r="K765" s="89"/>
      <c r="L765" s="89"/>
      <c r="M765" s="89"/>
      <c r="N765" s="90"/>
      <c r="O765" s="87"/>
    </row>
    <row r="766" spans="1:15" ht="22.5" customHeight="1">
      <c r="A766" s="108"/>
      <c r="B766" s="85"/>
      <c r="C766" s="85"/>
      <c r="D766" s="86"/>
      <c r="E766" s="87"/>
      <c r="F766" s="85"/>
      <c r="G766" s="88"/>
      <c r="H766" s="88"/>
      <c r="I766" s="88"/>
      <c r="J766" s="89"/>
      <c r="K766" s="89"/>
      <c r="L766" s="89"/>
      <c r="M766" s="89"/>
      <c r="N766" s="90"/>
      <c r="O766" s="87"/>
    </row>
    <row r="767" spans="1:15" ht="22.5" customHeight="1">
      <c r="A767" s="108"/>
      <c r="B767" s="85"/>
      <c r="C767" s="85"/>
      <c r="D767" s="86"/>
      <c r="E767" s="87"/>
      <c r="F767" s="85"/>
      <c r="G767" s="88"/>
      <c r="H767" s="88"/>
      <c r="I767" s="88"/>
      <c r="J767" s="89"/>
      <c r="K767" s="89"/>
      <c r="L767" s="89"/>
      <c r="M767" s="89"/>
      <c r="N767" s="90"/>
      <c r="O767" s="87"/>
    </row>
    <row r="768" spans="1:15" ht="22.5" customHeight="1">
      <c r="A768" s="108"/>
      <c r="B768" s="85"/>
      <c r="C768" s="85"/>
      <c r="D768" s="86"/>
      <c r="E768" s="87"/>
      <c r="F768" s="85"/>
      <c r="G768" s="88"/>
      <c r="H768" s="88"/>
      <c r="I768" s="88"/>
      <c r="J768" s="89"/>
      <c r="K768" s="89"/>
      <c r="L768" s="89"/>
      <c r="M768" s="89"/>
      <c r="N768" s="90"/>
      <c r="O768" s="87"/>
    </row>
    <row r="769" spans="1:15" ht="22.5" customHeight="1">
      <c r="A769" s="108"/>
      <c r="B769" s="85"/>
      <c r="C769" s="85"/>
      <c r="D769" s="86"/>
      <c r="E769" s="87"/>
      <c r="F769" s="85"/>
      <c r="G769" s="88"/>
      <c r="H769" s="88"/>
      <c r="I769" s="88"/>
      <c r="J769" s="89"/>
      <c r="K769" s="89"/>
      <c r="L769" s="89"/>
      <c r="M769" s="89"/>
      <c r="N769" s="90"/>
      <c r="O769" s="87"/>
    </row>
    <row r="770" spans="1:15" ht="22.5" customHeight="1">
      <c r="A770" s="108"/>
      <c r="B770" s="85"/>
      <c r="C770" s="85"/>
      <c r="D770" s="86"/>
      <c r="E770" s="87"/>
      <c r="F770" s="85"/>
      <c r="G770" s="88"/>
      <c r="H770" s="88"/>
      <c r="I770" s="88"/>
      <c r="J770" s="89"/>
      <c r="K770" s="89"/>
      <c r="L770" s="89"/>
      <c r="M770" s="89"/>
      <c r="N770" s="90"/>
      <c r="O770" s="87"/>
    </row>
    <row r="771" spans="1:15" ht="22.5" customHeight="1">
      <c r="A771" s="108"/>
      <c r="B771" s="85"/>
      <c r="C771" s="85"/>
      <c r="D771" s="86"/>
      <c r="E771" s="87"/>
      <c r="F771" s="85"/>
      <c r="G771" s="88"/>
      <c r="H771" s="88"/>
      <c r="I771" s="88"/>
      <c r="J771" s="89"/>
      <c r="K771" s="89"/>
      <c r="L771" s="89"/>
      <c r="M771" s="89"/>
      <c r="N771" s="90"/>
      <c r="O771" s="87"/>
    </row>
    <row r="772" spans="1:15" ht="22.5" customHeight="1">
      <c r="A772" s="108"/>
      <c r="B772" s="85"/>
      <c r="C772" s="85"/>
      <c r="D772" s="86"/>
      <c r="E772" s="87"/>
      <c r="F772" s="85"/>
      <c r="G772" s="88"/>
      <c r="H772" s="88"/>
      <c r="I772" s="88"/>
      <c r="J772" s="89"/>
      <c r="K772" s="89"/>
      <c r="L772" s="89"/>
      <c r="M772" s="89"/>
      <c r="N772" s="90"/>
      <c r="O772" s="87"/>
    </row>
    <row r="773" spans="1:15" ht="22.5" customHeight="1">
      <c r="A773" s="108"/>
      <c r="B773" s="85"/>
      <c r="C773" s="85"/>
      <c r="D773" s="86"/>
      <c r="E773" s="87"/>
      <c r="F773" s="85"/>
      <c r="G773" s="88"/>
      <c r="H773" s="88"/>
      <c r="I773" s="88"/>
      <c r="J773" s="89"/>
      <c r="K773" s="89"/>
      <c r="L773" s="89"/>
      <c r="M773" s="89"/>
      <c r="N773" s="90"/>
      <c r="O773" s="87"/>
    </row>
    <row r="774" spans="1:15" ht="22.5" customHeight="1">
      <c r="A774" s="108"/>
      <c r="B774" s="85"/>
      <c r="C774" s="85"/>
      <c r="D774" s="86"/>
      <c r="E774" s="87"/>
      <c r="F774" s="85"/>
      <c r="G774" s="88"/>
      <c r="H774" s="88"/>
      <c r="I774" s="88"/>
      <c r="J774" s="89"/>
      <c r="K774" s="89"/>
      <c r="L774" s="89"/>
      <c r="M774" s="89"/>
      <c r="N774" s="90"/>
      <c r="O774" s="87"/>
    </row>
    <row r="775" spans="1:15" ht="22.5" customHeight="1">
      <c r="A775" s="108"/>
      <c r="B775" s="85"/>
      <c r="C775" s="85"/>
      <c r="D775" s="86"/>
      <c r="E775" s="87"/>
      <c r="F775" s="85"/>
      <c r="G775" s="88"/>
      <c r="H775" s="88"/>
      <c r="I775" s="88"/>
      <c r="J775" s="89"/>
      <c r="K775" s="89"/>
      <c r="L775" s="89"/>
      <c r="M775" s="89"/>
      <c r="N775" s="90"/>
      <c r="O775" s="87"/>
    </row>
    <row r="776" spans="1:15" ht="22.5" customHeight="1">
      <c r="A776" s="108"/>
      <c r="B776" s="85"/>
      <c r="C776" s="85"/>
      <c r="D776" s="86"/>
      <c r="E776" s="87"/>
      <c r="F776" s="85"/>
      <c r="G776" s="88"/>
      <c r="H776" s="88"/>
      <c r="I776" s="88"/>
      <c r="J776" s="89"/>
      <c r="K776" s="89"/>
      <c r="L776" s="89"/>
      <c r="M776" s="89"/>
      <c r="N776" s="90"/>
      <c r="O776" s="87"/>
    </row>
    <row r="777" spans="1:15" ht="22.5" customHeight="1">
      <c r="A777" s="108"/>
      <c r="B777" s="85"/>
      <c r="C777" s="85"/>
      <c r="D777" s="86"/>
      <c r="E777" s="87"/>
      <c r="F777" s="85"/>
      <c r="G777" s="88"/>
      <c r="H777" s="88"/>
      <c r="I777" s="88"/>
      <c r="J777" s="89"/>
      <c r="K777" s="89"/>
      <c r="L777" s="89"/>
      <c r="M777" s="89"/>
      <c r="N777" s="90"/>
      <c r="O777" s="87"/>
    </row>
    <row r="778" spans="1:15" ht="22.5" customHeight="1">
      <c r="A778" s="108"/>
      <c r="B778" s="85"/>
      <c r="C778" s="85"/>
      <c r="D778" s="86"/>
      <c r="E778" s="87"/>
      <c r="F778" s="85"/>
      <c r="G778" s="88"/>
      <c r="H778" s="88"/>
      <c r="I778" s="88"/>
      <c r="J778" s="89"/>
      <c r="K778" s="89"/>
      <c r="L778" s="89"/>
      <c r="M778" s="89"/>
      <c r="N778" s="90"/>
      <c r="O778" s="87"/>
    </row>
    <row r="779" spans="1:15" ht="22.5" customHeight="1">
      <c r="A779" s="108"/>
      <c r="B779" s="85"/>
      <c r="C779" s="85"/>
      <c r="D779" s="86"/>
      <c r="E779" s="87"/>
      <c r="F779" s="85"/>
      <c r="G779" s="88"/>
      <c r="H779" s="88"/>
      <c r="I779" s="88"/>
      <c r="J779" s="89"/>
      <c r="K779" s="89"/>
      <c r="L779" s="89"/>
      <c r="M779" s="89"/>
      <c r="N779" s="90"/>
      <c r="O779" s="87"/>
    </row>
    <row r="780" spans="1:15" ht="22.5" customHeight="1">
      <c r="A780" s="108"/>
      <c r="B780" s="85"/>
      <c r="C780" s="85"/>
      <c r="D780" s="86"/>
      <c r="E780" s="87"/>
      <c r="F780" s="85"/>
      <c r="G780" s="88"/>
      <c r="H780" s="88"/>
      <c r="I780" s="88"/>
      <c r="J780" s="89"/>
      <c r="K780" s="89"/>
      <c r="L780" s="89"/>
      <c r="M780" s="89"/>
      <c r="N780" s="90"/>
      <c r="O780" s="87"/>
    </row>
    <row r="781" spans="1:15" ht="22.5" customHeight="1">
      <c r="A781" s="108"/>
      <c r="B781" s="85"/>
      <c r="C781" s="85"/>
      <c r="D781" s="86"/>
      <c r="E781" s="87"/>
      <c r="F781" s="85"/>
      <c r="G781" s="88"/>
      <c r="H781" s="88"/>
      <c r="I781" s="88"/>
      <c r="J781" s="89"/>
      <c r="K781" s="89"/>
      <c r="L781" s="89"/>
      <c r="M781" s="89"/>
      <c r="N781" s="90"/>
      <c r="O781" s="87"/>
    </row>
    <row r="782" spans="1:15" ht="22.5" customHeight="1">
      <c r="A782" s="108"/>
      <c r="B782" s="85"/>
      <c r="C782" s="85"/>
      <c r="D782" s="86"/>
      <c r="E782" s="87"/>
      <c r="F782" s="85"/>
      <c r="G782" s="88"/>
      <c r="H782" s="88"/>
      <c r="I782" s="88"/>
      <c r="J782" s="89"/>
      <c r="K782" s="89"/>
      <c r="L782" s="89"/>
      <c r="M782" s="89"/>
      <c r="N782" s="90"/>
      <c r="O782" s="87"/>
    </row>
    <row r="783" spans="1:15" ht="22.5" customHeight="1">
      <c r="A783" s="108"/>
      <c r="B783" s="85"/>
      <c r="C783" s="85"/>
      <c r="D783" s="86"/>
      <c r="E783" s="87"/>
      <c r="F783" s="85"/>
      <c r="G783" s="88"/>
      <c r="H783" s="88"/>
      <c r="I783" s="88"/>
      <c r="J783" s="89"/>
      <c r="K783" s="89"/>
      <c r="L783" s="89"/>
      <c r="M783" s="89"/>
      <c r="N783" s="90"/>
      <c r="O783" s="87"/>
    </row>
    <row r="784" spans="1:15" ht="22.5" customHeight="1">
      <c r="A784" s="108"/>
      <c r="B784" s="85"/>
      <c r="C784" s="85"/>
      <c r="D784" s="86"/>
      <c r="E784" s="87"/>
      <c r="F784" s="85"/>
      <c r="G784" s="88"/>
      <c r="H784" s="88"/>
      <c r="I784" s="88"/>
      <c r="J784" s="89"/>
      <c r="K784" s="89"/>
      <c r="L784" s="89"/>
      <c r="M784" s="89"/>
      <c r="N784" s="90"/>
      <c r="O784" s="87"/>
    </row>
    <row r="785" spans="1:15" ht="22.5" customHeight="1">
      <c r="A785" s="108"/>
      <c r="B785" s="85"/>
      <c r="C785" s="85"/>
      <c r="D785" s="86"/>
      <c r="E785" s="87"/>
      <c r="F785" s="85"/>
      <c r="G785" s="88"/>
      <c r="H785" s="88"/>
      <c r="I785" s="88"/>
      <c r="J785" s="89"/>
      <c r="K785" s="89"/>
      <c r="L785" s="89"/>
      <c r="M785" s="89"/>
      <c r="N785" s="90"/>
      <c r="O785" s="87"/>
    </row>
    <row r="786" spans="1:15" ht="22.5" customHeight="1">
      <c r="A786" s="108"/>
      <c r="B786" s="85"/>
      <c r="C786" s="85"/>
      <c r="D786" s="86"/>
      <c r="E786" s="87"/>
      <c r="F786" s="85"/>
      <c r="G786" s="88"/>
      <c r="H786" s="88"/>
      <c r="I786" s="88"/>
      <c r="J786" s="89"/>
      <c r="K786" s="89"/>
      <c r="L786" s="89"/>
      <c r="M786" s="89"/>
      <c r="N786" s="90"/>
      <c r="O786" s="87"/>
    </row>
    <row r="787" spans="1:15" ht="22.5" customHeight="1">
      <c r="A787" s="108"/>
      <c r="B787" s="85"/>
      <c r="C787" s="85"/>
      <c r="D787" s="86"/>
      <c r="E787" s="87"/>
      <c r="F787" s="85"/>
      <c r="G787" s="88"/>
      <c r="H787" s="88"/>
      <c r="I787" s="88"/>
      <c r="J787" s="89"/>
      <c r="K787" s="89"/>
      <c r="L787" s="89"/>
      <c r="M787" s="89"/>
      <c r="N787" s="90"/>
      <c r="O787" s="87"/>
    </row>
    <row r="788" spans="1:15" ht="22.5" customHeight="1">
      <c r="A788" s="108"/>
      <c r="B788" s="85"/>
      <c r="C788" s="85"/>
      <c r="D788" s="86"/>
      <c r="E788" s="87"/>
      <c r="F788" s="85"/>
      <c r="G788" s="88"/>
      <c r="H788" s="88"/>
      <c r="I788" s="88"/>
      <c r="J788" s="89"/>
      <c r="K788" s="89"/>
      <c r="L788" s="89"/>
      <c r="M788" s="89"/>
      <c r="N788" s="90"/>
      <c r="O788" s="87"/>
    </row>
    <row r="789" spans="1:15" ht="22.5" customHeight="1">
      <c r="A789" s="108"/>
      <c r="B789" s="85"/>
      <c r="C789" s="85"/>
      <c r="D789" s="86"/>
      <c r="E789" s="87"/>
      <c r="F789" s="85"/>
      <c r="G789" s="88"/>
      <c r="H789" s="88"/>
      <c r="I789" s="88"/>
      <c r="J789" s="89"/>
      <c r="K789" s="89"/>
      <c r="L789" s="89"/>
      <c r="M789" s="89"/>
      <c r="N789" s="90"/>
      <c r="O789" s="87"/>
    </row>
    <row r="790" spans="1:15" ht="22.5" customHeight="1">
      <c r="A790" s="108"/>
      <c r="B790" s="85"/>
      <c r="C790" s="85"/>
      <c r="D790" s="86"/>
      <c r="E790" s="87"/>
      <c r="F790" s="85"/>
      <c r="G790" s="88"/>
      <c r="H790" s="88"/>
      <c r="I790" s="88"/>
      <c r="J790" s="89"/>
      <c r="K790" s="89"/>
      <c r="L790" s="89"/>
      <c r="M790" s="89"/>
      <c r="N790" s="90"/>
      <c r="O790" s="87"/>
    </row>
    <row r="791" spans="1:15" ht="22.5" customHeight="1">
      <c r="A791" s="108"/>
      <c r="B791" s="85"/>
      <c r="C791" s="85"/>
      <c r="D791" s="86"/>
      <c r="E791" s="87"/>
      <c r="F791" s="85"/>
      <c r="G791" s="88"/>
      <c r="H791" s="88"/>
      <c r="I791" s="88"/>
      <c r="J791" s="89"/>
      <c r="K791" s="89"/>
      <c r="L791" s="89"/>
      <c r="M791" s="89"/>
      <c r="N791" s="90"/>
      <c r="O791" s="87"/>
    </row>
    <row r="792" spans="1:15" ht="22.5" customHeight="1">
      <c r="A792" s="108"/>
      <c r="B792" s="85"/>
      <c r="C792" s="85"/>
      <c r="D792" s="86"/>
      <c r="E792" s="87"/>
      <c r="F792" s="85"/>
      <c r="G792" s="88"/>
      <c r="H792" s="88"/>
      <c r="I792" s="88"/>
      <c r="J792" s="89"/>
      <c r="K792" s="89"/>
      <c r="L792" s="89"/>
      <c r="M792" s="89"/>
      <c r="N792" s="90"/>
      <c r="O792" s="87"/>
    </row>
    <row r="793" spans="1:15" ht="22.5" customHeight="1">
      <c r="A793" s="108"/>
      <c r="B793" s="85"/>
      <c r="C793" s="85"/>
      <c r="D793" s="86"/>
      <c r="E793" s="87"/>
      <c r="F793" s="85"/>
      <c r="G793" s="88"/>
      <c r="H793" s="88"/>
      <c r="I793" s="88"/>
      <c r="J793" s="89"/>
      <c r="K793" s="89"/>
      <c r="L793" s="89"/>
      <c r="M793" s="89"/>
      <c r="N793" s="90"/>
      <c r="O793" s="87"/>
    </row>
    <row r="794" spans="1:15" ht="22.5" customHeight="1">
      <c r="A794" s="108"/>
      <c r="B794" s="85"/>
      <c r="C794" s="85"/>
      <c r="D794" s="86"/>
      <c r="E794" s="87"/>
      <c r="F794" s="85"/>
      <c r="G794" s="88"/>
      <c r="H794" s="88"/>
      <c r="I794" s="88"/>
      <c r="J794" s="89"/>
      <c r="K794" s="89"/>
      <c r="L794" s="89"/>
      <c r="M794" s="89"/>
      <c r="N794" s="90"/>
      <c r="O794" s="87"/>
    </row>
    <row r="795" spans="1:15" ht="22.5" customHeight="1">
      <c r="A795" s="108"/>
      <c r="B795" s="85"/>
      <c r="C795" s="85"/>
      <c r="D795" s="86"/>
      <c r="E795" s="87"/>
      <c r="F795" s="85"/>
      <c r="G795" s="88"/>
      <c r="H795" s="88"/>
      <c r="I795" s="88"/>
      <c r="J795" s="89"/>
      <c r="K795" s="89"/>
      <c r="L795" s="89"/>
      <c r="M795" s="89"/>
      <c r="N795" s="90"/>
      <c r="O795" s="87"/>
    </row>
    <row r="796" spans="1:15" ht="22.5" customHeight="1">
      <c r="A796" s="108"/>
      <c r="B796" s="85"/>
      <c r="C796" s="85"/>
      <c r="D796" s="86"/>
      <c r="E796" s="87"/>
      <c r="F796" s="85"/>
      <c r="G796" s="88"/>
      <c r="H796" s="88"/>
      <c r="I796" s="88"/>
      <c r="J796" s="89"/>
      <c r="K796" s="89"/>
      <c r="L796" s="89"/>
      <c r="M796" s="89"/>
      <c r="N796" s="90"/>
      <c r="O796" s="87"/>
    </row>
    <row r="797" spans="1:15" ht="22.5" customHeight="1">
      <c r="A797" s="108"/>
      <c r="B797" s="85"/>
      <c r="C797" s="85"/>
      <c r="D797" s="86"/>
      <c r="E797" s="87"/>
      <c r="F797" s="85"/>
      <c r="G797" s="88"/>
      <c r="H797" s="88"/>
      <c r="I797" s="88"/>
      <c r="J797" s="89"/>
      <c r="K797" s="89"/>
      <c r="L797" s="89"/>
      <c r="M797" s="89"/>
      <c r="N797" s="90"/>
      <c r="O797" s="87"/>
    </row>
    <row r="798" spans="1:15" ht="22.5" customHeight="1">
      <c r="A798" s="108"/>
      <c r="B798" s="85"/>
      <c r="C798" s="85"/>
      <c r="D798" s="86"/>
      <c r="E798" s="87"/>
      <c r="F798" s="85"/>
      <c r="G798" s="88"/>
      <c r="H798" s="88"/>
      <c r="I798" s="88"/>
      <c r="J798" s="89"/>
      <c r="K798" s="89"/>
      <c r="L798" s="89"/>
      <c r="M798" s="89"/>
      <c r="N798" s="90"/>
      <c r="O798" s="87"/>
    </row>
    <row r="799" spans="1:15" ht="22.5" customHeight="1">
      <c r="A799" s="108"/>
      <c r="B799" s="85"/>
      <c r="C799" s="85"/>
      <c r="D799" s="86"/>
      <c r="E799" s="87"/>
      <c r="F799" s="85"/>
      <c r="G799" s="88"/>
      <c r="H799" s="88"/>
      <c r="I799" s="88"/>
      <c r="J799" s="89"/>
      <c r="K799" s="89"/>
      <c r="L799" s="89"/>
      <c r="M799" s="89"/>
      <c r="N799" s="90"/>
      <c r="O799" s="87"/>
    </row>
    <row r="800" spans="1:15" ht="22.5" customHeight="1">
      <c r="A800" s="108"/>
      <c r="B800" s="85"/>
      <c r="C800" s="85"/>
      <c r="D800" s="86"/>
      <c r="E800" s="87"/>
      <c r="F800" s="85"/>
      <c r="G800" s="88"/>
      <c r="H800" s="88"/>
      <c r="I800" s="88"/>
      <c r="J800" s="89"/>
      <c r="K800" s="89"/>
      <c r="L800" s="89"/>
      <c r="M800" s="89"/>
      <c r="N800" s="90"/>
      <c r="O800" s="87"/>
    </row>
    <row r="801" spans="1:15" ht="22.5" customHeight="1">
      <c r="A801" s="108"/>
      <c r="B801" s="85"/>
      <c r="C801" s="85"/>
      <c r="D801" s="86"/>
      <c r="E801" s="87"/>
      <c r="F801" s="85"/>
      <c r="G801" s="88"/>
      <c r="H801" s="88"/>
      <c r="I801" s="88"/>
      <c r="J801" s="89"/>
      <c r="K801" s="89"/>
      <c r="L801" s="89"/>
      <c r="M801" s="89"/>
      <c r="N801" s="90"/>
      <c r="O801" s="87"/>
    </row>
    <row r="802" spans="1:15" ht="22.5" customHeight="1">
      <c r="A802" s="108"/>
      <c r="B802" s="85"/>
      <c r="C802" s="85"/>
      <c r="D802" s="86"/>
      <c r="E802" s="87"/>
      <c r="F802" s="85"/>
      <c r="G802" s="88"/>
      <c r="H802" s="88"/>
      <c r="I802" s="88"/>
      <c r="J802" s="89"/>
      <c r="K802" s="89"/>
      <c r="L802" s="89"/>
      <c r="M802" s="89"/>
      <c r="N802" s="90"/>
      <c r="O802" s="87"/>
    </row>
    <row r="803" spans="1:15" ht="22.5" customHeight="1">
      <c r="A803" s="108"/>
      <c r="B803" s="85"/>
      <c r="C803" s="85"/>
      <c r="D803" s="86"/>
      <c r="E803" s="87"/>
      <c r="F803" s="85"/>
      <c r="G803" s="88"/>
      <c r="H803" s="88"/>
      <c r="I803" s="88"/>
      <c r="J803" s="89"/>
      <c r="K803" s="89"/>
      <c r="L803" s="89"/>
      <c r="M803" s="89"/>
      <c r="N803" s="90"/>
      <c r="O803" s="87"/>
    </row>
    <row r="804" spans="1:15" ht="22.5" customHeight="1">
      <c r="A804" s="108"/>
      <c r="B804" s="85"/>
      <c r="C804" s="85"/>
      <c r="D804" s="86"/>
      <c r="E804" s="87"/>
      <c r="F804" s="85"/>
      <c r="G804" s="88"/>
      <c r="H804" s="88"/>
      <c r="I804" s="88"/>
      <c r="J804" s="89"/>
      <c r="K804" s="89"/>
      <c r="L804" s="89"/>
      <c r="M804" s="89"/>
      <c r="N804" s="90"/>
      <c r="O804" s="87"/>
    </row>
    <row r="805" spans="1:15" ht="22.5" customHeight="1">
      <c r="A805" s="108"/>
      <c r="B805" s="85"/>
      <c r="C805" s="85"/>
      <c r="D805" s="86"/>
      <c r="E805" s="87"/>
      <c r="F805" s="85"/>
      <c r="G805" s="88"/>
      <c r="H805" s="88"/>
      <c r="I805" s="88"/>
      <c r="J805" s="89"/>
      <c r="K805" s="89"/>
      <c r="L805" s="89"/>
      <c r="M805" s="89"/>
      <c r="N805" s="90"/>
      <c r="O805" s="87"/>
    </row>
    <row r="806" spans="1:15" ht="22.5" customHeight="1">
      <c r="A806" s="108"/>
      <c r="B806" s="85"/>
      <c r="C806" s="85"/>
      <c r="D806" s="86"/>
      <c r="E806" s="87"/>
      <c r="F806" s="85"/>
      <c r="G806" s="88"/>
      <c r="H806" s="88"/>
      <c r="I806" s="88"/>
      <c r="J806" s="89"/>
      <c r="K806" s="89"/>
      <c r="L806" s="89"/>
      <c r="M806" s="89"/>
      <c r="N806" s="90"/>
      <c r="O806" s="87"/>
    </row>
    <row r="807" spans="1:15" ht="22.5" customHeight="1">
      <c r="A807" s="108"/>
      <c r="B807" s="85"/>
      <c r="C807" s="85"/>
      <c r="D807" s="86"/>
      <c r="E807" s="87"/>
      <c r="F807" s="85"/>
      <c r="G807" s="88"/>
      <c r="H807" s="88"/>
      <c r="I807" s="88"/>
      <c r="J807" s="89"/>
      <c r="K807" s="89"/>
      <c r="L807" s="89"/>
      <c r="M807" s="89"/>
      <c r="N807" s="90"/>
      <c r="O807" s="87"/>
    </row>
    <row r="808" spans="1:15" ht="22.5" customHeight="1">
      <c r="A808" s="108"/>
      <c r="B808" s="85"/>
      <c r="C808" s="85"/>
      <c r="D808" s="86"/>
      <c r="E808" s="87"/>
      <c r="F808" s="85"/>
      <c r="G808" s="88"/>
      <c r="H808" s="88"/>
      <c r="I808" s="88"/>
      <c r="J808" s="89"/>
      <c r="K808" s="89"/>
      <c r="L808" s="89"/>
      <c r="M808" s="89"/>
      <c r="N808" s="90"/>
      <c r="O808" s="87"/>
    </row>
    <row r="809" spans="1:15" ht="22.5" customHeight="1">
      <c r="A809" s="108"/>
      <c r="B809" s="85"/>
      <c r="C809" s="85"/>
      <c r="D809" s="86"/>
      <c r="E809" s="87"/>
      <c r="F809" s="85"/>
      <c r="G809" s="88"/>
      <c r="H809" s="88"/>
      <c r="I809" s="88"/>
      <c r="J809" s="89"/>
      <c r="K809" s="89"/>
      <c r="L809" s="89"/>
      <c r="M809" s="89"/>
      <c r="N809" s="90"/>
      <c r="O809" s="87"/>
    </row>
    <row r="810" spans="1:15" ht="22.5" customHeight="1">
      <c r="A810" s="108"/>
      <c r="B810" s="85"/>
      <c r="C810" s="85"/>
      <c r="D810" s="86"/>
      <c r="E810" s="87"/>
      <c r="F810" s="85"/>
      <c r="G810" s="88"/>
      <c r="H810" s="88"/>
      <c r="I810" s="88"/>
      <c r="J810" s="89"/>
      <c r="K810" s="89"/>
      <c r="L810" s="89"/>
      <c r="M810" s="89"/>
      <c r="N810" s="90"/>
      <c r="O810" s="87"/>
    </row>
    <row r="811" spans="1:15" ht="22.5" customHeight="1">
      <c r="A811" s="108"/>
      <c r="B811" s="85"/>
      <c r="C811" s="85"/>
      <c r="D811" s="86"/>
      <c r="E811" s="87"/>
      <c r="F811" s="85"/>
      <c r="G811" s="88"/>
      <c r="H811" s="88"/>
      <c r="I811" s="88"/>
      <c r="J811" s="89"/>
      <c r="K811" s="89"/>
      <c r="L811" s="89"/>
      <c r="M811" s="89"/>
      <c r="N811" s="90"/>
      <c r="O811" s="87"/>
    </row>
    <row r="812" spans="1:15" ht="22.5" customHeight="1">
      <c r="A812" s="108"/>
      <c r="B812" s="85"/>
      <c r="C812" s="85"/>
      <c r="D812" s="86"/>
      <c r="E812" s="87"/>
      <c r="F812" s="85"/>
      <c r="G812" s="88"/>
      <c r="H812" s="88"/>
      <c r="I812" s="88"/>
      <c r="J812" s="89"/>
      <c r="K812" s="89"/>
      <c r="L812" s="89"/>
      <c r="M812" s="89"/>
      <c r="N812" s="90"/>
      <c r="O812" s="87"/>
    </row>
    <row r="813" spans="1:15" ht="22.5" customHeight="1">
      <c r="A813" s="108"/>
      <c r="B813" s="85"/>
      <c r="C813" s="85"/>
      <c r="D813" s="86"/>
      <c r="E813" s="87"/>
      <c r="F813" s="85"/>
      <c r="G813" s="88"/>
      <c r="H813" s="88"/>
      <c r="I813" s="88"/>
      <c r="J813" s="89"/>
      <c r="K813" s="89"/>
      <c r="L813" s="89"/>
      <c r="M813" s="89"/>
      <c r="N813" s="90"/>
      <c r="O813" s="87"/>
    </row>
    <row r="814" spans="1:15" ht="22.5" customHeight="1">
      <c r="A814" s="108"/>
      <c r="B814" s="85"/>
      <c r="C814" s="85"/>
      <c r="D814" s="86"/>
      <c r="E814" s="87"/>
      <c r="F814" s="85"/>
      <c r="G814" s="88"/>
      <c r="H814" s="88"/>
      <c r="I814" s="88"/>
      <c r="J814" s="89"/>
      <c r="K814" s="89"/>
      <c r="L814" s="89"/>
      <c r="M814" s="89"/>
      <c r="N814" s="90"/>
      <c r="O814" s="87"/>
    </row>
    <row r="815" spans="1:15" ht="22.5" customHeight="1">
      <c r="A815" s="108"/>
      <c r="B815" s="85"/>
      <c r="C815" s="85"/>
      <c r="D815" s="86"/>
      <c r="E815" s="87"/>
      <c r="F815" s="85"/>
      <c r="G815" s="88"/>
      <c r="H815" s="88"/>
      <c r="I815" s="88"/>
      <c r="J815" s="89"/>
      <c r="K815" s="89"/>
      <c r="L815" s="89"/>
      <c r="M815" s="89"/>
      <c r="N815" s="90"/>
      <c r="O815" s="87"/>
    </row>
    <row r="816" spans="1:15" ht="22.5" customHeight="1">
      <c r="A816" s="108"/>
      <c r="B816" s="85"/>
      <c r="C816" s="85"/>
      <c r="D816" s="86"/>
      <c r="E816" s="87"/>
      <c r="F816" s="85"/>
      <c r="G816" s="88"/>
      <c r="H816" s="88"/>
      <c r="I816" s="88"/>
      <c r="J816" s="89"/>
      <c r="K816" s="89"/>
      <c r="L816" s="89"/>
      <c r="M816" s="89"/>
      <c r="N816" s="90"/>
      <c r="O816" s="87"/>
    </row>
    <row r="817" spans="1:15" ht="22.5" customHeight="1">
      <c r="A817" s="108"/>
      <c r="B817" s="85"/>
      <c r="C817" s="85"/>
      <c r="D817" s="86"/>
      <c r="E817" s="87"/>
      <c r="F817" s="85"/>
      <c r="G817" s="88"/>
      <c r="H817" s="88"/>
      <c r="I817" s="88"/>
      <c r="J817" s="89"/>
      <c r="K817" s="89"/>
      <c r="L817" s="89"/>
      <c r="M817" s="89"/>
      <c r="N817" s="90"/>
      <c r="O817" s="87"/>
    </row>
    <row r="818" spans="1:15" ht="22.5" customHeight="1">
      <c r="A818" s="108"/>
      <c r="B818" s="85"/>
      <c r="C818" s="85"/>
      <c r="D818" s="86"/>
      <c r="E818" s="87"/>
      <c r="F818" s="85"/>
      <c r="G818" s="88"/>
      <c r="H818" s="88"/>
      <c r="I818" s="88"/>
      <c r="J818" s="89"/>
      <c r="K818" s="89"/>
      <c r="L818" s="89"/>
      <c r="M818" s="89"/>
      <c r="N818" s="90"/>
      <c r="O818" s="87"/>
    </row>
    <row r="819" spans="1:15" ht="22.5" customHeight="1">
      <c r="A819" s="108"/>
      <c r="B819" s="85"/>
      <c r="C819" s="85"/>
      <c r="D819" s="86"/>
      <c r="E819" s="87"/>
      <c r="F819" s="85"/>
      <c r="G819" s="88"/>
      <c r="H819" s="88"/>
      <c r="I819" s="88"/>
      <c r="J819" s="89"/>
      <c r="K819" s="89"/>
      <c r="L819" s="89"/>
      <c r="M819" s="89"/>
      <c r="N819" s="90"/>
      <c r="O819" s="87"/>
    </row>
    <row r="820" spans="1:15" ht="22.5" customHeight="1">
      <c r="A820" s="108"/>
      <c r="B820" s="85"/>
      <c r="C820" s="85"/>
      <c r="D820" s="86"/>
      <c r="E820" s="87"/>
      <c r="F820" s="85"/>
      <c r="G820" s="88"/>
      <c r="H820" s="88"/>
      <c r="I820" s="88"/>
      <c r="J820" s="89"/>
      <c r="K820" s="89"/>
      <c r="L820" s="89"/>
      <c r="M820" s="89"/>
      <c r="N820" s="90"/>
      <c r="O820" s="87"/>
    </row>
    <row r="821" spans="1:15" ht="22.5" customHeight="1">
      <c r="A821" s="108"/>
      <c r="B821" s="85"/>
      <c r="C821" s="85"/>
      <c r="D821" s="86"/>
      <c r="E821" s="87"/>
      <c r="F821" s="85"/>
      <c r="G821" s="88"/>
      <c r="H821" s="88"/>
      <c r="I821" s="88"/>
      <c r="J821" s="89"/>
      <c r="K821" s="89"/>
      <c r="L821" s="89"/>
      <c r="M821" s="89"/>
      <c r="N821" s="90"/>
      <c r="O821" s="87"/>
    </row>
    <row r="822" spans="1:15" ht="22.5" customHeight="1">
      <c r="A822" s="108"/>
      <c r="B822" s="85"/>
      <c r="C822" s="85"/>
      <c r="D822" s="86"/>
      <c r="E822" s="87"/>
      <c r="F822" s="85"/>
      <c r="G822" s="88"/>
      <c r="H822" s="88"/>
      <c r="I822" s="88"/>
      <c r="J822" s="89"/>
      <c r="K822" s="89"/>
      <c r="L822" s="89"/>
      <c r="M822" s="89"/>
      <c r="N822" s="90"/>
      <c r="O822" s="87"/>
    </row>
    <row r="823" spans="1:15" ht="22.5" customHeight="1">
      <c r="A823" s="108"/>
      <c r="B823" s="85"/>
      <c r="C823" s="85"/>
      <c r="D823" s="86"/>
      <c r="E823" s="87"/>
      <c r="F823" s="85"/>
      <c r="G823" s="88"/>
      <c r="H823" s="88"/>
      <c r="I823" s="88"/>
      <c r="J823" s="89"/>
      <c r="K823" s="89"/>
      <c r="L823" s="89"/>
      <c r="M823" s="89"/>
      <c r="N823" s="90"/>
      <c r="O823" s="87"/>
    </row>
    <row r="824" spans="1:15" ht="22.5" customHeight="1">
      <c r="A824" s="108"/>
      <c r="B824" s="85"/>
      <c r="C824" s="85"/>
      <c r="D824" s="86"/>
      <c r="E824" s="87"/>
      <c r="F824" s="85"/>
      <c r="G824" s="88"/>
      <c r="H824" s="88"/>
      <c r="I824" s="88"/>
      <c r="J824" s="89"/>
      <c r="K824" s="89"/>
      <c r="L824" s="89"/>
      <c r="M824" s="89"/>
      <c r="N824" s="90"/>
      <c r="O824" s="87"/>
    </row>
    <row r="825" spans="1:15" ht="22.5" customHeight="1">
      <c r="A825" s="108"/>
      <c r="B825" s="85"/>
      <c r="C825" s="85"/>
      <c r="D825" s="86"/>
      <c r="E825" s="87"/>
      <c r="F825" s="85"/>
      <c r="G825" s="88"/>
      <c r="H825" s="88"/>
      <c r="I825" s="88"/>
      <c r="J825" s="89"/>
      <c r="K825" s="89"/>
      <c r="L825" s="89"/>
      <c r="M825" s="89"/>
      <c r="N825" s="90"/>
      <c r="O825" s="87"/>
    </row>
    <row r="826" spans="1:15" ht="22.5" customHeight="1">
      <c r="A826" s="108"/>
      <c r="B826" s="85"/>
      <c r="C826" s="85"/>
      <c r="D826" s="86"/>
      <c r="E826" s="87"/>
      <c r="F826" s="85"/>
      <c r="G826" s="88"/>
      <c r="H826" s="88"/>
      <c r="I826" s="88"/>
      <c r="J826" s="89"/>
      <c r="K826" s="89"/>
      <c r="L826" s="89"/>
      <c r="M826" s="89"/>
      <c r="N826" s="90"/>
      <c r="O826" s="87"/>
    </row>
    <row r="827" spans="1:15" ht="22.5" customHeight="1">
      <c r="A827" s="108"/>
      <c r="B827" s="85"/>
      <c r="C827" s="85"/>
      <c r="D827" s="86"/>
      <c r="E827" s="87"/>
      <c r="F827" s="85"/>
      <c r="G827" s="88"/>
      <c r="H827" s="88"/>
      <c r="I827" s="88"/>
      <c r="J827" s="89"/>
      <c r="K827" s="89"/>
      <c r="L827" s="89"/>
      <c r="M827" s="89"/>
      <c r="N827" s="90"/>
      <c r="O827" s="87"/>
    </row>
    <row r="828" spans="1:15" ht="22.5" customHeight="1">
      <c r="A828" s="108"/>
      <c r="B828" s="85"/>
      <c r="C828" s="85"/>
      <c r="D828" s="86"/>
      <c r="E828" s="87"/>
      <c r="F828" s="85"/>
      <c r="G828" s="88"/>
      <c r="H828" s="88"/>
      <c r="I828" s="88"/>
      <c r="J828" s="89"/>
      <c r="K828" s="89"/>
      <c r="L828" s="89"/>
      <c r="M828" s="89"/>
      <c r="N828" s="90"/>
      <c r="O828" s="87"/>
    </row>
    <row r="829" spans="1:15" ht="22.5" customHeight="1">
      <c r="A829" s="108"/>
      <c r="B829" s="85"/>
      <c r="C829" s="85"/>
      <c r="D829" s="86"/>
      <c r="E829" s="87"/>
      <c r="F829" s="85"/>
      <c r="G829" s="88"/>
      <c r="H829" s="88"/>
      <c r="I829" s="88"/>
      <c r="J829" s="89"/>
      <c r="K829" s="89"/>
      <c r="L829" s="89"/>
      <c r="M829" s="89"/>
      <c r="N829" s="90"/>
      <c r="O829" s="87"/>
    </row>
    <row r="830" spans="1:15" ht="22.5" customHeight="1">
      <c r="A830" s="108"/>
      <c r="B830" s="85"/>
      <c r="C830" s="85"/>
      <c r="D830" s="86"/>
      <c r="E830" s="87"/>
      <c r="F830" s="85"/>
      <c r="G830" s="88"/>
      <c r="H830" s="88"/>
      <c r="I830" s="88"/>
      <c r="J830" s="89"/>
      <c r="K830" s="89"/>
      <c r="L830" s="89"/>
      <c r="M830" s="89"/>
      <c r="N830" s="90"/>
      <c r="O830" s="87"/>
    </row>
    <row r="831" spans="1:15" ht="22.5" customHeight="1">
      <c r="A831" s="108"/>
      <c r="B831" s="85"/>
      <c r="C831" s="85"/>
      <c r="D831" s="86"/>
      <c r="E831" s="87"/>
      <c r="F831" s="85"/>
      <c r="G831" s="88"/>
      <c r="H831" s="88"/>
      <c r="I831" s="88"/>
      <c r="J831" s="89"/>
      <c r="K831" s="89"/>
      <c r="L831" s="89"/>
      <c r="M831" s="89"/>
      <c r="N831" s="90"/>
      <c r="O831" s="87"/>
    </row>
    <row r="832" spans="1:15" ht="22.5" customHeight="1">
      <c r="A832" s="108"/>
      <c r="B832" s="85"/>
      <c r="C832" s="85"/>
      <c r="D832" s="86"/>
      <c r="E832" s="87"/>
      <c r="F832" s="85"/>
      <c r="G832" s="88"/>
      <c r="H832" s="88"/>
      <c r="I832" s="88"/>
      <c r="J832" s="89"/>
      <c r="K832" s="89"/>
      <c r="L832" s="89"/>
      <c r="M832" s="89"/>
      <c r="N832" s="90"/>
      <c r="O832" s="87"/>
    </row>
    <row r="833" spans="1:15" ht="22.5" customHeight="1">
      <c r="A833" s="108"/>
      <c r="B833" s="85"/>
      <c r="C833" s="85"/>
      <c r="D833" s="86"/>
      <c r="E833" s="87"/>
      <c r="F833" s="85"/>
      <c r="G833" s="88"/>
      <c r="H833" s="88"/>
      <c r="I833" s="88"/>
      <c r="J833" s="89"/>
      <c r="K833" s="89"/>
      <c r="L833" s="89"/>
      <c r="M833" s="89"/>
      <c r="N833" s="90"/>
      <c r="O833" s="87"/>
    </row>
    <row r="834" spans="1:15" ht="22.5" customHeight="1">
      <c r="A834" s="108"/>
      <c r="B834" s="85"/>
      <c r="C834" s="85"/>
      <c r="D834" s="86"/>
      <c r="E834" s="87"/>
      <c r="F834" s="85"/>
      <c r="G834" s="88"/>
      <c r="H834" s="88"/>
      <c r="I834" s="88"/>
      <c r="J834" s="89"/>
      <c r="K834" s="89"/>
      <c r="L834" s="89"/>
      <c r="M834" s="89"/>
      <c r="N834" s="90"/>
      <c r="O834" s="87"/>
    </row>
    <row r="835" spans="1:15" ht="22.5" customHeight="1">
      <c r="A835" s="108"/>
      <c r="B835" s="85"/>
      <c r="C835" s="85"/>
      <c r="D835" s="86"/>
      <c r="E835" s="87"/>
      <c r="F835" s="85"/>
      <c r="G835" s="88"/>
      <c r="H835" s="88"/>
      <c r="I835" s="88"/>
      <c r="J835" s="89"/>
      <c r="K835" s="89"/>
      <c r="L835" s="89"/>
      <c r="M835" s="89"/>
      <c r="N835" s="90"/>
      <c r="O835" s="87"/>
    </row>
    <row r="836" spans="1:15" ht="22.5" customHeight="1">
      <c r="A836" s="108"/>
      <c r="B836" s="85"/>
      <c r="C836" s="85"/>
      <c r="D836" s="86"/>
      <c r="E836" s="87"/>
      <c r="F836" s="85"/>
      <c r="G836" s="88"/>
      <c r="H836" s="88"/>
      <c r="I836" s="88"/>
      <c r="J836" s="89"/>
      <c r="K836" s="89"/>
      <c r="L836" s="89"/>
      <c r="M836" s="89"/>
      <c r="N836" s="90"/>
      <c r="O836" s="87"/>
    </row>
    <row r="837" spans="1:15" ht="22.5" customHeight="1">
      <c r="A837" s="108"/>
      <c r="B837" s="85"/>
      <c r="C837" s="85"/>
      <c r="D837" s="86"/>
      <c r="E837" s="87"/>
      <c r="F837" s="85"/>
      <c r="G837" s="88"/>
      <c r="H837" s="88"/>
      <c r="I837" s="88"/>
      <c r="J837" s="89"/>
      <c r="K837" s="89"/>
      <c r="L837" s="89"/>
      <c r="M837" s="89"/>
      <c r="N837" s="90"/>
      <c r="O837" s="87"/>
    </row>
    <row r="838" spans="1:15" ht="22.5" customHeight="1">
      <c r="A838" s="108"/>
      <c r="B838" s="85"/>
      <c r="C838" s="85"/>
      <c r="D838" s="86"/>
      <c r="E838" s="87"/>
      <c r="F838" s="85"/>
      <c r="G838" s="88"/>
      <c r="H838" s="88"/>
      <c r="I838" s="88"/>
      <c r="J838" s="89"/>
      <c r="K838" s="89"/>
      <c r="L838" s="89"/>
      <c r="M838" s="89"/>
      <c r="N838" s="90"/>
      <c r="O838" s="87"/>
    </row>
    <row r="839" spans="1:15" ht="22.5" customHeight="1">
      <c r="A839" s="108"/>
      <c r="B839" s="85"/>
      <c r="C839" s="85"/>
      <c r="D839" s="86"/>
      <c r="E839" s="87"/>
      <c r="F839" s="85"/>
      <c r="G839" s="88"/>
      <c r="H839" s="88"/>
      <c r="I839" s="88"/>
      <c r="J839" s="89"/>
      <c r="K839" s="89"/>
      <c r="L839" s="89"/>
      <c r="M839" s="89"/>
      <c r="N839" s="90"/>
      <c r="O839" s="87"/>
    </row>
    <row r="840" spans="1:15" ht="22.5" customHeight="1">
      <c r="A840" s="108"/>
      <c r="B840" s="85"/>
      <c r="C840" s="85"/>
      <c r="D840" s="86"/>
      <c r="E840" s="87"/>
      <c r="F840" s="85"/>
      <c r="G840" s="88"/>
      <c r="H840" s="88"/>
      <c r="I840" s="88"/>
      <c r="J840" s="89"/>
      <c r="K840" s="89"/>
      <c r="L840" s="89"/>
      <c r="M840" s="89"/>
      <c r="N840" s="90"/>
      <c r="O840" s="87"/>
    </row>
    <row r="841" spans="1:15" ht="22.5" customHeight="1">
      <c r="A841" s="108"/>
      <c r="B841" s="85"/>
      <c r="C841" s="85"/>
      <c r="D841" s="86"/>
      <c r="E841" s="87"/>
      <c r="F841" s="85"/>
      <c r="G841" s="88"/>
      <c r="H841" s="88"/>
      <c r="I841" s="88"/>
      <c r="J841" s="89"/>
      <c r="K841" s="89"/>
      <c r="L841" s="89"/>
      <c r="M841" s="89"/>
      <c r="N841" s="90"/>
      <c r="O841" s="87"/>
    </row>
    <row r="842" spans="1:15" ht="22.5" customHeight="1">
      <c r="A842" s="108"/>
      <c r="B842" s="85"/>
      <c r="C842" s="85"/>
      <c r="D842" s="86"/>
      <c r="E842" s="87"/>
      <c r="F842" s="85"/>
      <c r="G842" s="88"/>
      <c r="H842" s="88"/>
      <c r="I842" s="88"/>
      <c r="J842" s="89"/>
      <c r="K842" s="89"/>
      <c r="L842" s="89"/>
      <c r="M842" s="89"/>
      <c r="N842" s="90"/>
      <c r="O842" s="87"/>
    </row>
    <row r="843" spans="1:15" ht="22.5" customHeight="1">
      <c r="A843" s="108"/>
      <c r="B843" s="85"/>
      <c r="C843" s="85"/>
      <c r="D843" s="86"/>
      <c r="E843" s="87"/>
      <c r="F843" s="85"/>
      <c r="G843" s="88"/>
      <c r="H843" s="88"/>
      <c r="I843" s="88"/>
      <c r="J843" s="89"/>
      <c r="K843" s="89"/>
      <c r="L843" s="89"/>
      <c r="M843" s="89"/>
      <c r="N843" s="90"/>
      <c r="O843" s="87"/>
    </row>
    <row r="844" spans="1:15" ht="22.5" customHeight="1">
      <c r="A844" s="108"/>
      <c r="B844" s="85"/>
      <c r="C844" s="85"/>
      <c r="D844" s="86"/>
      <c r="E844" s="87"/>
      <c r="F844" s="85"/>
      <c r="G844" s="88"/>
      <c r="H844" s="88"/>
      <c r="I844" s="88"/>
      <c r="J844" s="89"/>
      <c r="K844" s="89"/>
      <c r="L844" s="89"/>
      <c r="M844" s="89"/>
      <c r="N844" s="90"/>
      <c r="O844" s="87"/>
    </row>
    <row r="845" spans="1:15" ht="22.5" customHeight="1">
      <c r="A845" s="108"/>
      <c r="B845" s="85"/>
      <c r="C845" s="85"/>
      <c r="D845" s="86"/>
      <c r="E845" s="87"/>
      <c r="F845" s="85"/>
      <c r="G845" s="88"/>
      <c r="H845" s="88"/>
      <c r="I845" s="88"/>
      <c r="J845" s="89"/>
      <c r="K845" s="89"/>
      <c r="L845" s="89"/>
      <c r="M845" s="89"/>
      <c r="N845" s="90"/>
      <c r="O845" s="87"/>
    </row>
    <row r="846" spans="1:15" ht="22.5" customHeight="1">
      <c r="A846" s="108"/>
      <c r="B846" s="85"/>
      <c r="C846" s="85"/>
      <c r="D846" s="86"/>
      <c r="E846" s="87"/>
      <c r="F846" s="85"/>
      <c r="G846" s="88"/>
      <c r="H846" s="88"/>
      <c r="I846" s="88"/>
      <c r="J846" s="89"/>
      <c r="K846" s="89"/>
      <c r="L846" s="89"/>
      <c r="M846" s="89"/>
      <c r="N846" s="90"/>
      <c r="O846" s="87"/>
    </row>
    <row r="847" spans="1:15" ht="22.5" customHeight="1">
      <c r="A847" s="108"/>
      <c r="B847" s="85"/>
      <c r="C847" s="85"/>
      <c r="D847" s="86"/>
      <c r="E847" s="87"/>
      <c r="F847" s="85"/>
      <c r="G847" s="88"/>
      <c r="H847" s="88"/>
      <c r="I847" s="88"/>
      <c r="J847" s="89"/>
      <c r="K847" s="89"/>
      <c r="L847" s="89"/>
      <c r="M847" s="89"/>
      <c r="N847" s="90"/>
      <c r="O847" s="87"/>
    </row>
    <row r="848" spans="1:15" ht="22.5" customHeight="1">
      <c r="A848" s="108"/>
      <c r="B848" s="85"/>
      <c r="C848" s="85"/>
      <c r="D848" s="86"/>
      <c r="E848" s="87"/>
      <c r="F848" s="85"/>
      <c r="G848" s="88"/>
      <c r="H848" s="88"/>
      <c r="I848" s="88"/>
      <c r="J848" s="89"/>
      <c r="K848" s="89"/>
      <c r="L848" s="89"/>
      <c r="M848" s="89"/>
      <c r="N848" s="90"/>
      <c r="O848" s="87"/>
    </row>
    <row r="849" spans="1:15" ht="22.5" customHeight="1">
      <c r="A849" s="108"/>
      <c r="B849" s="85"/>
      <c r="C849" s="85"/>
      <c r="D849" s="86"/>
      <c r="E849" s="87"/>
      <c r="F849" s="85"/>
      <c r="G849" s="88"/>
      <c r="H849" s="88"/>
      <c r="I849" s="88"/>
      <c r="J849" s="89"/>
      <c r="K849" s="89"/>
      <c r="L849" s="89"/>
      <c r="M849" s="89"/>
      <c r="N849" s="90"/>
      <c r="O849" s="87"/>
    </row>
    <row r="850" spans="1:15" ht="22.5" customHeight="1">
      <c r="A850" s="108"/>
      <c r="B850" s="85"/>
      <c r="C850" s="85"/>
      <c r="D850" s="86"/>
      <c r="E850" s="87"/>
      <c r="F850" s="85"/>
      <c r="G850" s="88"/>
      <c r="H850" s="88"/>
      <c r="I850" s="88"/>
      <c r="J850" s="89"/>
      <c r="K850" s="89"/>
      <c r="L850" s="89"/>
      <c r="M850" s="89"/>
      <c r="N850" s="90"/>
      <c r="O850" s="87"/>
    </row>
    <row r="851" spans="1:15" ht="22.5" customHeight="1">
      <c r="A851" s="108"/>
      <c r="B851" s="85"/>
      <c r="C851" s="85"/>
      <c r="D851" s="86"/>
      <c r="E851" s="87"/>
      <c r="F851" s="85"/>
      <c r="G851" s="88"/>
      <c r="H851" s="88"/>
      <c r="I851" s="88"/>
      <c r="J851" s="89"/>
      <c r="K851" s="89"/>
      <c r="L851" s="89"/>
      <c r="M851" s="89"/>
      <c r="N851" s="90"/>
      <c r="O851" s="87"/>
    </row>
    <row r="852" spans="1:15" ht="22.5" customHeight="1">
      <c r="A852" s="108"/>
      <c r="B852" s="85"/>
      <c r="C852" s="85"/>
      <c r="D852" s="86"/>
      <c r="E852" s="87"/>
      <c r="F852" s="85"/>
      <c r="G852" s="88"/>
      <c r="H852" s="88"/>
      <c r="I852" s="88"/>
      <c r="J852" s="89"/>
      <c r="K852" s="89"/>
      <c r="L852" s="89"/>
      <c r="M852" s="89"/>
      <c r="N852" s="90"/>
      <c r="O852" s="87"/>
    </row>
    <row r="853" spans="1:15" ht="22.5" customHeight="1">
      <c r="A853" s="108"/>
      <c r="B853" s="85"/>
      <c r="C853" s="85"/>
      <c r="D853" s="86"/>
      <c r="E853" s="87"/>
      <c r="F853" s="85"/>
      <c r="G853" s="88"/>
      <c r="H853" s="88"/>
      <c r="I853" s="88"/>
      <c r="J853" s="89"/>
      <c r="K853" s="89"/>
      <c r="L853" s="89"/>
      <c r="M853" s="89"/>
      <c r="N853" s="90"/>
      <c r="O853" s="87"/>
    </row>
    <row r="854" spans="1:15" ht="22.5" customHeight="1">
      <c r="A854" s="108"/>
      <c r="B854" s="85"/>
      <c r="C854" s="85"/>
      <c r="D854" s="86"/>
      <c r="E854" s="87"/>
      <c r="F854" s="85"/>
      <c r="G854" s="88"/>
      <c r="H854" s="88"/>
      <c r="I854" s="88"/>
      <c r="J854" s="89"/>
      <c r="K854" s="89"/>
      <c r="L854" s="89"/>
      <c r="M854" s="89"/>
      <c r="N854" s="90"/>
      <c r="O854" s="87"/>
    </row>
    <row r="855" spans="1:15" ht="22.5" customHeight="1">
      <c r="A855" s="108"/>
      <c r="B855" s="85"/>
      <c r="C855" s="85"/>
      <c r="D855" s="86"/>
      <c r="E855" s="87"/>
      <c r="F855" s="85"/>
      <c r="G855" s="88"/>
      <c r="H855" s="88"/>
      <c r="I855" s="88"/>
      <c r="J855" s="89"/>
      <c r="K855" s="89"/>
      <c r="L855" s="89"/>
      <c r="M855" s="89"/>
      <c r="N855" s="90"/>
      <c r="O855" s="87"/>
    </row>
    <row r="856" spans="1:15" ht="22.5" customHeight="1">
      <c r="A856" s="108"/>
      <c r="B856" s="85"/>
      <c r="C856" s="85"/>
      <c r="D856" s="86"/>
      <c r="E856" s="87"/>
      <c r="F856" s="85"/>
      <c r="G856" s="88"/>
      <c r="H856" s="88"/>
      <c r="I856" s="88"/>
      <c r="J856" s="89"/>
      <c r="K856" s="89"/>
      <c r="L856" s="89"/>
      <c r="M856" s="89"/>
      <c r="N856" s="90"/>
      <c r="O856" s="87"/>
    </row>
    <row r="857" spans="1:15" ht="22.5" customHeight="1">
      <c r="A857" s="108"/>
      <c r="B857" s="85"/>
      <c r="C857" s="85"/>
      <c r="D857" s="86"/>
      <c r="E857" s="87"/>
      <c r="F857" s="85"/>
      <c r="G857" s="88"/>
      <c r="H857" s="88"/>
      <c r="I857" s="88"/>
      <c r="J857" s="89"/>
      <c r="K857" s="89"/>
      <c r="L857" s="89"/>
      <c r="M857" s="89"/>
      <c r="N857" s="90"/>
      <c r="O857" s="87"/>
    </row>
    <row r="858" spans="1:15" ht="22.5" customHeight="1">
      <c r="A858" s="108"/>
      <c r="B858" s="85"/>
      <c r="C858" s="85"/>
      <c r="D858" s="86"/>
      <c r="E858" s="87"/>
      <c r="F858" s="85"/>
      <c r="G858" s="88"/>
      <c r="H858" s="88"/>
      <c r="I858" s="88"/>
      <c r="J858" s="89"/>
      <c r="K858" s="89"/>
      <c r="L858" s="89"/>
      <c r="M858" s="89"/>
      <c r="N858" s="90"/>
      <c r="O858" s="87"/>
    </row>
    <row r="859" spans="1:15" ht="22.5" customHeight="1">
      <c r="A859" s="108"/>
      <c r="B859" s="85"/>
      <c r="C859" s="85"/>
      <c r="D859" s="86"/>
      <c r="E859" s="87"/>
      <c r="F859" s="85"/>
      <c r="G859" s="88"/>
      <c r="H859" s="88"/>
      <c r="I859" s="88"/>
      <c r="J859" s="89"/>
      <c r="K859" s="89"/>
      <c r="L859" s="89"/>
      <c r="M859" s="89"/>
      <c r="N859" s="90"/>
      <c r="O859" s="87"/>
    </row>
    <row r="860" spans="1:15" ht="22.5" customHeight="1">
      <c r="A860" s="108"/>
      <c r="B860" s="85"/>
      <c r="C860" s="85"/>
      <c r="D860" s="86"/>
      <c r="E860" s="87"/>
      <c r="F860" s="85"/>
      <c r="G860" s="88"/>
      <c r="H860" s="88"/>
      <c r="I860" s="88"/>
      <c r="J860" s="89"/>
      <c r="K860" s="89"/>
      <c r="L860" s="89"/>
      <c r="M860" s="89"/>
      <c r="N860" s="90"/>
      <c r="O860" s="87"/>
    </row>
    <row r="861" spans="1:15" ht="22.5" customHeight="1">
      <c r="A861" s="108"/>
      <c r="B861" s="85"/>
      <c r="C861" s="85"/>
      <c r="D861" s="86"/>
      <c r="E861" s="87"/>
      <c r="F861" s="85"/>
      <c r="G861" s="88"/>
      <c r="H861" s="88"/>
      <c r="I861" s="88"/>
      <c r="J861" s="89"/>
      <c r="K861" s="89"/>
      <c r="L861" s="89"/>
      <c r="M861" s="89"/>
      <c r="N861" s="90"/>
      <c r="O861" s="87"/>
    </row>
    <row r="862" spans="1:15" ht="22.5" customHeight="1">
      <c r="A862" s="108"/>
      <c r="B862" s="85"/>
      <c r="C862" s="85"/>
      <c r="D862" s="86"/>
      <c r="E862" s="87"/>
      <c r="F862" s="85"/>
      <c r="G862" s="88"/>
      <c r="H862" s="88"/>
      <c r="I862" s="88"/>
      <c r="J862" s="89"/>
      <c r="K862" s="89"/>
      <c r="L862" s="89"/>
      <c r="M862" s="89"/>
      <c r="N862" s="90"/>
      <c r="O862" s="87"/>
    </row>
    <row r="863" spans="1:15" ht="22.5" customHeight="1">
      <c r="A863" s="108"/>
      <c r="B863" s="85"/>
      <c r="C863" s="85"/>
      <c r="D863" s="86"/>
      <c r="E863" s="87"/>
      <c r="F863" s="85"/>
      <c r="G863" s="88"/>
      <c r="H863" s="88"/>
      <c r="I863" s="88"/>
      <c r="J863" s="89"/>
      <c r="K863" s="89"/>
      <c r="L863" s="89"/>
      <c r="M863" s="89"/>
      <c r="N863" s="90"/>
      <c r="O863" s="87"/>
    </row>
    <row r="864" spans="1:15" ht="22.5" customHeight="1">
      <c r="A864" s="108"/>
      <c r="B864" s="85"/>
      <c r="C864" s="85"/>
      <c r="D864" s="86"/>
      <c r="E864" s="87"/>
      <c r="F864" s="85"/>
      <c r="G864" s="88"/>
      <c r="H864" s="88"/>
      <c r="I864" s="88"/>
      <c r="J864" s="89"/>
      <c r="K864" s="89"/>
      <c r="L864" s="89"/>
      <c r="M864" s="89"/>
      <c r="N864" s="90"/>
      <c r="O864" s="87"/>
    </row>
    <row r="865" spans="1:15" ht="22.5" customHeight="1">
      <c r="A865" s="108"/>
      <c r="B865" s="85"/>
      <c r="C865" s="85"/>
      <c r="D865" s="86"/>
      <c r="E865" s="87"/>
      <c r="F865" s="85"/>
      <c r="G865" s="88"/>
      <c r="H865" s="88"/>
      <c r="I865" s="88"/>
      <c r="J865" s="89"/>
      <c r="K865" s="89"/>
      <c r="L865" s="89"/>
      <c r="M865" s="89"/>
      <c r="N865" s="90"/>
      <c r="O865" s="87"/>
    </row>
    <row r="866" spans="1:15" ht="22.5" customHeight="1">
      <c r="A866" s="108"/>
      <c r="B866" s="85"/>
      <c r="C866" s="85"/>
      <c r="D866" s="86"/>
      <c r="E866" s="87"/>
      <c r="F866" s="85"/>
      <c r="G866" s="88"/>
      <c r="H866" s="88"/>
      <c r="I866" s="88"/>
      <c r="J866" s="89"/>
      <c r="K866" s="89"/>
      <c r="L866" s="89"/>
      <c r="M866" s="89"/>
      <c r="N866" s="90"/>
      <c r="O866" s="87"/>
    </row>
    <row r="867" spans="1:15" ht="22.5" customHeight="1">
      <c r="A867" s="108"/>
      <c r="B867" s="85"/>
      <c r="C867" s="85"/>
      <c r="D867" s="86"/>
      <c r="E867" s="87"/>
      <c r="F867" s="85"/>
      <c r="G867" s="88"/>
      <c r="H867" s="88"/>
      <c r="I867" s="88"/>
      <c r="J867" s="89"/>
      <c r="K867" s="89"/>
      <c r="L867" s="89"/>
      <c r="M867" s="89"/>
      <c r="N867" s="90"/>
      <c r="O867" s="87"/>
    </row>
    <row r="868" spans="1:15" ht="22.5" customHeight="1">
      <c r="A868" s="108"/>
      <c r="B868" s="85"/>
      <c r="C868" s="85"/>
      <c r="D868" s="86"/>
      <c r="E868" s="87"/>
      <c r="F868" s="85"/>
      <c r="G868" s="88"/>
      <c r="H868" s="88"/>
      <c r="I868" s="88"/>
      <c r="J868" s="89"/>
      <c r="K868" s="89"/>
      <c r="L868" s="89"/>
      <c r="M868" s="89"/>
      <c r="N868" s="90"/>
      <c r="O868" s="87"/>
    </row>
    <row r="869" spans="1:15" ht="22.5" customHeight="1">
      <c r="A869" s="108"/>
      <c r="B869" s="85"/>
      <c r="C869" s="85"/>
      <c r="D869" s="86"/>
      <c r="E869" s="87"/>
      <c r="F869" s="85"/>
      <c r="G869" s="88"/>
      <c r="H869" s="88"/>
      <c r="I869" s="88"/>
      <c r="J869" s="89"/>
      <c r="K869" s="89"/>
      <c r="L869" s="89"/>
      <c r="M869" s="89"/>
      <c r="N869" s="90"/>
      <c r="O869" s="87"/>
    </row>
    <row r="870" spans="1:15" ht="22.5" customHeight="1">
      <c r="A870" s="108"/>
      <c r="B870" s="85"/>
      <c r="C870" s="85"/>
      <c r="D870" s="86"/>
      <c r="E870" s="87"/>
      <c r="F870" s="85"/>
      <c r="G870" s="88"/>
      <c r="H870" s="88"/>
      <c r="I870" s="88"/>
      <c r="J870" s="89"/>
      <c r="K870" s="89"/>
      <c r="L870" s="89"/>
      <c r="M870" s="89"/>
      <c r="N870" s="90"/>
      <c r="O870" s="87"/>
    </row>
    <row r="871" spans="1:15" ht="22.5" customHeight="1">
      <c r="A871" s="108"/>
      <c r="B871" s="85"/>
      <c r="C871" s="85"/>
      <c r="D871" s="86"/>
      <c r="E871" s="87"/>
      <c r="F871" s="85"/>
      <c r="G871" s="88"/>
      <c r="H871" s="88"/>
      <c r="I871" s="88"/>
      <c r="J871" s="89"/>
      <c r="K871" s="89"/>
      <c r="L871" s="89"/>
      <c r="M871" s="89"/>
      <c r="N871" s="90"/>
      <c r="O871" s="87"/>
    </row>
    <row r="872" spans="1:15" ht="22.5" customHeight="1">
      <c r="A872" s="108"/>
      <c r="B872" s="85"/>
      <c r="C872" s="85"/>
      <c r="D872" s="86"/>
      <c r="E872" s="87"/>
      <c r="F872" s="85"/>
      <c r="G872" s="88"/>
      <c r="H872" s="88"/>
      <c r="I872" s="88"/>
      <c r="J872" s="89"/>
      <c r="K872" s="89"/>
      <c r="L872" s="89"/>
      <c r="M872" s="89"/>
      <c r="N872" s="90"/>
      <c r="O872" s="87"/>
    </row>
    <row r="873" spans="1:15" ht="22.5" customHeight="1">
      <c r="A873" s="108"/>
      <c r="B873" s="85"/>
      <c r="C873" s="85"/>
      <c r="D873" s="86"/>
      <c r="E873" s="87"/>
      <c r="F873" s="85"/>
      <c r="G873" s="88"/>
      <c r="H873" s="88"/>
      <c r="I873" s="88"/>
      <c r="J873" s="89"/>
      <c r="K873" s="89"/>
      <c r="L873" s="89"/>
      <c r="M873" s="89"/>
      <c r="N873" s="90"/>
      <c r="O873" s="87"/>
    </row>
    <row r="874" spans="1:15" ht="22.5" customHeight="1">
      <c r="A874" s="108"/>
      <c r="B874" s="85"/>
      <c r="C874" s="85"/>
      <c r="D874" s="86"/>
      <c r="E874" s="87"/>
      <c r="F874" s="85"/>
      <c r="G874" s="88"/>
      <c r="H874" s="88"/>
      <c r="I874" s="88"/>
      <c r="J874" s="89"/>
      <c r="K874" s="89"/>
      <c r="L874" s="89"/>
      <c r="M874" s="89"/>
      <c r="N874" s="90"/>
      <c r="O874" s="87"/>
    </row>
    <row r="875" spans="1:15" ht="22.5" customHeight="1">
      <c r="A875" s="108"/>
      <c r="B875" s="85"/>
      <c r="C875" s="85"/>
      <c r="D875" s="86"/>
      <c r="E875" s="87"/>
      <c r="F875" s="85"/>
      <c r="G875" s="88"/>
      <c r="H875" s="88"/>
      <c r="I875" s="88"/>
      <c r="J875" s="89"/>
      <c r="K875" s="89"/>
      <c r="L875" s="89"/>
      <c r="M875" s="89"/>
      <c r="N875" s="90"/>
      <c r="O875" s="87"/>
    </row>
    <row r="876" spans="1:15" ht="22.5" customHeight="1">
      <c r="A876" s="108"/>
      <c r="B876" s="85"/>
      <c r="C876" s="85"/>
      <c r="D876" s="86"/>
      <c r="E876" s="87"/>
      <c r="F876" s="85"/>
      <c r="G876" s="88"/>
      <c r="H876" s="88"/>
      <c r="I876" s="88"/>
      <c r="J876" s="89"/>
      <c r="K876" s="89"/>
      <c r="L876" s="89"/>
      <c r="M876" s="89"/>
      <c r="N876" s="90"/>
      <c r="O876" s="87"/>
    </row>
    <row r="877" spans="1:15" ht="22.5" customHeight="1">
      <c r="A877" s="108"/>
      <c r="B877" s="85"/>
      <c r="C877" s="85"/>
      <c r="D877" s="86"/>
      <c r="E877" s="87"/>
      <c r="F877" s="85"/>
      <c r="G877" s="88"/>
      <c r="H877" s="88"/>
      <c r="I877" s="88"/>
      <c r="J877" s="89"/>
      <c r="K877" s="89"/>
      <c r="L877" s="89"/>
      <c r="M877" s="89"/>
      <c r="N877" s="90"/>
      <c r="O877" s="87"/>
    </row>
    <row r="878" spans="1:15" ht="22.5" customHeight="1">
      <c r="A878" s="108"/>
      <c r="B878" s="85"/>
      <c r="C878" s="85"/>
      <c r="D878" s="86"/>
      <c r="E878" s="87"/>
      <c r="F878" s="85"/>
      <c r="G878" s="88"/>
      <c r="H878" s="88"/>
      <c r="I878" s="88"/>
      <c r="J878" s="89"/>
      <c r="K878" s="89"/>
      <c r="L878" s="89"/>
      <c r="M878" s="89"/>
      <c r="N878" s="90"/>
      <c r="O878" s="87"/>
    </row>
    <row r="879" spans="1:15" ht="22.5" customHeight="1">
      <c r="A879" s="108"/>
      <c r="B879" s="85"/>
      <c r="C879" s="85"/>
      <c r="D879" s="86"/>
      <c r="E879" s="87"/>
      <c r="F879" s="85"/>
      <c r="G879" s="88"/>
      <c r="H879" s="88"/>
      <c r="I879" s="88"/>
      <c r="J879" s="89"/>
      <c r="K879" s="89"/>
      <c r="L879" s="89"/>
      <c r="M879" s="89"/>
      <c r="N879" s="90"/>
      <c r="O879" s="87"/>
    </row>
    <row r="880" spans="1:15" ht="22.5" customHeight="1">
      <c r="A880" s="108"/>
      <c r="B880" s="85"/>
      <c r="C880" s="85"/>
      <c r="D880" s="86"/>
      <c r="E880" s="87"/>
      <c r="F880" s="85"/>
      <c r="G880" s="88"/>
      <c r="H880" s="88"/>
      <c r="I880" s="88"/>
      <c r="J880" s="89"/>
      <c r="K880" s="89"/>
      <c r="L880" s="89"/>
      <c r="M880" s="89"/>
      <c r="N880" s="90"/>
      <c r="O880" s="87"/>
    </row>
    <row r="881" spans="1:15" ht="22.5" customHeight="1">
      <c r="A881" s="108"/>
      <c r="B881" s="85"/>
      <c r="C881" s="85"/>
      <c r="D881" s="86"/>
      <c r="E881" s="87"/>
      <c r="F881" s="85"/>
      <c r="G881" s="88"/>
      <c r="H881" s="88"/>
      <c r="I881" s="88"/>
      <c r="J881" s="89"/>
      <c r="K881" s="89"/>
      <c r="L881" s="89"/>
      <c r="M881" s="89"/>
      <c r="N881" s="90"/>
      <c r="O881" s="87"/>
    </row>
    <row r="882" spans="1:15" ht="22.5" customHeight="1">
      <c r="A882" s="108"/>
      <c r="B882" s="85"/>
      <c r="C882" s="85"/>
      <c r="D882" s="86"/>
      <c r="E882" s="87"/>
      <c r="F882" s="85"/>
      <c r="G882" s="88"/>
      <c r="H882" s="88"/>
      <c r="I882" s="88"/>
      <c r="J882" s="89"/>
      <c r="K882" s="89"/>
      <c r="L882" s="89"/>
      <c r="M882" s="89"/>
      <c r="N882" s="90"/>
      <c r="O882" s="87"/>
    </row>
    <row r="883" spans="1:15" ht="22.5" customHeight="1">
      <c r="A883" s="108"/>
      <c r="B883" s="85"/>
      <c r="C883" s="85"/>
      <c r="D883" s="86"/>
      <c r="E883" s="87"/>
      <c r="F883" s="85"/>
      <c r="G883" s="88"/>
      <c r="H883" s="88"/>
      <c r="I883" s="88"/>
      <c r="J883" s="89"/>
      <c r="K883" s="89"/>
      <c r="L883" s="89"/>
      <c r="M883" s="89"/>
      <c r="N883" s="90"/>
      <c r="O883" s="87"/>
    </row>
    <row r="884" spans="1:15" ht="22.5" customHeight="1">
      <c r="A884" s="108"/>
      <c r="B884" s="85"/>
      <c r="C884" s="85"/>
      <c r="D884" s="86"/>
      <c r="E884" s="87"/>
      <c r="F884" s="85"/>
      <c r="G884" s="88"/>
      <c r="H884" s="88"/>
      <c r="I884" s="88"/>
      <c r="J884" s="89"/>
      <c r="K884" s="89"/>
      <c r="L884" s="89"/>
      <c r="M884" s="89"/>
      <c r="N884" s="90"/>
      <c r="O884" s="87"/>
    </row>
    <row r="885" spans="1:15" ht="22.5" customHeight="1">
      <c r="A885" s="108"/>
      <c r="B885" s="85"/>
      <c r="C885" s="85"/>
      <c r="D885" s="86"/>
      <c r="E885" s="87"/>
      <c r="F885" s="85"/>
      <c r="G885" s="88"/>
      <c r="H885" s="88"/>
      <c r="I885" s="88"/>
      <c r="J885" s="89"/>
      <c r="K885" s="89"/>
      <c r="L885" s="89"/>
      <c r="M885" s="89"/>
      <c r="N885" s="90"/>
      <c r="O885" s="87"/>
    </row>
    <row r="886" spans="1:15" ht="22.5" customHeight="1">
      <c r="A886" s="108"/>
      <c r="B886" s="85"/>
      <c r="C886" s="85"/>
      <c r="D886" s="86"/>
      <c r="E886" s="87"/>
      <c r="F886" s="85"/>
      <c r="G886" s="88"/>
      <c r="H886" s="88"/>
      <c r="I886" s="88"/>
      <c r="J886" s="89"/>
      <c r="K886" s="89"/>
      <c r="L886" s="89"/>
      <c r="M886" s="89"/>
      <c r="N886" s="90"/>
      <c r="O886" s="87"/>
    </row>
    <row r="887" spans="1:15" ht="22.5" customHeight="1">
      <c r="A887" s="108"/>
      <c r="B887" s="85"/>
      <c r="C887" s="85"/>
      <c r="D887" s="86"/>
      <c r="E887" s="87"/>
      <c r="F887" s="85"/>
      <c r="G887" s="88"/>
      <c r="H887" s="88"/>
      <c r="I887" s="88"/>
      <c r="J887" s="89"/>
      <c r="K887" s="89"/>
      <c r="L887" s="89"/>
      <c r="M887" s="89"/>
      <c r="N887" s="90"/>
      <c r="O887" s="87"/>
    </row>
    <row r="888" spans="1:15" ht="22.5" customHeight="1">
      <c r="A888" s="108"/>
      <c r="B888" s="85"/>
      <c r="C888" s="85"/>
      <c r="D888" s="86"/>
      <c r="E888" s="87"/>
      <c r="F888" s="85"/>
      <c r="G888" s="88"/>
      <c r="H888" s="88"/>
      <c r="I888" s="88"/>
      <c r="J888" s="89"/>
      <c r="K888" s="89"/>
      <c r="L888" s="89"/>
      <c r="M888" s="89"/>
      <c r="N888" s="90"/>
      <c r="O888" s="87"/>
    </row>
    <row r="889" spans="1:15" ht="22.5" customHeight="1">
      <c r="A889" s="108"/>
      <c r="B889" s="85"/>
      <c r="C889" s="85"/>
      <c r="D889" s="86"/>
      <c r="E889" s="87"/>
      <c r="F889" s="85"/>
      <c r="G889" s="88"/>
      <c r="H889" s="88"/>
      <c r="I889" s="88"/>
      <c r="J889" s="89"/>
      <c r="K889" s="89"/>
      <c r="L889" s="89"/>
      <c r="M889" s="89"/>
      <c r="N889" s="90"/>
      <c r="O889" s="87"/>
    </row>
    <row r="890" spans="1:15" ht="22.5" customHeight="1">
      <c r="A890" s="108"/>
      <c r="B890" s="85"/>
      <c r="C890" s="85"/>
      <c r="D890" s="86"/>
      <c r="E890" s="87"/>
      <c r="F890" s="85"/>
      <c r="G890" s="88"/>
      <c r="H890" s="88"/>
      <c r="I890" s="88"/>
      <c r="J890" s="89"/>
      <c r="K890" s="89"/>
      <c r="L890" s="89"/>
      <c r="M890" s="89"/>
      <c r="N890" s="90"/>
      <c r="O890" s="87"/>
    </row>
    <row r="891" spans="1:15" ht="22.5" customHeight="1">
      <c r="A891" s="108"/>
      <c r="B891" s="85"/>
      <c r="C891" s="85"/>
      <c r="D891" s="86"/>
      <c r="E891" s="87"/>
      <c r="F891" s="85"/>
      <c r="G891" s="88"/>
      <c r="H891" s="88"/>
      <c r="I891" s="88"/>
      <c r="J891" s="89"/>
      <c r="K891" s="89"/>
      <c r="L891" s="89"/>
      <c r="M891" s="89"/>
      <c r="N891" s="90"/>
      <c r="O891" s="87"/>
    </row>
    <row r="892" spans="1:15" ht="22.5" customHeight="1">
      <c r="A892" s="108"/>
      <c r="B892" s="85"/>
      <c r="C892" s="85"/>
      <c r="D892" s="86"/>
      <c r="E892" s="87"/>
      <c r="F892" s="85"/>
      <c r="G892" s="88"/>
      <c r="H892" s="88"/>
      <c r="I892" s="88"/>
      <c r="J892" s="89"/>
      <c r="K892" s="89"/>
      <c r="L892" s="89"/>
      <c r="M892" s="89"/>
      <c r="N892" s="90"/>
      <c r="O892" s="87"/>
    </row>
    <row r="893" spans="1:15" ht="22.5" customHeight="1">
      <c r="A893" s="108"/>
      <c r="B893" s="85"/>
      <c r="C893" s="85"/>
      <c r="D893" s="86"/>
      <c r="E893" s="87"/>
      <c r="F893" s="85"/>
      <c r="G893" s="88"/>
      <c r="H893" s="88"/>
      <c r="I893" s="88"/>
      <c r="J893" s="89"/>
      <c r="K893" s="89"/>
      <c r="L893" s="89"/>
      <c r="M893" s="89"/>
      <c r="N893" s="90"/>
      <c r="O893" s="87"/>
    </row>
    <row r="894" spans="1:15" ht="22.5" customHeight="1">
      <c r="A894" s="108"/>
      <c r="B894" s="85"/>
      <c r="C894" s="85"/>
      <c r="D894" s="86"/>
      <c r="E894" s="87"/>
      <c r="F894" s="85"/>
      <c r="G894" s="88"/>
      <c r="H894" s="88"/>
      <c r="I894" s="88"/>
      <c r="J894" s="89"/>
      <c r="K894" s="89"/>
      <c r="L894" s="89"/>
      <c r="M894" s="89"/>
      <c r="N894" s="90"/>
      <c r="O894" s="87"/>
    </row>
    <row r="895" spans="1:15" ht="22.5" customHeight="1">
      <c r="A895" s="108"/>
      <c r="B895" s="85"/>
      <c r="C895" s="85"/>
      <c r="D895" s="86"/>
      <c r="E895" s="87"/>
      <c r="F895" s="85"/>
      <c r="G895" s="88"/>
      <c r="H895" s="88"/>
      <c r="I895" s="88"/>
      <c r="J895" s="89"/>
      <c r="K895" s="89"/>
      <c r="L895" s="89"/>
      <c r="M895" s="89"/>
      <c r="N895" s="90"/>
      <c r="O895" s="87"/>
    </row>
    <row r="896" spans="1:15" ht="22.5" customHeight="1">
      <c r="A896" s="108"/>
      <c r="B896" s="85"/>
      <c r="C896" s="85"/>
      <c r="D896" s="86"/>
      <c r="E896" s="87"/>
      <c r="F896" s="85"/>
      <c r="G896" s="88"/>
      <c r="H896" s="88"/>
      <c r="I896" s="88"/>
      <c r="J896" s="89"/>
      <c r="K896" s="89"/>
      <c r="L896" s="89"/>
      <c r="M896" s="89"/>
      <c r="N896" s="90"/>
      <c r="O896" s="87"/>
    </row>
    <row r="897" spans="1:15" ht="22.5" customHeight="1">
      <c r="A897" s="108"/>
      <c r="B897" s="85"/>
      <c r="C897" s="85"/>
      <c r="D897" s="86"/>
      <c r="E897" s="87"/>
      <c r="F897" s="85"/>
      <c r="G897" s="88"/>
      <c r="H897" s="88"/>
      <c r="I897" s="88"/>
      <c r="J897" s="89"/>
      <c r="K897" s="89"/>
      <c r="L897" s="89"/>
      <c r="M897" s="89"/>
      <c r="N897" s="90"/>
      <c r="O897" s="87"/>
    </row>
    <row r="898" spans="1:15" ht="22.5" customHeight="1">
      <c r="A898" s="108"/>
      <c r="B898" s="85"/>
      <c r="C898" s="85"/>
      <c r="D898" s="86"/>
      <c r="E898" s="87"/>
      <c r="F898" s="85"/>
      <c r="G898" s="88"/>
      <c r="H898" s="88"/>
      <c r="I898" s="88"/>
      <c r="J898" s="89"/>
      <c r="K898" s="89"/>
      <c r="L898" s="89"/>
      <c r="M898" s="89"/>
      <c r="N898" s="90"/>
      <c r="O898" s="87"/>
    </row>
    <row r="899" spans="1:15" ht="22.5" customHeight="1">
      <c r="A899" s="108"/>
      <c r="B899" s="85"/>
      <c r="C899" s="85"/>
      <c r="D899" s="86"/>
      <c r="E899" s="87"/>
      <c r="F899" s="85"/>
      <c r="G899" s="88"/>
      <c r="H899" s="88"/>
      <c r="I899" s="88"/>
      <c r="J899" s="89"/>
      <c r="K899" s="89"/>
      <c r="L899" s="89"/>
      <c r="M899" s="89"/>
      <c r="N899" s="90"/>
      <c r="O899" s="87"/>
    </row>
    <row r="900" spans="1:15" ht="22.5" customHeight="1">
      <c r="A900" s="108"/>
      <c r="B900" s="85"/>
      <c r="C900" s="85"/>
      <c r="D900" s="86"/>
      <c r="E900" s="87"/>
      <c r="F900" s="85"/>
      <c r="G900" s="88"/>
      <c r="H900" s="88"/>
      <c r="I900" s="88"/>
      <c r="J900" s="89"/>
      <c r="K900" s="89"/>
      <c r="L900" s="89"/>
      <c r="M900" s="89"/>
      <c r="N900" s="90"/>
      <c r="O900" s="87"/>
    </row>
    <row r="901" spans="1:15" ht="22.5" customHeight="1">
      <c r="A901" s="108"/>
      <c r="B901" s="85"/>
      <c r="C901" s="85"/>
      <c r="D901" s="86"/>
      <c r="E901" s="87"/>
      <c r="F901" s="85"/>
      <c r="G901" s="88"/>
      <c r="H901" s="88"/>
      <c r="I901" s="88"/>
      <c r="J901" s="89"/>
      <c r="K901" s="89"/>
      <c r="L901" s="89"/>
      <c r="M901" s="89"/>
      <c r="N901" s="90"/>
      <c r="O901" s="87"/>
    </row>
    <row r="902" spans="1:15" ht="22.5" customHeight="1">
      <c r="A902" s="108"/>
      <c r="B902" s="85"/>
      <c r="C902" s="85"/>
      <c r="D902" s="86"/>
      <c r="E902" s="87"/>
      <c r="F902" s="85"/>
      <c r="G902" s="88"/>
      <c r="H902" s="88"/>
      <c r="I902" s="88"/>
      <c r="J902" s="89"/>
      <c r="K902" s="89"/>
      <c r="L902" s="89"/>
      <c r="M902" s="89"/>
      <c r="N902" s="90"/>
      <c r="O902" s="87"/>
    </row>
    <row r="903" spans="1:15" ht="22.5" customHeight="1">
      <c r="A903" s="108"/>
      <c r="B903" s="85"/>
      <c r="C903" s="85"/>
      <c r="D903" s="86"/>
      <c r="E903" s="87"/>
      <c r="F903" s="85"/>
      <c r="G903" s="88"/>
      <c r="H903" s="88"/>
      <c r="I903" s="88"/>
      <c r="J903" s="89"/>
      <c r="K903" s="89"/>
      <c r="L903" s="89"/>
      <c r="M903" s="89"/>
      <c r="N903" s="90"/>
      <c r="O903" s="87"/>
    </row>
    <row r="904" spans="1:15" ht="22.5" customHeight="1">
      <c r="A904" s="108"/>
      <c r="B904" s="85"/>
      <c r="C904" s="85"/>
      <c r="D904" s="86"/>
      <c r="E904" s="87"/>
      <c r="F904" s="85"/>
      <c r="G904" s="88"/>
      <c r="H904" s="88"/>
      <c r="I904" s="88"/>
      <c r="J904" s="89"/>
      <c r="K904" s="89"/>
      <c r="L904" s="89"/>
      <c r="M904" s="89"/>
      <c r="N904" s="90"/>
      <c r="O904" s="87"/>
    </row>
    <row r="905" spans="1:15" ht="22.5" customHeight="1">
      <c r="A905" s="108"/>
      <c r="B905" s="85"/>
      <c r="C905" s="85"/>
      <c r="D905" s="86"/>
      <c r="E905" s="87"/>
      <c r="F905" s="85"/>
      <c r="G905" s="88"/>
      <c r="H905" s="88"/>
      <c r="I905" s="88"/>
      <c r="J905" s="89"/>
      <c r="K905" s="89"/>
      <c r="L905" s="89"/>
      <c r="M905" s="89"/>
      <c r="N905" s="90"/>
      <c r="O905" s="87"/>
    </row>
    <row r="906" spans="1:15" ht="22.5" customHeight="1">
      <c r="A906" s="108"/>
      <c r="B906" s="85"/>
      <c r="C906" s="85"/>
      <c r="D906" s="86"/>
      <c r="E906" s="87"/>
      <c r="F906" s="85"/>
      <c r="G906" s="88"/>
      <c r="H906" s="88"/>
      <c r="I906" s="88"/>
      <c r="J906" s="89"/>
      <c r="K906" s="89"/>
      <c r="L906" s="89"/>
      <c r="M906" s="89"/>
      <c r="N906" s="90"/>
      <c r="O906" s="87"/>
    </row>
    <row r="907" spans="1:15" ht="22.5" customHeight="1">
      <c r="A907" s="108"/>
      <c r="B907" s="85"/>
      <c r="C907" s="85"/>
      <c r="D907" s="86"/>
      <c r="E907" s="87"/>
      <c r="F907" s="85"/>
      <c r="G907" s="88"/>
      <c r="H907" s="88"/>
      <c r="I907" s="88"/>
      <c r="J907" s="89"/>
      <c r="K907" s="89"/>
      <c r="L907" s="89"/>
      <c r="M907" s="89"/>
      <c r="N907" s="90"/>
      <c r="O907" s="87"/>
    </row>
    <row r="908" spans="1:15" ht="22.5" customHeight="1">
      <c r="A908" s="108"/>
      <c r="B908" s="85"/>
      <c r="C908" s="85"/>
      <c r="D908" s="86"/>
      <c r="E908" s="87"/>
      <c r="F908" s="85"/>
      <c r="G908" s="88"/>
      <c r="H908" s="88"/>
      <c r="I908" s="88"/>
      <c r="J908" s="89"/>
      <c r="K908" s="89"/>
      <c r="L908" s="89"/>
      <c r="M908" s="89"/>
      <c r="N908" s="90"/>
      <c r="O908" s="87"/>
    </row>
    <row r="909" spans="1:15" ht="22.5" customHeight="1">
      <c r="A909" s="108"/>
      <c r="B909" s="85"/>
      <c r="C909" s="85"/>
      <c r="D909" s="86"/>
      <c r="E909" s="87"/>
      <c r="F909" s="85"/>
      <c r="G909" s="88"/>
      <c r="H909" s="88"/>
      <c r="I909" s="88"/>
      <c r="J909" s="89"/>
      <c r="K909" s="89"/>
      <c r="L909" s="89"/>
      <c r="M909" s="89"/>
      <c r="N909" s="90"/>
      <c r="O909" s="87"/>
    </row>
    <row r="910" spans="1:15" ht="22.5" customHeight="1">
      <c r="A910" s="108"/>
      <c r="B910" s="85"/>
      <c r="C910" s="85"/>
      <c r="D910" s="86"/>
      <c r="E910" s="87"/>
      <c r="F910" s="85"/>
      <c r="G910" s="88"/>
      <c r="H910" s="88"/>
      <c r="I910" s="88"/>
      <c r="J910" s="89"/>
      <c r="K910" s="89"/>
      <c r="L910" s="89"/>
      <c r="M910" s="89"/>
      <c r="N910" s="90"/>
      <c r="O910" s="87"/>
    </row>
    <row r="911" spans="1:15" ht="22.5" customHeight="1">
      <c r="A911" s="108"/>
      <c r="B911" s="85"/>
      <c r="C911" s="85"/>
      <c r="D911" s="86"/>
      <c r="E911" s="87"/>
      <c r="F911" s="85"/>
      <c r="G911" s="88"/>
      <c r="H911" s="88"/>
      <c r="I911" s="88"/>
      <c r="J911" s="89"/>
      <c r="K911" s="89"/>
      <c r="L911" s="89"/>
      <c r="M911" s="89"/>
      <c r="N911" s="90"/>
      <c r="O911" s="87"/>
    </row>
    <row r="912" spans="1:15" ht="22.5" customHeight="1">
      <c r="A912" s="108"/>
      <c r="B912" s="85"/>
      <c r="C912" s="85"/>
      <c r="D912" s="86"/>
      <c r="E912" s="87"/>
      <c r="F912" s="85"/>
      <c r="G912" s="88"/>
      <c r="H912" s="88"/>
      <c r="I912" s="88"/>
      <c r="J912" s="89"/>
      <c r="K912" s="89"/>
      <c r="L912" s="89"/>
      <c r="M912" s="89"/>
      <c r="N912" s="90"/>
      <c r="O912" s="87"/>
    </row>
    <row r="913" spans="1:15" ht="22.5" customHeight="1">
      <c r="A913" s="108"/>
      <c r="B913" s="85"/>
      <c r="C913" s="85"/>
      <c r="D913" s="86"/>
      <c r="E913" s="87"/>
      <c r="F913" s="85"/>
      <c r="G913" s="88"/>
      <c r="H913" s="88"/>
      <c r="I913" s="88"/>
      <c r="J913" s="89"/>
      <c r="K913" s="89"/>
      <c r="L913" s="89"/>
      <c r="M913" s="89"/>
      <c r="N913" s="90"/>
      <c r="O913" s="87"/>
    </row>
    <row r="914" spans="1:15" ht="22.5" customHeight="1">
      <c r="A914" s="108"/>
      <c r="B914" s="85"/>
      <c r="C914" s="85"/>
      <c r="D914" s="86"/>
      <c r="E914" s="87"/>
      <c r="F914" s="85"/>
      <c r="G914" s="88"/>
      <c r="H914" s="88"/>
      <c r="I914" s="88"/>
      <c r="J914" s="89"/>
      <c r="K914" s="89"/>
      <c r="L914" s="89"/>
      <c r="M914" s="89"/>
      <c r="N914" s="90"/>
      <c r="O914" s="87"/>
    </row>
    <row r="915" spans="1:15" ht="22.5" customHeight="1">
      <c r="A915" s="108"/>
      <c r="B915" s="85"/>
      <c r="C915" s="85"/>
      <c r="D915" s="86"/>
      <c r="E915" s="87"/>
      <c r="F915" s="85"/>
      <c r="G915" s="88"/>
      <c r="H915" s="88"/>
      <c r="I915" s="88"/>
      <c r="J915" s="89"/>
      <c r="K915" s="89"/>
      <c r="L915" s="89"/>
      <c r="M915" s="89"/>
      <c r="N915" s="90"/>
      <c r="O915" s="87"/>
    </row>
    <row r="916" spans="1:15" ht="22.5" customHeight="1">
      <c r="A916" s="108"/>
      <c r="B916" s="85"/>
      <c r="C916" s="85"/>
      <c r="D916" s="86"/>
      <c r="E916" s="87"/>
      <c r="F916" s="85"/>
      <c r="G916" s="88"/>
      <c r="H916" s="88"/>
      <c r="I916" s="88"/>
      <c r="J916" s="89"/>
      <c r="K916" s="89"/>
      <c r="L916" s="89"/>
      <c r="M916" s="89"/>
      <c r="N916" s="90"/>
      <c r="O916" s="87"/>
    </row>
    <row r="917" spans="1:15" ht="22.5" customHeight="1">
      <c r="A917" s="108"/>
      <c r="B917" s="85"/>
      <c r="C917" s="85"/>
      <c r="D917" s="86"/>
      <c r="E917" s="87"/>
      <c r="F917" s="85"/>
      <c r="G917" s="88"/>
      <c r="H917" s="88"/>
      <c r="I917" s="88"/>
      <c r="J917" s="89"/>
      <c r="K917" s="89"/>
      <c r="L917" s="89"/>
      <c r="M917" s="89"/>
      <c r="N917" s="90"/>
      <c r="O917" s="87"/>
    </row>
    <row r="918" spans="1:15" ht="22.5" customHeight="1">
      <c r="A918" s="108"/>
      <c r="B918" s="85"/>
      <c r="C918" s="85"/>
      <c r="D918" s="86"/>
      <c r="E918" s="87"/>
      <c r="F918" s="85"/>
      <c r="G918" s="88"/>
      <c r="H918" s="88"/>
      <c r="I918" s="88"/>
      <c r="J918" s="89"/>
      <c r="K918" s="89"/>
      <c r="L918" s="89"/>
      <c r="M918" s="89"/>
      <c r="N918" s="90"/>
      <c r="O918" s="87"/>
    </row>
    <row r="919" spans="1:15" ht="22.5" customHeight="1">
      <c r="A919" s="108"/>
      <c r="B919" s="85"/>
      <c r="C919" s="85"/>
      <c r="D919" s="86"/>
      <c r="E919" s="87"/>
      <c r="F919" s="85"/>
      <c r="G919" s="88"/>
      <c r="H919" s="88"/>
      <c r="I919" s="88"/>
      <c r="J919" s="89"/>
      <c r="K919" s="89"/>
      <c r="L919" s="89"/>
      <c r="M919" s="89"/>
      <c r="N919" s="90"/>
      <c r="O919" s="87"/>
    </row>
    <row r="920" spans="1:15" ht="22.5" customHeight="1">
      <c r="A920" s="108"/>
      <c r="B920" s="85"/>
      <c r="C920" s="85"/>
      <c r="D920" s="86"/>
      <c r="E920" s="87"/>
      <c r="F920" s="85"/>
      <c r="G920" s="88"/>
      <c r="H920" s="88"/>
      <c r="I920" s="88"/>
      <c r="J920" s="89"/>
      <c r="K920" s="89"/>
      <c r="L920" s="89"/>
      <c r="M920" s="89"/>
      <c r="N920" s="90"/>
      <c r="O920" s="87"/>
    </row>
    <row r="921" spans="1:15" ht="22.5" customHeight="1">
      <c r="A921" s="108"/>
      <c r="B921" s="85"/>
      <c r="C921" s="85"/>
      <c r="D921" s="86"/>
      <c r="E921" s="87"/>
      <c r="F921" s="85"/>
      <c r="G921" s="88"/>
      <c r="H921" s="88"/>
      <c r="I921" s="88"/>
      <c r="J921" s="89"/>
      <c r="K921" s="89"/>
      <c r="L921" s="89"/>
      <c r="M921" s="89"/>
      <c r="N921" s="90"/>
      <c r="O921" s="87"/>
    </row>
    <row r="922" spans="1:15" ht="22.5" customHeight="1">
      <c r="A922" s="108"/>
      <c r="B922" s="85"/>
      <c r="C922" s="85"/>
      <c r="D922" s="86"/>
      <c r="E922" s="87"/>
      <c r="F922" s="85"/>
      <c r="G922" s="88"/>
      <c r="H922" s="88"/>
      <c r="I922" s="88"/>
      <c r="J922" s="89"/>
      <c r="K922" s="89"/>
      <c r="L922" s="89"/>
      <c r="M922" s="89"/>
      <c r="N922" s="90"/>
      <c r="O922" s="87"/>
    </row>
    <row r="923" spans="1:15" ht="22.5" customHeight="1">
      <c r="A923" s="108"/>
      <c r="B923" s="85"/>
      <c r="C923" s="85"/>
      <c r="D923" s="86"/>
      <c r="E923" s="87"/>
      <c r="F923" s="85"/>
      <c r="G923" s="88"/>
      <c r="H923" s="88"/>
      <c r="I923" s="88"/>
      <c r="J923" s="89"/>
      <c r="K923" s="89"/>
      <c r="L923" s="89"/>
      <c r="M923" s="89"/>
      <c r="N923" s="90"/>
      <c r="O923" s="87"/>
    </row>
    <row r="924" spans="1:15" ht="22.5" customHeight="1">
      <c r="A924" s="108"/>
      <c r="B924" s="85"/>
      <c r="C924" s="85"/>
      <c r="D924" s="86"/>
      <c r="E924" s="87"/>
      <c r="F924" s="85"/>
      <c r="G924" s="88"/>
      <c r="H924" s="88"/>
      <c r="I924" s="88"/>
      <c r="J924" s="89"/>
      <c r="K924" s="89"/>
      <c r="L924" s="89"/>
      <c r="M924" s="89"/>
      <c r="N924" s="90"/>
      <c r="O924" s="87"/>
    </row>
    <row r="925" spans="1:15" ht="22.5" customHeight="1">
      <c r="A925" s="108"/>
      <c r="B925" s="85"/>
      <c r="C925" s="85"/>
      <c r="D925" s="86"/>
      <c r="E925" s="87"/>
      <c r="F925" s="85"/>
      <c r="G925" s="88"/>
      <c r="H925" s="88"/>
      <c r="I925" s="88"/>
      <c r="J925" s="89"/>
      <c r="K925" s="89"/>
      <c r="L925" s="89"/>
      <c r="M925" s="89"/>
      <c r="N925" s="90"/>
      <c r="O925" s="87"/>
    </row>
    <row r="926" spans="1:15" ht="22.5" customHeight="1">
      <c r="A926" s="108"/>
      <c r="B926" s="85"/>
      <c r="C926" s="85"/>
      <c r="D926" s="86"/>
      <c r="E926" s="87"/>
      <c r="F926" s="85"/>
      <c r="G926" s="88"/>
      <c r="H926" s="88"/>
      <c r="I926" s="88"/>
      <c r="J926" s="89"/>
      <c r="K926" s="89"/>
      <c r="L926" s="89"/>
      <c r="M926" s="89"/>
      <c r="N926" s="90"/>
      <c r="O926" s="87"/>
    </row>
    <row r="927" spans="1:15" ht="22.5" customHeight="1">
      <c r="A927" s="108"/>
      <c r="B927" s="85"/>
      <c r="C927" s="85"/>
      <c r="D927" s="86"/>
      <c r="E927" s="87"/>
      <c r="F927" s="85"/>
      <c r="G927" s="88"/>
      <c r="H927" s="88"/>
      <c r="I927" s="88"/>
      <c r="J927" s="89"/>
      <c r="K927" s="89"/>
      <c r="L927" s="89"/>
      <c r="M927" s="89"/>
      <c r="N927" s="90"/>
      <c r="O927" s="87"/>
    </row>
    <row r="928" spans="1:15" ht="22.5" customHeight="1">
      <c r="A928" s="108"/>
      <c r="B928" s="85"/>
      <c r="C928" s="85"/>
      <c r="D928" s="86"/>
      <c r="E928" s="87"/>
      <c r="F928" s="85"/>
      <c r="G928" s="88"/>
      <c r="H928" s="88"/>
      <c r="I928" s="88"/>
      <c r="J928" s="89"/>
      <c r="K928" s="89"/>
      <c r="L928" s="89"/>
      <c r="M928" s="89"/>
      <c r="N928" s="90"/>
      <c r="O928" s="87"/>
    </row>
    <row r="929" spans="1:15" ht="22.5" customHeight="1">
      <c r="A929" s="108"/>
      <c r="B929" s="85"/>
      <c r="C929" s="85"/>
      <c r="D929" s="86"/>
      <c r="E929" s="87"/>
      <c r="F929" s="85"/>
      <c r="G929" s="88"/>
      <c r="H929" s="88"/>
      <c r="I929" s="88"/>
      <c r="J929" s="89"/>
      <c r="K929" s="89"/>
      <c r="L929" s="89"/>
      <c r="M929" s="89"/>
      <c r="N929" s="90"/>
      <c r="O929" s="87"/>
    </row>
    <row r="930" spans="1:15" ht="22.5" customHeight="1">
      <c r="A930" s="108"/>
      <c r="B930" s="85"/>
      <c r="C930" s="85"/>
      <c r="D930" s="86"/>
      <c r="E930" s="87"/>
      <c r="F930" s="85"/>
      <c r="G930" s="88"/>
      <c r="H930" s="88"/>
      <c r="I930" s="88"/>
      <c r="J930" s="89"/>
      <c r="K930" s="89"/>
      <c r="L930" s="89"/>
      <c r="M930" s="89"/>
      <c r="N930" s="90"/>
      <c r="O930" s="87"/>
    </row>
    <row r="931" spans="1:15" ht="22.5" customHeight="1">
      <c r="A931" s="108"/>
      <c r="B931" s="85"/>
      <c r="C931" s="85"/>
      <c r="D931" s="86"/>
      <c r="E931" s="87"/>
      <c r="F931" s="85"/>
      <c r="G931" s="88"/>
      <c r="H931" s="88"/>
      <c r="I931" s="88"/>
      <c r="J931" s="89"/>
      <c r="K931" s="89"/>
      <c r="L931" s="89"/>
      <c r="M931" s="89"/>
      <c r="N931" s="90"/>
      <c r="O931" s="87"/>
    </row>
    <row r="932" spans="1:15" ht="22.5" customHeight="1">
      <c r="A932" s="108"/>
      <c r="B932" s="85"/>
      <c r="C932" s="85"/>
      <c r="D932" s="86"/>
      <c r="E932" s="87"/>
      <c r="F932" s="85"/>
      <c r="G932" s="88"/>
      <c r="H932" s="88"/>
      <c r="I932" s="88"/>
      <c r="J932" s="89"/>
      <c r="K932" s="89"/>
      <c r="L932" s="89"/>
      <c r="M932" s="89"/>
      <c r="N932" s="90"/>
      <c r="O932" s="87"/>
    </row>
    <row r="933" spans="1:15" ht="22.5" customHeight="1">
      <c r="A933" s="108"/>
      <c r="B933" s="85"/>
      <c r="C933" s="85"/>
      <c r="D933" s="86"/>
      <c r="E933" s="87"/>
      <c r="F933" s="85"/>
      <c r="G933" s="88"/>
      <c r="H933" s="88"/>
      <c r="I933" s="88"/>
      <c r="J933" s="89"/>
      <c r="K933" s="89"/>
      <c r="L933" s="89"/>
      <c r="M933" s="89"/>
      <c r="N933" s="90"/>
      <c r="O933" s="87"/>
    </row>
    <row r="934" spans="1:15" ht="22.5" customHeight="1">
      <c r="A934" s="108"/>
      <c r="B934" s="85"/>
      <c r="C934" s="85"/>
      <c r="D934" s="86"/>
      <c r="E934" s="87"/>
      <c r="F934" s="85"/>
      <c r="G934" s="88"/>
      <c r="H934" s="88"/>
      <c r="I934" s="88"/>
      <c r="J934" s="89"/>
      <c r="K934" s="89"/>
      <c r="L934" s="89"/>
      <c r="M934" s="89"/>
      <c r="N934" s="90"/>
      <c r="O934" s="87"/>
    </row>
    <row r="935" spans="1:15" ht="22.5" customHeight="1">
      <c r="A935" s="108"/>
      <c r="B935" s="85"/>
      <c r="C935" s="85"/>
      <c r="D935" s="86"/>
      <c r="E935" s="87"/>
      <c r="F935" s="85"/>
      <c r="G935" s="88"/>
      <c r="H935" s="88"/>
      <c r="I935" s="88"/>
      <c r="J935" s="89"/>
      <c r="K935" s="89"/>
      <c r="L935" s="89"/>
      <c r="M935" s="89"/>
      <c r="N935" s="90"/>
      <c r="O935" s="87"/>
    </row>
    <row r="936" spans="1:15" ht="22.5" customHeight="1">
      <c r="A936" s="108"/>
      <c r="B936" s="85"/>
      <c r="C936" s="85"/>
      <c r="D936" s="86"/>
      <c r="E936" s="87"/>
      <c r="F936" s="85"/>
      <c r="G936" s="88"/>
      <c r="H936" s="88"/>
      <c r="I936" s="88"/>
      <c r="J936" s="89"/>
      <c r="K936" s="89"/>
      <c r="L936" s="89"/>
      <c r="M936" s="89"/>
      <c r="N936" s="90"/>
      <c r="O936" s="87"/>
    </row>
    <row r="937" spans="1:15" ht="22.5" customHeight="1">
      <c r="A937" s="108"/>
      <c r="B937" s="85"/>
      <c r="C937" s="85"/>
      <c r="D937" s="86"/>
      <c r="E937" s="87"/>
      <c r="F937" s="85"/>
      <c r="G937" s="88"/>
      <c r="H937" s="88"/>
      <c r="I937" s="88"/>
      <c r="J937" s="89"/>
      <c r="K937" s="89"/>
      <c r="L937" s="89"/>
      <c r="M937" s="89"/>
      <c r="N937" s="90"/>
      <c r="O937" s="87"/>
    </row>
    <row r="938" spans="1:15" ht="22.5" customHeight="1">
      <c r="A938" s="108"/>
      <c r="B938" s="85"/>
      <c r="C938" s="85"/>
      <c r="D938" s="86"/>
      <c r="E938" s="87"/>
      <c r="F938" s="85"/>
      <c r="G938" s="88"/>
      <c r="H938" s="88"/>
      <c r="I938" s="88"/>
      <c r="J938" s="89"/>
      <c r="K938" s="89"/>
      <c r="L938" s="89"/>
      <c r="M938" s="89"/>
      <c r="N938" s="90"/>
      <c r="O938" s="87"/>
    </row>
    <row r="939" spans="1:15" ht="22.5" customHeight="1">
      <c r="A939" s="108"/>
      <c r="B939" s="85"/>
      <c r="C939" s="85"/>
      <c r="D939" s="86"/>
      <c r="E939" s="87"/>
      <c r="F939" s="85"/>
      <c r="G939" s="88"/>
      <c r="H939" s="88"/>
      <c r="I939" s="88"/>
      <c r="J939" s="89"/>
      <c r="K939" s="89"/>
      <c r="L939" s="89"/>
      <c r="M939" s="89"/>
      <c r="N939" s="90"/>
      <c r="O939" s="87"/>
    </row>
    <row r="940" spans="1:15" ht="22.5" customHeight="1">
      <c r="A940" s="108"/>
      <c r="B940" s="85"/>
      <c r="C940" s="85"/>
      <c r="D940" s="86"/>
      <c r="E940" s="87"/>
      <c r="F940" s="85"/>
      <c r="G940" s="88"/>
      <c r="H940" s="88"/>
      <c r="I940" s="88"/>
      <c r="J940" s="89"/>
      <c r="K940" s="89"/>
      <c r="L940" s="89"/>
      <c r="M940" s="89"/>
      <c r="N940" s="90"/>
      <c r="O940" s="87"/>
    </row>
    <row r="941" spans="1:15" ht="22.5" customHeight="1">
      <c r="A941" s="108"/>
      <c r="B941" s="85"/>
      <c r="C941" s="85"/>
      <c r="D941" s="86"/>
      <c r="E941" s="87"/>
      <c r="F941" s="85"/>
      <c r="G941" s="88"/>
      <c r="H941" s="88"/>
      <c r="I941" s="88"/>
      <c r="J941" s="89"/>
      <c r="K941" s="89"/>
      <c r="L941" s="89"/>
      <c r="M941" s="89"/>
      <c r="N941" s="90"/>
      <c r="O941" s="87"/>
    </row>
    <row r="942" spans="1:15" ht="22.5" customHeight="1">
      <c r="A942" s="108"/>
      <c r="B942" s="85"/>
      <c r="C942" s="85"/>
      <c r="D942" s="86"/>
      <c r="E942" s="87"/>
      <c r="F942" s="85"/>
      <c r="G942" s="88"/>
      <c r="H942" s="88"/>
      <c r="I942" s="88"/>
      <c r="J942" s="89"/>
      <c r="K942" s="89"/>
      <c r="L942" s="89"/>
      <c r="M942" s="89"/>
      <c r="N942" s="90"/>
      <c r="O942" s="87"/>
    </row>
    <row r="943" spans="1:15" ht="22.5" customHeight="1">
      <c r="A943" s="108"/>
      <c r="B943" s="85"/>
      <c r="C943" s="85"/>
      <c r="D943" s="86"/>
      <c r="E943" s="87"/>
      <c r="F943" s="85"/>
      <c r="G943" s="88"/>
      <c r="H943" s="88"/>
      <c r="I943" s="88"/>
      <c r="J943" s="89"/>
      <c r="K943" s="89"/>
      <c r="L943" s="89"/>
      <c r="M943" s="89"/>
      <c r="N943" s="90"/>
      <c r="O943" s="87"/>
    </row>
    <row r="944" spans="1:15" ht="22.5" customHeight="1">
      <c r="A944" s="108"/>
      <c r="B944" s="85"/>
      <c r="C944" s="85"/>
      <c r="D944" s="86"/>
      <c r="E944" s="87"/>
      <c r="F944" s="85"/>
      <c r="G944" s="88"/>
      <c r="H944" s="88"/>
      <c r="I944" s="88"/>
      <c r="J944" s="89"/>
      <c r="K944" s="89"/>
      <c r="L944" s="89"/>
      <c r="M944" s="89"/>
      <c r="N944" s="90"/>
      <c r="O944" s="87"/>
    </row>
    <row r="945" spans="1:15" ht="22.5" customHeight="1">
      <c r="A945" s="108"/>
      <c r="B945" s="85"/>
      <c r="C945" s="85"/>
      <c r="D945" s="86"/>
      <c r="E945" s="87"/>
      <c r="F945" s="85"/>
      <c r="G945" s="88"/>
      <c r="H945" s="88"/>
      <c r="I945" s="88"/>
      <c r="J945" s="89"/>
      <c r="K945" s="89"/>
      <c r="L945" s="89"/>
      <c r="M945" s="89"/>
      <c r="N945" s="90"/>
      <c r="O945" s="87"/>
    </row>
    <row r="946" spans="1:15" ht="22.5" customHeight="1">
      <c r="A946" s="108"/>
      <c r="B946" s="85"/>
      <c r="C946" s="85"/>
      <c r="D946" s="86"/>
      <c r="E946" s="87"/>
      <c r="F946" s="85"/>
      <c r="G946" s="88"/>
      <c r="H946" s="88"/>
      <c r="I946" s="88"/>
      <c r="J946" s="89"/>
      <c r="K946" s="89"/>
      <c r="L946" s="89"/>
      <c r="M946" s="89"/>
      <c r="N946" s="90"/>
      <c r="O946" s="87"/>
    </row>
    <row r="947" spans="1:15" ht="22.5" customHeight="1">
      <c r="A947" s="108"/>
      <c r="B947" s="85"/>
      <c r="C947" s="85"/>
      <c r="D947" s="86"/>
      <c r="E947" s="87"/>
      <c r="F947" s="85"/>
      <c r="G947" s="88"/>
      <c r="H947" s="88"/>
      <c r="I947" s="88"/>
      <c r="J947" s="89"/>
      <c r="K947" s="89"/>
      <c r="L947" s="89"/>
      <c r="M947" s="89"/>
      <c r="N947" s="90"/>
      <c r="O947" s="87"/>
    </row>
    <row r="948" spans="1:15" ht="22.5" customHeight="1">
      <c r="A948" s="108"/>
      <c r="B948" s="85"/>
      <c r="C948" s="85"/>
      <c r="D948" s="86"/>
      <c r="E948" s="87"/>
      <c r="F948" s="85"/>
      <c r="G948" s="88"/>
      <c r="H948" s="88"/>
      <c r="I948" s="88"/>
      <c r="J948" s="89"/>
      <c r="K948" s="89"/>
      <c r="L948" s="89"/>
      <c r="M948" s="89"/>
      <c r="N948" s="90"/>
      <c r="O948" s="87"/>
    </row>
    <row r="949" spans="1:15" ht="22.5" customHeight="1">
      <c r="A949" s="108"/>
      <c r="B949" s="85"/>
      <c r="C949" s="85"/>
      <c r="D949" s="86"/>
      <c r="E949" s="87"/>
      <c r="F949" s="85"/>
      <c r="G949" s="88"/>
      <c r="H949" s="88"/>
      <c r="I949" s="88"/>
      <c r="J949" s="89"/>
      <c r="K949" s="89"/>
      <c r="L949" s="89"/>
      <c r="M949" s="89"/>
      <c r="N949" s="90"/>
      <c r="O949" s="87"/>
    </row>
    <row r="950" spans="1:15" ht="22.5" customHeight="1">
      <c r="A950" s="108"/>
      <c r="B950" s="85"/>
      <c r="C950" s="85"/>
      <c r="D950" s="86"/>
      <c r="E950" s="87"/>
      <c r="F950" s="85"/>
      <c r="G950" s="88"/>
      <c r="H950" s="88"/>
      <c r="I950" s="88"/>
      <c r="J950" s="89"/>
      <c r="K950" s="89"/>
      <c r="L950" s="89"/>
      <c r="M950" s="89"/>
      <c r="N950" s="90"/>
      <c r="O950" s="87"/>
    </row>
    <row r="951" spans="1:15" ht="22.5" customHeight="1">
      <c r="A951" s="108"/>
      <c r="B951" s="85"/>
      <c r="C951" s="85"/>
      <c r="D951" s="86"/>
      <c r="E951" s="87"/>
      <c r="F951" s="85"/>
      <c r="G951" s="88"/>
      <c r="H951" s="88"/>
      <c r="I951" s="88"/>
      <c r="J951" s="89"/>
      <c r="K951" s="89"/>
      <c r="L951" s="89"/>
      <c r="M951" s="89"/>
      <c r="N951" s="90"/>
      <c r="O951" s="87"/>
    </row>
    <row r="952" spans="1:15" ht="22.5" customHeight="1">
      <c r="A952" s="108"/>
      <c r="B952" s="85"/>
      <c r="C952" s="85"/>
      <c r="D952" s="86"/>
      <c r="E952" s="87"/>
      <c r="F952" s="85"/>
      <c r="G952" s="88"/>
      <c r="H952" s="88"/>
      <c r="I952" s="88"/>
      <c r="J952" s="89"/>
      <c r="K952" s="89"/>
      <c r="L952" s="89"/>
      <c r="M952" s="89"/>
      <c r="N952" s="90"/>
      <c r="O952" s="87"/>
    </row>
    <row r="953" spans="1:15" ht="22.5" customHeight="1">
      <c r="A953" s="108"/>
      <c r="B953" s="85"/>
      <c r="C953" s="85"/>
      <c r="D953" s="86"/>
      <c r="E953" s="87"/>
      <c r="F953" s="85"/>
      <c r="G953" s="88"/>
      <c r="H953" s="88"/>
      <c r="I953" s="88"/>
      <c r="J953" s="89"/>
      <c r="K953" s="89"/>
      <c r="L953" s="89"/>
      <c r="M953" s="89"/>
      <c r="N953" s="90"/>
      <c r="O953" s="87"/>
    </row>
    <row r="954" spans="1:15" ht="22.5" customHeight="1">
      <c r="A954" s="108"/>
      <c r="B954" s="85"/>
      <c r="C954" s="85"/>
      <c r="D954" s="86"/>
      <c r="E954" s="87"/>
      <c r="F954" s="85"/>
      <c r="G954" s="88"/>
      <c r="H954" s="88"/>
      <c r="I954" s="88"/>
      <c r="J954" s="89"/>
      <c r="K954" s="89"/>
      <c r="L954" s="89"/>
      <c r="M954" s="89"/>
      <c r="N954" s="90"/>
      <c r="O954" s="87"/>
    </row>
    <row r="955" spans="1:15" ht="22.5" customHeight="1">
      <c r="A955" s="108"/>
      <c r="B955" s="85"/>
      <c r="C955" s="85"/>
      <c r="D955" s="86"/>
      <c r="E955" s="87"/>
      <c r="F955" s="85"/>
      <c r="G955" s="88"/>
      <c r="H955" s="88"/>
      <c r="I955" s="88"/>
      <c r="J955" s="89"/>
      <c r="K955" s="89"/>
      <c r="L955" s="89"/>
      <c r="M955" s="89"/>
      <c r="N955" s="90"/>
      <c r="O955" s="87"/>
    </row>
    <row r="956" spans="1:15" ht="22.5" customHeight="1">
      <c r="A956" s="108"/>
      <c r="B956" s="85"/>
      <c r="C956" s="85"/>
      <c r="D956" s="86"/>
      <c r="E956" s="87"/>
      <c r="F956" s="85"/>
      <c r="G956" s="88"/>
      <c r="H956" s="88"/>
      <c r="I956" s="88"/>
      <c r="J956" s="89"/>
      <c r="K956" s="89"/>
      <c r="L956" s="89"/>
      <c r="M956" s="89"/>
      <c r="N956" s="90"/>
      <c r="O956" s="87"/>
    </row>
    <row r="957" spans="1:15" ht="22.5" customHeight="1">
      <c r="A957" s="108"/>
      <c r="B957" s="85"/>
      <c r="C957" s="85"/>
      <c r="D957" s="86"/>
      <c r="E957" s="87"/>
      <c r="F957" s="85"/>
      <c r="G957" s="88"/>
      <c r="H957" s="88"/>
      <c r="I957" s="88"/>
      <c r="J957" s="89"/>
      <c r="K957" s="89"/>
      <c r="L957" s="89"/>
      <c r="M957" s="89"/>
      <c r="N957" s="90"/>
      <c r="O957" s="87"/>
    </row>
    <row r="958" spans="1:15" ht="22.5" customHeight="1">
      <c r="A958" s="108"/>
      <c r="B958" s="85"/>
      <c r="C958" s="85"/>
      <c r="D958" s="86"/>
      <c r="E958" s="87"/>
      <c r="F958" s="85"/>
      <c r="G958" s="88"/>
      <c r="H958" s="88"/>
      <c r="I958" s="88"/>
      <c r="J958" s="89"/>
      <c r="K958" s="89"/>
      <c r="L958" s="89"/>
      <c r="M958" s="89"/>
      <c r="N958" s="90"/>
      <c r="O958" s="87"/>
    </row>
    <row r="959" spans="1:15" ht="22.5" customHeight="1">
      <c r="A959" s="108"/>
      <c r="B959" s="85"/>
      <c r="C959" s="85"/>
      <c r="D959" s="86"/>
      <c r="E959" s="87"/>
      <c r="F959" s="85"/>
      <c r="G959" s="88"/>
      <c r="H959" s="88"/>
      <c r="I959" s="88"/>
      <c r="J959" s="89"/>
      <c r="K959" s="89"/>
      <c r="L959" s="89"/>
      <c r="M959" s="89"/>
      <c r="N959" s="90"/>
      <c r="O959" s="87"/>
    </row>
    <row r="960" spans="1:15" ht="22.5" customHeight="1">
      <c r="A960" s="108"/>
      <c r="B960" s="85"/>
      <c r="C960" s="85"/>
      <c r="D960" s="86"/>
      <c r="E960" s="87"/>
      <c r="F960" s="85"/>
      <c r="G960" s="88"/>
      <c r="H960" s="88"/>
      <c r="I960" s="88"/>
      <c r="J960" s="89"/>
      <c r="K960" s="89"/>
      <c r="L960" s="89"/>
      <c r="M960" s="89"/>
      <c r="N960" s="90"/>
      <c r="O960" s="87"/>
    </row>
    <row r="961" spans="1:15" ht="22.5" customHeight="1">
      <c r="A961" s="108"/>
      <c r="B961" s="85"/>
      <c r="C961" s="85"/>
      <c r="D961" s="86"/>
      <c r="E961" s="87"/>
      <c r="F961" s="85"/>
      <c r="G961" s="88"/>
      <c r="H961" s="88"/>
      <c r="I961" s="88"/>
      <c r="J961" s="89"/>
      <c r="K961" s="89"/>
      <c r="L961" s="89"/>
      <c r="M961" s="89"/>
      <c r="N961" s="90"/>
      <c r="O961" s="87"/>
    </row>
    <row r="962" spans="1:15" ht="22.5" customHeight="1">
      <c r="A962" s="108"/>
      <c r="B962" s="85"/>
      <c r="C962" s="85"/>
      <c r="D962" s="86"/>
      <c r="E962" s="87"/>
      <c r="F962" s="85"/>
      <c r="G962" s="88"/>
      <c r="H962" s="88"/>
      <c r="I962" s="88"/>
      <c r="J962" s="89"/>
      <c r="K962" s="89"/>
      <c r="L962" s="89"/>
      <c r="M962" s="89"/>
      <c r="N962" s="90"/>
      <c r="O962" s="87"/>
    </row>
    <row r="963" spans="1:15" ht="22.5" customHeight="1">
      <c r="A963" s="108"/>
      <c r="B963" s="85"/>
      <c r="C963" s="85"/>
      <c r="D963" s="86"/>
      <c r="E963" s="87"/>
      <c r="F963" s="85"/>
      <c r="G963" s="88"/>
      <c r="H963" s="88"/>
      <c r="I963" s="88"/>
      <c r="J963" s="89"/>
      <c r="K963" s="89"/>
      <c r="L963" s="89"/>
      <c r="M963" s="89"/>
      <c r="N963" s="90"/>
      <c r="O963" s="87"/>
    </row>
    <row r="964" spans="1:15" ht="22.5" customHeight="1">
      <c r="A964" s="108"/>
      <c r="B964" s="85"/>
      <c r="C964" s="85"/>
      <c r="D964" s="86"/>
      <c r="E964" s="87"/>
      <c r="F964" s="85"/>
      <c r="G964" s="88"/>
      <c r="H964" s="88"/>
      <c r="I964" s="88"/>
      <c r="J964" s="89"/>
      <c r="K964" s="89"/>
      <c r="L964" s="89"/>
      <c r="M964" s="89"/>
      <c r="N964" s="90"/>
      <c r="O964" s="87"/>
    </row>
    <row r="965" spans="1:15" ht="22.5" customHeight="1">
      <c r="A965" s="108"/>
      <c r="B965" s="85"/>
      <c r="C965" s="85"/>
      <c r="D965" s="86"/>
      <c r="E965" s="87"/>
      <c r="F965" s="85"/>
      <c r="G965" s="88"/>
      <c r="H965" s="88"/>
      <c r="I965" s="88"/>
      <c r="J965" s="89"/>
      <c r="K965" s="89"/>
      <c r="L965" s="89"/>
      <c r="M965" s="89"/>
      <c r="N965" s="90"/>
      <c r="O965" s="87"/>
    </row>
    <row r="966" spans="1:15" ht="22.5" customHeight="1">
      <c r="A966" s="108"/>
      <c r="B966" s="85"/>
      <c r="C966" s="85"/>
      <c r="D966" s="86"/>
      <c r="E966" s="87"/>
      <c r="F966" s="85"/>
      <c r="G966" s="88"/>
      <c r="H966" s="88"/>
      <c r="I966" s="88"/>
      <c r="J966" s="89"/>
      <c r="K966" s="89"/>
      <c r="L966" s="89"/>
      <c r="M966" s="89"/>
      <c r="N966" s="90"/>
      <c r="O966" s="87"/>
    </row>
    <row r="967" spans="1:15" ht="22.5" customHeight="1">
      <c r="A967" s="108"/>
      <c r="B967" s="85"/>
      <c r="C967" s="85"/>
      <c r="D967" s="86"/>
      <c r="E967" s="87"/>
      <c r="F967" s="85"/>
      <c r="G967" s="88"/>
      <c r="H967" s="88"/>
      <c r="I967" s="88"/>
      <c r="J967" s="89"/>
      <c r="K967" s="89"/>
      <c r="L967" s="89"/>
      <c r="M967" s="89"/>
      <c r="N967" s="90"/>
      <c r="O967" s="87"/>
    </row>
    <row r="968" spans="1:15" ht="22.5" customHeight="1">
      <c r="A968" s="108"/>
      <c r="B968" s="85"/>
      <c r="C968" s="85"/>
      <c r="D968" s="86"/>
      <c r="E968" s="87"/>
      <c r="F968" s="85"/>
      <c r="G968" s="88"/>
      <c r="H968" s="88"/>
      <c r="I968" s="88"/>
      <c r="J968" s="89"/>
      <c r="K968" s="89"/>
      <c r="L968" s="89"/>
      <c r="M968" s="89"/>
      <c r="N968" s="90"/>
      <c r="O968" s="87"/>
    </row>
    <row r="969" spans="1:15" ht="22.5" customHeight="1">
      <c r="A969" s="108"/>
      <c r="B969" s="85"/>
      <c r="C969" s="85"/>
      <c r="D969" s="86"/>
      <c r="E969" s="87"/>
      <c r="F969" s="85"/>
      <c r="G969" s="88"/>
      <c r="H969" s="88"/>
      <c r="I969" s="88"/>
      <c r="J969" s="89"/>
      <c r="K969" s="89"/>
      <c r="L969" s="89"/>
      <c r="M969" s="89"/>
      <c r="N969" s="90"/>
      <c r="O969" s="87"/>
    </row>
    <row r="970" spans="1:15" ht="22.5" customHeight="1">
      <c r="A970" s="108"/>
      <c r="B970" s="85"/>
      <c r="C970" s="85"/>
      <c r="D970" s="86"/>
      <c r="E970" s="87"/>
      <c r="F970" s="85"/>
      <c r="G970" s="88"/>
      <c r="H970" s="88"/>
      <c r="I970" s="88"/>
      <c r="J970" s="89"/>
      <c r="K970" s="89"/>
      <c r="L970" s="89"/>
      <c r="M970" s="89"/>
      <c r="N970" s="90"/>
      <c r="O970" s="87"/>
    </row>
    <row r="971" spans="1:15" ht="22.5" customHeight="1">
      <c r="A971" s="108"/>
      <c r="B971" s="85"/>
      <c r="C971" s="85"/>
      <c r="D971" s="86"/>
      <c r="E971" s="87"/>
      <c r="F971" s="85"/>
      <c r="G971" s="88"/>
      <c r="H971" s="88"/>
      <c r="I971" s="88"/>
      <c r="J971" s="89"/>
      <c r="K971" s="89"/>
      <c r="L971" s="89"/>
      <c r="M971" s="89"/>
      <c r="N971" s="90"/>
      <c r="O971" s="87"/>
    </row>
    <row r="972" spans="1:15" ht="22.5" customHeight="1">
      <c r="A972" s="108"/>
      <c r="B972" s="85"/>
      <c r="C972" s="85"/>
      <c r="D972" s="86"/>
      <c r="E972" s="87"/>
      <c r="F972" s="85"/>
      <c r="G972" s="88"/>
      <c r="H972" s="88"/>
      <c r="I972" s="88"/>
      <c r="J972" s="89"/>
      <c r="K972" s="89"/>
      <c r="L972" s="89"/>
      <c r="M972" s="89"/>
      <c r="N972" s="90"/>
      <c r="O972" s="87"/>
    </row>
    <row r="973" spans="1:15" ht="22.5" customHeight="1">
      <c r="A973" s="108"/>
      <c r="B973" s="85"/>
      <c r="C973" s="85"/>
      <c r="D973" s="86"/>
      <c r="E973" s="87"/>
      <c r="F973" s="85"/>
      <c r="G973" s="88"/>
      <c r="H973" s="88"/>
      <c r="I973" s="88"/>
      <c r="J973" s="89"/>
      <c r="K973" s="89"/>
      <c r="L973" s="89"/>
      <c r="M973" s="89"/>
      <c r="N973" s="90"/>
      <c r="O973" s="87"/>
    </row>
    <row r="974" spans="1:15" ht="22.5" customHeight="1">
      <c r="A974" s="108"/>
      <c r="B974" s="85"/>
      <c r="C974" s="85"/>
      <c r="D974" s="86"/>
      <c r="E974" s="87"/>
      <c r="F974" s="85"/>
      <c r="G974" s="88"/>
      <c r="H974" s="88"/>
      <c r="I974" s="88"/>
      <c r="J974" s="89"/>
      <c r="K974" s="89"/>
      <c r="L974" s="89"/>
      <c r="M974" s="89"/>
      <c r="N974" s="90"/>
      <c r="O974" s="87"/>
    </row>
    <row r="975" spans="1:15" ht="22.5" customHeight="1">
      <c r="A975" s="108"/>
      <c r="B975" s="85"/>
      <c r="C975" s="85"/>
      <c r="D975" s="86"/>
      <c r="E975" s="87"/>
      <c r="F975" s="85"/>
      <c r="G975" s="88"/>
      <c r="H975" s="88"/>
      <c r="I975" s="88"/>
      <c r="J975" s="89"/>
      <c r="K975" s="89"/>
      <c r="L975" s="89"/>
      <c r="M975" s="89"/>
      <c r="N975" s="90"/>
      <c r="O975" s="87"/>
    </row>
    <row r="976" spans="1:15" ht="22.5" customHeight="1">
      <c r="A976" s="108"/>
      <c r="B976" s="85"/>
      <c r="C976" s="85"/>
      <c r="D976" s="86"/>
      <c r="E976" s="87"/>
      <c r="F976" s="85"/>
      <c r="G976" s="88"/>
      <c r="H976" s="88"/>
      <c r="I976" s="88"/>
      <c r="J976" s="89"/>
      <c r="K976" s="89"/>
      <c r="L976" s="89"/>
      <c r="M976" s="89"/>
      <c r="N976" s="90"/>
      <c r="O976" s="87"/>
    </row>
    <row r="977" spans="1:15" ht="22.5" customHeight="1">
      <c r="A977" s="108"/>
      <c r="B977" s="85"/>
      <c r="C977" s="85"/>
      <c r="D977" s="86"/>
      <c r="E977" s="87"/>
      <c r="F977" s="85"/>
      <c r="G977" s="88"/>
      <c r="H977" s="88"/>
      <c r="I977" s="88"/>
      <c r="J977" s="89"/>
      <c r="K977" s="89"/>
      <c r="L977" s="89"/>
      <c r="M977" s="89"/>
      <c r="N977" s="90"/>
      <c r="O977" s="87"/>
    </row>
    <row r="978" spans="1:15" ht="22.5" customHeight="1">
      <c r="A978" s="108"/>
      <c r="B978" s="85"/>
      <c r="C978" s="85"/>
      <c r="D978" s="86"/>
      <c r="E978" s="87"/>
      <c r="F978" s="85"/>
      <c r="G978" s="88"/>
      <c r="H978" s="88"/>
      <c r="I978" s="88"/>
      <c r="J978" s="89"/>
      <c r="K978" s="89"/>
      <c r="L978" s="89"/>
      <c r="M978" s="89"/>
      <c r="N978" s="90"/>
      <c r="O978" s="87"/>
    </row>
    <row r="979" spans="1:15" ht="22.5" customHeight="1">
      <c r="A979" s="108"/>
      <c r="B979" s="85"/>
      <c r="C979" s="85"/>
      <c r="D979" s="86"/>
      <c r="E979" s="87"/>
      <c r="F979" s="85"/>
      <c r="G979" s="88"/>
      <c r="H979" s="88"/>
      <c r="I979" s="88"/>
      <c r="J979" s="89"/>
      <c r="K979" s="89"/>
      <c r="L979" s="89"/>
      <c r="M979" s="89"/>
      <c r="N979" s="90"/>
      <c r="O979" s="87"/>
    </row>
    <row r="980" spans="1:15" ht="22.5" customHeight="1">
      <c r="A980" s="108"/>
      <c r="B980" s="85"/>
      <c r="C980" s="85"/>
      <c r="D980" s="86"/>
      <c r="E980" s="87"/>
      <c r="F980" s="85"/>
      <c r="G980" s="88"/>
      <c r="H980" s="88"/>
      <c r="I980" s="88"/>
      <c r="J980" s="89"/>
      <c r="K980" s="89"/>
      <c r="L980" s="89"/>
      <c r="M980" s="89"/>
      <c r="N980" s="90"/>
      <c r="O980" s="87"/>
    </row>
    <row r="981" spans="1:15" ht="22.5" customHeight="1">
      <c r="A981" s="108"/>
      <c r="B981" s="85"/>
      <c r="C981" s="85"/>
      <c r="D981" s="86"/>
      <c r="E981" s="87"/>
      <c r="F981" s="85"/>
      <c r="G981" s="88"/>
      <c r="H981" s="88"/>
      <c r="I981" s="88"/>
      <c r="J981" s="89"/>
      <c r="K981" s="89"/>
      <c r="L981" s="89"/>
      <c r="M981" s="89"/>
      <c r="N981" s="90"/>
      <c r="O981" s="87"/>
    </row>
    <row r="982" spans="1:15" ht="22.5" customHeight="1">
      <c r="A982" s="108"/>
      <c r="B982" s="85"/>
      <c r="C982" s="85"/>
      <c r="D982" s="86"/>
      <c r="E982" s="87"/>
      <c r="F982" s="85"/>
      <c r="G982" s="88"/>
      <c r="H982" s="88"/>
      <c r="I982" s="88"/>
      <c r="J982" s="89"/>
      <c r="K982" s="89"/>
      <c r="L982" s="89"/>
      <c r="M982" s="89"/>
      <c r="N982" s="90"/>
      <c r="O982" s="87"/>
    </row>
    <row r="983" spans="1:15" ht="22.5" customHeight="1">
      <c r="A983" s="108"/>
      <c r="B983" s="85"/>
      <c r="C983" s="85"/>
      <c r="D983" s="86"/>
      <c r="E983" s="87"/>
      <c r="F983" s="85"/>
      <c r="G983" s="88"/>
      <c r="H983" s="88"/>
      <c r="I983" s="88"/>
      <c r="J983" s="89"/>
      <c r="K983" s="89"/>
      <c r="L983" s="89"/>
      <c r="M983" s="89"/>
      <c r="N983" s="90"/>
      <c r="O983" s="87"/>
    </row>
    <row r="984" spans="1:15" ht="22.5" customHeight="1">
      <c r="A984" s="108"/>
      <c r="B984" s="85"/>
      <c r="C984" s="85"/>
      <c r="D984" s="86"/>
      <c r="E984" s="87"/>
      <c r="F984" s="85"/>
      <c r="G984" s="88"/>
      <c r="H984" s="88"/>
      <c r="I984" s="88"/>
      <c r="J984" s="89"/>
      <c r="K984" s="89"/>
      <c r="L984" s="89"/>
      <c r="M984" s="89"/>
      <c r="N984" s="90"/>
      <c r="O984" s="87"/>
    </row>
    <row r="985" spans="1:15" ht="22.5" customHeight="1">
      <c r="A985" s="108"/>
      <c r="B985" s="85"/>
      <c r="C985" s="85"/>
      <c r="D985" s="86"/>
      <c r="E985" s="87"/>
      <c r="F985" s="85"/>
      <c r="G985" s="88"/>
      <c r="H985" s="88"/>
      <c r="I985" s="88"/>
      <c r="J985" s="89"/>
      <c r="K985" s="89"/>
      <c r="L985" s="89"/>
      <c r="M985" s="89"/>
      <c r="N985" s="90"/>
      <c r="O985" s="87"/>
    </row>
    <row r="986" spans="1:15" ht="22.5" customHeight="1">
      <c r="A986" s="108"/>
      <c r="B986" s="85"/>
      <c r="C986" s="85"/>
      <c r="D986" s="86"/>
      <c r="E986" s="87"/>
      <c r="F986" s="85"/>
      <c r="G986" s="88"/>
      <c r="H986" s="88"/>
      <c r="I986" s="88"/>
      <c r="J986" s="89"/>
      <c r="K986" s="89"/>
      <c r="L986" s="89"/>
      <c r="M986" s="89"/>
      <c r="N986" s="90"/>
      <c r="O986" s="87"/>
    </row>
    <row r="987" spans="1:15" ht="22.5" customHeight="1">
      <c r="A987" s="108"/>
      <c r="B987" s="85"/>
      <c r="C987" s="85"/>
      <c r="D987" s="86"/>
      <c r="E987" s="87"/>
      <c r="F987" s="85"/>
      <c r="G987" s="88"/>
      <c r="H987" s="88"/>
      <c r="I987" s="88"/>
      <c r="J987" s="89"/>
      <c r="K987" s="89"/>
      <c r="L987" s="89"/>
      <c r="M987" s="89"/>
      <c r="N987" s="90"/>
      <c r="O987" s="87"/>
    </row>
    <row r="988" spans="1:15" ht="22.5" customHeight="1">
      <c r="A988" s="108"/>
      <c r="B988" s="85"/>
      <c r="C988" s="85"/>
      <c r="D988" s="86"/>
      <c r="E988" s="87"/>
      <c r="F988" s="85"/>
      <c r="G988" s="88"/>
      <c r="H988" s="88"/>
      <c r="I988" s="88"/>
      <c r="J988" s="89"/>
      <c r="K988" s="89"/>
      <c r="L988" s="89"/>
      <c r="M988" s="89"/>
      <c r="N988" s="90"/>
      <c r="O988" s="87"/>
    </row>
    <row r="989" spans="1:15" ht="22.5" customHeight="1">
      <c r="A989" s="108"/>
      <c r="B989" s="85"/>
      <c r="C989" s="85"/>
      <c r="D989" s="86"/>
      <c r="E989" s="87"/>
      <c r="F989" s="85"/>
      <c r="G989" s="88"/>
      <c r="H989" s="88"/>
      <c r="I989" s="88"/>
      <c r="J989" s="89"/>
      <c r="K989" s="89"/>
      <c r="L989" s="89"/>
      <c r="M989" s="89"/>
      <c r="N989" s="90"/>
      <c r="O989" s="87"/>
    </row>
    <row r="990" spans="1:15" ht="22.5" customHeight="1">
      <c r="A990" s="108"/>
      <c r="B990" s="85"/>
      <c r="C990" s="85"/>
      <c r="D990" s="86"/>
      <c r="E990" s="87"/>
      <c r="F990" s="85"/>
      <c r="G990" s="88"/>
      <c r="H990" s="88"/>
      <c r="I990" s="88"/>
      <c r="J990" s="89"/>
      <c r="K990" s="89"/>
      <c r="L990" s="89"/>
      <c r="M990" s="89"/>
      <c r="N990" s="90"/>
      <c r="O990" s="87"/>
    </row>
    <row r="991" spans="1:15" ht="22.5" customHeight="1">
      <c r="A991" s="108"/>
      <c r="B991" s="85"/>
      <c r="C991" s="85"/>
      <c r="D991" s="86"/>
      <c r="E991" s="87"/>
      <c r="F991" s="85"/>
      <c r="G991" s="88"/>
      <c r="H991" s="88"/>
      <c r="I991" s="88"/>
      <c r="J991" s="89"/>
      <c r="K991" s="89"/>
      <c r="L991" s="89"/>
      <c r="M991" s="89"/>
      <c r="N991" s="90"/>
      <c r="O991" s="87"/>
    </row>
    <row r="992" spans="1:15" ht="22.5" customHeight="1">
      <c r="A992" s="108"/>
      <c r="B992" s="85"/>
      <c r="C992" s="85"/>
      <c r="D992" s="86"/>
      <c r="E992" s="87"/>
      <c r="F992" s="85"/>
      <c r="G992" s="88"/>
      <c r="H992" s="88"/>
      <c r="I992" s="88"/>
      <c r="J992" s="89"/>
      <c r="K992" s="89"/>
      <c r="L992" s="89"/>
      <c r="M992" s="89"/>
      <c r="N992" s="90"/>
      <c r="O992" s="87"/>
    </row>
    <row r="993" spans="1:15" ht="22.5" customHeight="1">
      <c r="A993" s="108"/>
      <c r="B993" s="85"/>
      <c r="C993" s="85"/>
      <c r="D993" s="86"/>
      <c r="E993" s="87"/>
      <c r="F993" s="85"/>
      <c r="G993" s="88"/>
      <c r="H993" s="88"/>
      <c r="I993" s="88"/>
      <c r="J993" s="89"/>
      <c r="K993" s="89"/>
      <c r="L993" s="89"/>
      <c r="M993" s="89"/>
      <c r="N993" s="90"/>
      <c r="O993" s="87"/>
    </row>
    <row r="994" spans="1:15" ht="22.5" customHeight="1">
      <c r="A994" s="108"/>
      <c r="B994" s="85"/>
      <c r="C994" s="85"/>
      <c r="D994" s="86"/>
      <c r="E994" s="87"/>
      <c r="F994" s="85"/>
      <c r="G994" s="88"/>
      <c r="H994" s="88"/>
      <c r="I994" s="88"/>
      <c r="J994" s="89"/>
      <c r="K994" s="89"/>
      <c r="L994" s="89"/>
      <c r="M994" s="89"/>
      <c r="N994" s="90"/>
      <c r="O994" s="87"/>
    </row>
    <row r="995" spans="1:15" ht="22.5" customHeight="1">
      <c r="A995" s="108"/>
      <c r="B995" s="85"/>
      <c r="C995" s="85"/>
      <c r="D995" s="86"/>
      <c r="E995" s="87"/>
      <c r="F995" s="85"/>
      <c r="G995" s="88"/>
      <c r="H995" s="88"/>
      <c r="I995" s="88"/>
      <c r="J995" s="89"/>
      <c r="K995" s="89"/>
      <c r="L995" s="89"/>
      <c r="M995" s="89"/>
      <c r="N995" s="90"/>
      <c r="O995" s="87"/>
    </row>
    <row r="996" spans="1:15" ht="22.5" customHeight="1">
      <c r="A996" s="108"/>
      <c r="B996" s="85"/>
      <c r="C996" s="85"/>
      <c r="D996" s="86"/>
      <c r="E996" s="87"/>
      <c r="F996" s="85"/>
      <c r="G996" s="88"/>
      <c r="H996" s="88"/>
      <c r="I996" s="88"/>
      <c r="J996" s="89"/>
      <c r="K996" s="89"/>
      <c r="L996" s="89"/>
      <c r="M996" s="89"/>
      <c r="N996" s="90"/>
      <c r="O996" s="87"/>
    </row>
    <row r="997" spans="1:15" ht="22.5" customHeight="1">
      <c r="A997" s="108"/>
      <c r="B997" s="85"/>
      <c r="C997" s="85"/>
      <c r="D997" s="86"/>
      <c r="E997" s="87"/>
      <c r="F997" s="85"/>
      <c r="G997" s="88"/>
      <c r="H997" s="88"/>
      <c r="I997" s="88"/>
      <c r="J997" s="89"/>
      <c r="K997" s="89"/>
      <c r="L997" s="89"/>
      <c r="M997" s="89"/>
      <c r="N997" s="90"/>
      <c r="O997" s="87"/>
    </row>
    <row r="998" spans="1:15" ht="22.5" customHeight="1">
      <c r="A998" s="108"/>
      <c r="B998" s="85"/>
      <c r="C998" s="85"/>
      <c r="D998" s="86"/>
      <c r="E998" s="87"/>
      <c r="F998" s="85"/>
      <c r="G998" s="88"/>
      <c r="H998" s="88"/>
      <c r="I998" s="88"/>
      <c r="J998" s="89"/>
      <c r="K998" s="89"/>
      <c r="L998" s="89"/>
      <c r="M998" s="89"/>
      <c r="N998" s="90"/>
      <c r="O998" s="87"/>
    </row>
    <row r="999" spans="1:15" ht="22.5" customHeight="1">
      <c r="A999" s="108"/>
      <c r="B999" s="85"/>
      <c r="C999" s="85"/>
      <c r="D999" s="86"/>
      <c r="E999" s="87"/>
      <c r="F999" s="85"/>
      <c r="G999" s="88"/>
      <c r="H999" s="88"/>
      <c r="I999" s="88"/>
      <c r="J999" s="89"/>
      <c r="K999" s="89"/>
      <c r="L999" s="89"/>
      <c r="M999" s="89"/>
      <c r="N999" s="90"/>
      <c r="O999" s="87"/>
    </row>
    <row r="1000" spans="1:15" ht="22.5" customHeight="1">
      <c r="A1000" s="108"/>
      <c r="B1000" s="85"/>
      <c r="C1000" s="85"/>
      <c r="D1000" s="86"/>
      <c r="E1000" s="87"/>
      <c r="F1000" s="85"/>
      <c r="G1000" s="88"/>
      <c r="H1000" s="88"/>
      <c r="I1000" s="88"/>
      <c r="J1000" s="89"/>
      <c r="K1000" s="89"/>
      <c r="L1000" s="89"/>
      <c r="M1000" s="89"/>
      <c r="N1000" s="90"/>
      <c r="O1000" s="87"/>
    </row>
    <row r="1001" spans="1:15" ht="22.5" customHeight="1">
      <c r="A1001" s="108"/>
      <c r="B1001" s="85"/>
      <c r="C1001" s="85"/>
      <c r="D1001" s="86"/>
      <c r="E1001" s="87"/>
      <c r="F1001" s="85"/>
      <c r="G1001" s="88"/>
      <c r="H1001" s="88"/>
      <c r="I1001" s="88"/>
      <c r="J1001" s="89"/>
      <c r="K1001" s="89"/>
      <c r="L1001" s="89"/>
      <c r="M1001" s="89"/>
      <c r="N1001" s="90"/>
      <c r="O1001" s="87"/>
    </row>
  </sheetData>
  <dataValidations count="5">
    <dataValidation type="list" allowBlank="1" sqref="C2:C201" xr:uid="{00000000-0002-0000-0300-000000000000}">
      <formula1>"None,Matte,Glitter,Glow,Metallic"</formula1>
    </dataValidation>
    <dataValidation type="list" allowBlank="1" sqref="B2:B201" xr:uid="{00000000-0002-0000-0300-000001000000}">
      <formula1>"None,PLA,PETG,ABS,ASA,TPU / TPE,Nylon,PC,PEEK / PEI,Carbon Fiber,Glass Fiber,Wood-Filled,Metal-Filled,PVA"</formula1>
    </dataValidation>
    <dataValidation type="custom" allowBlank="1" showDropDown="1" sqref="H2:I201 K2:N201" xr:uid="{00000000-0002-0000-0300-000002000000}">
      <formula1>AND(ISNUMBER(H2),(NOT(OR(NOT(ISERROR(DATEVALUE(H2))), AND(ISNUMBER(H2), LEFT(CELL("format", H2))="D")))))</formula1>
    </dataValidation>
    <dataValidation allowBlank="1" showDropDown="1" sqref="O2:O201 D2:G201 A2:A201" xr:uid="{00000000-0002-0000-0300-000003000000}"/>
    <dataValidation type="list" allowBlank="1" showErrorMessage="1" sqref="J2:J201" xr:uid="{00000000-0002-0000-0300-000004000000}">
      <formula1>" No ,Yes"</formula1>
    </dataValidation>
  </dataValidations>
  <hyperlinks>
    <hyperlink ref="O3" r:id="rId1" xr:uid="{00000000-0004-0000-0300-000000000000}"/>
    <hyperlink ref="O4" r:id="rId2" xr:uid="{00000000-0004-0000-0300-000001000000}"/>
    <hyperlink ref="O5" r:id="rId3" xr:uid="{00000000-0004-0000-0300-000002000000}"/>
    <hyperlink ref="O6" r:id="rId4" xr:uid="{00000000-0004-0000-0300-000003000000}"/>
    <hyperlink ref="O7" r:id="rId5" xr:uid="{00000000-0004-0000-0300-000004000000}"/>
    <hyperlink ref="O8" r:id="rId6" xr:uid="{00000000-0004-0000-0300-000005000000}"/>
    <hyperlink ref="O9" r:id="rId7" xr:uid="{00000000-0004-0000-0300-000006000000}"/>
    <hyperlink ref="O10" r:id="rId8" xr:uid="{00000000-0004-0000-0300-000007000000}"/>
    <hyperlink ref="O11" r:id="rId9" xr:uid="{00000000-0004-0000-0300-000008000000}"/>
  </hyperlinks>
  <pageMargins left="0.7" right="0.7" top="0.75" bottom="0.75" header="0.3" footer="0.3"/>
  <tableParts count="1">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H995"/>
  <sheetViews>
    <sheetView workbookViewId="0">
      <pane ySplit="1" topLeftCell="A2" activePane="bottomLeft" state="frozen"/>
      <selection pane="bottomLeft"/>
    </sheetView>
  </sheetViews>
  <sheetFormatPr defaultColWidth="12.5703125" defaultRowHeight="22.5" customHeight="1"/>
  <cols>
    <col min="1" max="1" width="5.28515625" style="112" customWidth="1"/>
    <col min="2" max="2" width="25.85546875" style="14" customWidth="1"/>
    <col min="3" max="3" width="30.140625" style="14" customWidth="1"/>
    <col min="4" max="4" width="24.28515625" style="14" customWidth="1"/>
    <col min="5" max="5" width="16.5703125" style="14" customWidth="1"/>
    <col min="6" max="6" width="23.28515625" style="14" customWidth="1"/>
    <col min="7" max="7" width="24.5703125" style="14" customWidth="1"/>
    <col min="8" max="8" width="23.28515625" style="14" customWidth="1"/>
    <col min="9" max="9" width="14.85546875" style="14" customWidth="1"/>
    <col min="10" max="10" width="13.28515625" style="14" customWidth="1"/>
    <col min="11" max="11" width="18.42578125" style="14" customWidth="1"/>
    <col min="12" max="12" width="21.28515625" style="14" customWidth="1"/>
    <col min="13" max="13" width="27.28515625" style="14" customWidth="1"/>
    <col min="14" max="14" width="43.5703125" style="14" customWidth="1"/>
    <col min="15" max="16384" width="12.5703125" style="14"/>
  </cols>
  <sheetData>
    <row r="1" spans="1:34" ht="22.5" customHeight="1">
      <c r="A1" s="110" t="s">
        <v>48</v>
      </c>
      <c r="B1" s="91" t="s">
        <v>100</v>
      </c>
      <c r="C1" s="91" t="s">
        <v>64</v>
      </c>
      <c r="D1" s="91" t="s">
        <v>67</v>
      </c>
      <c r="E1" s="92" t="s">
        <v>68</v>
      </c>
      <c r="F1" s="92" t="s">
        <v>71</v>
      </c>
      <c r="G1" s="91" t="s">
        <v>103</v>
      </c>
      <c r="H1" s="91" t="s">
        <v>104</v>
      </c>
      <c r="I1" s="93" t="s">
        <v>74</v>
      </c>
      <c r="J1" s="93" t="s">
        <v>75</v>
      </c>
      <c r="K1" s="93" t="s">
        <v>77</v>
      </c>
      <c r="L1" s="93" t="s">
        <v>78</v>
      </c>
      <c r="M1" s="91" t="s">
        <v>80</v>
      </c>
      <c r="N1" s="94" t="s">
        <v>107</v>
      </c>
      <c r="O1" s="45"/>
      <c r="P1" s="45"/>
      <c r="Q1" s="45"/>
      <c r="R1" s="45"/>
      <c r="S1" s="45"/>
      <c r="T1" s="45"/>
      <c r="U1" s="45"/>
      <c r="V1" s="45"/>
      <c r="W1" s="45"/>
      <c r="X1" s="45"/>
      <c r="Y1" s="45"/>
      <c r="Z1" s="45"/>
      <c r="AA1" s="45"/>
      <c r="AB1" s="45"/>
      <c r="AC1" s="45"/>
      <c r="AD1" s="45"/>
      <c r="AE1" s="45"/>
      <c r="AF1" s="45"/>
      <c r="AG1" s="45"/>
      <c r="AH1" s="45"/>
    </row>
    <row r="2" spans="1:34" ht="22.5" customHeight="1">
      <c r="A2" s="111" t="str">
        <f t="shared" ref="A2:A4" ca="1" si="0">IF(ROW() = 2, "000", TEXT(INDIRECT("A" &amp; ROW() - 1) + 1, "000"))</f>
        <v>000</v>
      </c>
      <c r="B2" s="96" t="s">
        <v>98</v>
      </c>
      <c r="C2" s="95" t="s">
        <v>99</v>
      </c>
      <c r="D2" s="95" t="s">
        <v>99</v>
      </c>
      <c r="E2" s="95" t="s">
        <v>99</v>
      </c>
      <c r="F2" s="97">
        <v>0</v>
      </c>
      <c r="G2" s="98" t="s">
        <v>99</v>
      </c>
      <c r="H2" s="99">
        <v>0</v>
      </c>
      <c r="I2" s="100">
        <v>0</v>
      </c>
      <c r="J2" s="100">
        <f>I2 * salesTaxPct</f>
        <v>0</v>
      </c>
      <c r="K2" s="100">
        <v>0</v>
      </c>
      <c r="L2" s="100">
        <f t="shared" ref="L2:L65" si="1">I2 + J2 + K2</f>
        <v>0</v>
      </c>
      <c r="M2" s="95"/>
      <c r="N2" s="96" t="str">
        <f ca="1">IF(NOZZLES[[#This Row],[ID]] &lt;&gt; "", IF(A2 = "000", A2 &amp; " | None", A2 &amp; " | " &amp; C2 &amp; " | " &amp; D2 &amp; " | " &amp; F2 &amp; "mm"), "")</f>
        <v>000 | None</v>
      </c>
    </row>
    <row r="3" spans="1:34" ht="22.5" customHeight="1">
      <c r="A3" s="111" t="str">
        <f t="shared" ca="1" si="0"/>
        <v>001</v>
      </c>
      <c r="B3" s="95" t="s">
        <v>125</v>
      </c>
      <c r="C3" s="95" t="s">
        <v>126</v>
      </c>
      <c r="D3" s="95" t="s">
        <v>119</v>
      </c>
      <c r="E3" s="95" t="s">
        <v>119</v>
      </c>
      <c r="F3" s="97">
        <v>0.4</v>
      </c>
      <c r="G3" s="98" t="s">
        <v>128</v>
      </c>
      <c r="H3" s="99">
        <v>1000</v>
      </c>
      <c r="I3" s="100">
        <v>26.99</v>
      </c>
      <c r="J3" s="100">
        <f>I3 * salesTaxPct</f>
        <v>0</v>
      </c>
      <c r="K3" s="100">
        <v>17.37</v>
      </c>
      <c r="L3" s="100">
        <f t="shared" si="1"/>
        <v>44.36</v>
      </c>
      <c r="M3" s="101" t="s">
        <v>130</v>
      </c>
      <c r="N3" s="96" t="str">
        <f ca="1">IF(NOZZLES[[#This Row],[ID]] &lt;&gt; "", IF(A3 = "000", A3 &amp; " | None", A3 &amp; " | " &amp; C3 &amp; " | " &amp; D3 &amp; " | " &amp; F3 &amp; "mm"), "")</f>
        <v>001 | Brass CHT | Prusa | 0.4mm</v>
      </c>
    </row>
    <row r="4" spans="1:34" ht="22.5" customHeight="1">
      <c r="A4" s="111" t="str">
        <f ca="1">IF(NOZZLES[[#This Row],[PRODUCT]] &lt;&gt; "", IF(ROW() = 2, "000", TEXT(INDIRECT("A" &amp; ROW() - 1) + 1, "000")), "")</f>
        <v>002</v>
      </c>
      <c r="B4" s="95" t="s">
        <v>134</v>
      </c>
      <c r="C4" s="95" t="s">
        <v>134</v>
      </c>
      <c r="D4" s="95" t="s">
        <v>136</v>
      </c>
      <c r="E4" s="95" t="s">
        <v>120</v>
      </c>
      <c r="F4" s="97">
        <v>0.4</v>
      </c>
      <c r="G4" s="98" t="s">
        <v>128</v>
      </c>
      <c r="H4" s="99">
        <v>2500</v>
      </c>
      <c r="I4" s="100">
        <v>34.9</v>
      </c>
      <c r="J4" s="100">
        <f>I4 * salesTaxPct</f>
        <v>0</v>
      </c>
      <c r="K4" s="100">
        <v>0</v>
      </c>
      <c r="L4" s="100">
        <f t="shared" si="1"/>
        <v>34.9</v>
      </c>
      <c r="M4" s="101" t="s">
        <v>139</v>
      </c>
      <c r="N4" s="96" t="str">
        <f ca="1">IF(NOZZLES[[#This Row],[ID]] &lt;&gt; "", IF(A4 = "000", A4 &amp; " | None", A4 &amp; " | " &amp; C4 &amp; " | " &amp; D4 &amp; " | " &amp; F4 &amp; "mm"), "")</f>
        <v>002 | Tungsten Carbide | Durozzle | 0.4mm</v>
      </c>
    </row>
    <row r="5" spans="1:34" ht="22.5" customHeight="1">
      <c r="A5" s="111" t="str">
        <f ca="1">IF(NOZZLES[[#This Row],[PRODUCT]] &lt;&gt; "", IF(ROW() = 2, "000", TEXT(INDIRECT("A" &amp; ROW() - 1) + 1, "000")), "")</f>
        <v/>
      </c>
      <c r="B5" s="102"/>
      <c r="C5" s="17"/>
      <c r="D5" s="102"/>
      <c r="E5" s="48"/>
      <c r="F5" s="48"/>
      <c r="G5" s="49"/>
      <c r="H5" s="49"/>
      <c r="I5" s="49"/>
      <c r="J5" s="100">
        <f>I5 * salesTaxPct</f>
        <v>0</v>
      </c>
      <c r="K5" s="49"/>
      <c r="L5" s="100">
        <f t="shared" si="1"/>
        <v>0</v>
      </c>
      <c r="M5" s="103"/>
      <c r="N5" s="14" t="str">
        <f ca="1">IF(NOZZLES[[#This Row],[ID]] &lt;&gt; "", IF(A5 = "000", A5 &amp; " | None", A5 &amp; " | " &amp; C5 &amp; " | " &amp; D5 &amp; " | " &amp; F5 &amp; "mm"), "")</f>
        <v/>
      </c>
    </row>
    <row r="6" spans="1:34" ht="22.5" customHeight="1">
      <c r="A6" s="111" t="str">
        <f ca="1">IF(NOZZLES[[#This Row],[PRODUCT]] &lt;&gt; "", IF(ROW() = 2, "000", TEXT(INDIRECT("A" &amp; ROW() - 1) + 1, "000")), "")</f>
        <v/>
      </c>
      <c r="B6" s="102"/>
      <c r="C6" s="17"/>
      <c r="D6" s="102"/>
      <c r="E6" s="48"/>
      <c r="F6" s="48"/>
      <c r="G6" s="49"/>
      <c r="H6" s="49"/>
      <c r="I6" s="49"/>
      <c r="J6" s="100">
        <f>I6 * salesTaxPct</f>
        <v>0</v>
      </c>
      <c r="K6" s="49"/>
      <c r="L6" s="100">
        <f t="shared" si="1"/>
        <v>0</v>
      </c>
      <c r="M6" s="103"/>
      <c r="N6" s="14" t="str">
        <f ca="1">IF(NOZZLES[[#This Row],[ID]] &lt;&gt; "", IF(A6 = "000", A6 &amp; " | None", A6 &amp; " | " &amp; C6 &amp; " | " &amp; D6 &amp; " | " &amp; F6 &amp; "mm"), "")</f>
        <v/>
      </c>
    </row>
    <row r="7" spans="1:34" ht="22.5" customHeight="1">
      <c r="A7" s="111" t="str">
        <f ca="1">IF(NOZZLES[[#This Row],[PRODUCT]] &lt;&gt; "", IF(ROW() = 2, "000", TEXT(INDIRECT("A" &amp; ROW() - 1) + 1, "000")), "")</f>
        <v/>
      </c>
      <c r="B7" s="102"/>
      <c r="C7" s="17"/>
      <c r="D7" s="102"/>
      <c r="E7" s="48"/>
      <c r="F7" s="48"/>
      <c r="G7" s="49"/>
      <c r="H7" s="49"/>
      <c r="I7" s="49"/>
      <c r="J7" s="100">
        <f>I7 * salesTaxPct</f>
        <v>0</v>
      </c>
      <c r="K7" s="49"/>
      <c r="L7" s="100">
        <f t="shared" si="1"/>
        <v>0</v>
      </c>
      <c r="M7" s="103"/>
      <c r="N7" s="14" t="str">
        <f ca="1">IF(NOZZLES[[#This Row],[ID]] &lt;&gt; "", IF(A7 = "000", A7 &amp; " | None", A7 &amp; " | " &amp; C7 &amp; " | " &amp; D7 &amp; " | " &amp; F7 &amp; "mm"), "")</f>
        <v/>
      </c>
    </row>
    <row r="8" spans="1:34" ht="22.5" customHeight="1">
      <c r="A8" s="111" t="str">
        <f ca="1">IF(NOZZLES[[#This Row],[PRODUCT]] &lt;&gt; "", IF(ROW() = 2, "000", TEXT(INDIRECT("A" &amp; ROW() - 1) + 1, "000")), "")</f>
        <v/>
      </c>
      <c r="B8" s="102"/>
      <c r="C8" s="17"/>
      <c r="D8" s="102"/>
      <c r="E8" s="48"/>
      <c r="F8" s="48"/>
      <c r="G8" s="49"/>
      <c r="H8" s="49"/>
      <c r="I8" s="49"/>
      <c r="J8" s="100">
        <f>I8 * salesTaxPct</f>
        <v>0</v>
      </c>
      <c r="K8" s="49"/>
      <c r="L8" s="100">
        <f t="shared" si="1"/>
        <v>0</v>
      </c>
      <c r="M8" s="103"/>
      <c r="N8" s="14" t="str">
        <f ca="1">IF(NOZZLES[[#This Row],[ID]] &lt;&gt; "", IF(A8 = "000", A8 &amp; " | None", A8 &amp; " | " &amp; C8 &amp; " | " &amp; D8 &amp; " | " &amp; F8 &amp; "mm"), "")</f>
        <v/>
      </c>
    </row>
    <row r="9" spans="1:34" ht="22.5" customHeight="1">
      <c r="A9" s="111" t="str">
        <f ca="1">IF(NOZZLES[[#This Row],[PRODUCT]] &lt;&gt; "", IF(ROW() = 2, "000", TEXT(INDIRECT("A" &amp; ROW() - 1) + 1, "000")), "")</f>
        <v/>
      </c>
      <c r="B9" s="102"/>
      <c r="C9" s="17"/>
      <c r="D9" s="102"/>
      <c r="E9" s="48"/>
      <c r="F9" s="48"/>
      <c r="G9" s="49"/>
      <c r="H9" s="49"/>
      <c r="I9" s="49"/>
      <c r="J9" s="100">
        <f>I9 * salesTaxPct</f>
        <v>0</v>
      </c>
      <c r="K9" s="49"/>
      <c r="L9" s="100">
        <f t="shared" si="1"/>
        <v>0</v>
      </c>
      <c r="M9" s="103"/>
      <c r="N9" s="14" t="str">
        <f ca="1">IF(NOZZLES[[#This Row],[ID]] &lt;&gt; "", IF(A9 = "000", A9 &amp; " | None", A9 &amp; " | " &amp; C9 &amp; " | " &amp; D9 &amp; " | " &amp; F9 &amp; "mm"), "")</f>
        <v/>
      </c>
    </row>
    <row r="10" spans="1:34" ht="22.5" customHeight="1">
      <c r="A10" s="111" t="str">
        <f ca="1">IF(NOZZLES[[#This Row],[PRODUCT]] &lt;&gt; "", IF(ROW() = 2, "000", TEXT(INDIRECT("A" &amp; ROW() - 1) + 1, "000")), "")</f>
        <v/>
      </c>
      <c r="B10" s="102"/>
      <c r="C10" s="17"/>
      <c r="D10" s="102"/>
      <c r="E10" s="48"/>
      <c r="F10" s="48"/>
      <c r="G10" s="49"/>
      <c r="H10" s="49"/>
      <c r="I10" s="49"/>
      <c r="J10" s="100">
        <f>I10 * salesTaxPct</f>
        <v>0</v>
      </c>
      <c r="K10" s="49"/>
      <c r="L10" s="100">
        <f t="shared" si="1"/>
        <v>0</v>
      </c>
      <c r="M10" s="103"/>
      <c r="N10" s="14" t="str">
        <f ca="1">IF(NOZZLES[[#This Row],[ID]] &lt;&gt; "", IF(A10 = "000", A10 &amp; " | None", A10 &amp; " | " &amp; C10 &amp; " | " &amp; D10 &amp; " | " &amp; F10 &amp; "mm"), "")</f>
        <v/>
      </c>
    </row>
    <row r="11" spans="1:34" ht="22.5" customHeight="1">
      <c r="A11" s="111" t="str">
        <f ca="1">IF(NOZZLES[[#This Row],[PRODUCT]] &lt;&gt; "", IF(ROW() = 2, "000", TEXT(INDIRECT("A" &amp; ROW() - 1) + 1, "000")), "")</f>
        <v/>
      </c>
      <c r="B11" s="102"/>
      <c r="C11" s="17"/>
      <c r="D11" s="102"/>
      <c r="E11" s="48"/>
      <c r="F11" s="48"/>
      <c r="G11" s="49"/>
      <c r="H11" s="49"/>
      <c r="I11" s="49"/>
      <c r="J11" s="100">
        <f>I11 * salesTaxPct</f>
        <v>0</v>
      </c>
      <c r="K11" s="49"/>
      <c r="L11" s="100">
        <f t="shared" si="1"/>
        <v>0</v>
      </c>
      <c r="M11" s="103"/>
      <c r="N11" s="14" t="str">
        <f ca="1">IF(NOZZLES[[#This Row],[ID]] &lt;&gt; "", IF(A11 = "000", A11 &amp; " | None", A11 &amp; " | " &amp; C11 &amp; " | " &amp; D11 &amp; " | " &amp; F11 &amp; "mm"), "")</f>
        <v/>
      </c>
    </row>
    <row r="12" spans="1:34" ht="22.5" customHeight="1">
      <c r="A12" s="111" t="str">
        <f ca="1">IF(NOZZLES[[#This Row],[PRODUCT]] &lt;&gt; "", IF(ROW() = 2, "000", TEXT(INDIRECT("A" &amp; ROW() - 1) + 1, "000")), "")</f>
        <v/>
      </c>
      <c r="B12" s="102"/>
      <c r="C12" s="17"/>
      <c r="D12" s="102"/>
      <c r="E12" s="48"/>
      <c r="F12" s="48"/>
      <c r="G12" s="49"/>
      <c r="H12" s="49"/>
      <c r="I12" s="49"/>
      <c r="J12" s="100">
        <f>I12 * salesTaxPct</f>
        <v>0</v>
      </c>
      <c r="K12" s="49"/>
      <c r="L12" s="100">
        <f t="shared" si="1"/>
        <v>0</v>
      </c>
      <c r="M12" s="103"/>
      <c r="N12" s="14" t="str">
        <f ca="1">IF(NOZZLES[[#This Row],[ID]] &lt;&gt; "", IF(A12 = "000", A12 &amp; " | None", A12 &amp; " | " &amp; C12 &amp; " | " &amp; D12 &amp; " | " &amp; F12 &amp; "mm"), "")</f>
        <v/>
      </c>
    </row>
    <row r="13" spans="1:34" ht="22.5" customHeight="1">
      <c r="A13" s="111" t="str">
        <f ca="1">IF(NOZZLES[[#This Row],[PRODUCT]] &lt;&gt; "", IF(ROW() = 2, "000", TEXT(INDIRECT("A" &amp; ROW() - 1) + 1, "000")), "")</f>
        <v/>
      </c>
      <c r="B13" s="102"/>
      <c r="C13" s="17"/>
      <c r="D13" s="102"/>
      <c r="E13" s="48"/>
      <c r="F13" s="48"/>
      <c r="G13" s="49"/>
      <c r="H13" s="49"/>
      <c r="I13" s="49"/>
      <c r="J13" s="100">
        <f>I13 * salesTaxPct</f>
        <v>0</v>
      </c>
      <c r="K13" s="49"/>
      <c r="L13" s="100">
        <f t="shared" si="1"/>
        <v>0</v>
      </c>
      <c r="M13" s="103"/>
      <c r="N13" s="14" t="str">
        <f ca="1">IF(NOZZLES[[#This Row],[ID]] &lt;&gt; "", IF(A13 = "000", A13 &amp; " | None", A13 &amp; " | " &amp; C13 &amp; " | " &amp; D13 &amp; " | " &amp; F13 &amp; "mm"), "")</f>
        <v/>
      </c>
    </row>
    <row r="14" spans="1:34" ht="22.5" customHeight="1">
      <c r="A14" s="111" t="str">
        <f ca="1">IF(NOZZLES[[#This Row],[PRODUCT]] &lt;&gt; "", IF(ROW() = 2, "000", TEXT(INDIRECT("A" &amp; ROW() - 1) + 1, "000")), "")</f>
        <v/>
      </c>
      <c r="B14" s="102"/>
      <c r="C14" s="17"/>
      <c r="D14" s="102"/>
      <c r="E14" s="48"/>
      <c r="F14" s="48"/>
      <c r="G14" s="49"/>
      <c r="H14" s="49"/>
      <c r="I14" s="49"/>
      <c r="J14" s="100">
        <f>I14 * salesTaxPct</f>
        <v>0</v>
      </c>
      <c r="K14" s="49"/>
      <c r="L14" s="100">
        <f t="shared" si="1"/>
        <v>0</v>
      </c>
      <c r="M14" s="103"/>
      <c r="N14" s="14" t="str">
        <f ca="1">IF(NOZZLES[[#This Row],[ID]] &lt;&gt; "", IF(A14 = "000", A14 &amp; " | None", A14 &amp; " | " &amp; C14 &amp; " | " &amp; D14 &amp; " | " &amp; F14 &amp; "mm"), "")</f>
        <v/>
      </c>
    </row>
    <row r="15" spans="1:34" ht="22.5" customHeight="1">
      <c r="A15" s="111" t="str">
        <f ca="1">IF(NOZZLES[[#This Row],[PRODUCT]] &lt;&gt; "", IF(ROW() = 2, "000", TEXT(INDIRECT("A" &amp; ROW() - 1) + 1, "000")), "")</f>
        <v/>
      </c>
      <c r="B15" s="102"/>
      <c r="C15" s="17"/>
      <c r="D15" s="102"/>
      <c r="E15" s="48"/>
      <c r="F15" s="48"/>
      <c r="G15" s="49"/>
      <c r="H15" s="49"/>
      <c r="I15" s="49"/>
      <c r="J15" s="100">
        <f>I15 * salesTaxPct</f>
        <v>0</v>
      </c>
      <c r="K15" s="49"/>
      <c r="L15" s="100">
        <f t="shared" si="1"/>
        <v>0</v>
      </c>
      <c r="M15" s="103"/>
      <c r="N15" s="14" t="str">
        <f ca="1">IF(NOZZLES[[#This Row],[ID]] &lt;&gt; "", IF(A15 = "000", A15 &amp; " | None", A15 &amp; " | " &amp; C15 &amp; " | " &amp; D15 &amp; " | " &amp; F15 &amp; "mm"), "")</f>
        <v/>
      </c>
    </row>
    <row r="16" spans="1:34" ht="22.5" customHeight="1">
      <c r="A16" s="111" t="str">
        <f ca="1">IF(NOZZLES[[#This Row],[PRODUCT]] &lt;&gt; "", IF(ROW() = 2, "000", TEXT(INDIRECT("A" &amp; ROW() - 1) + 1, "000")), "")</f>
        <v/>
      </c>
      <c r="B16" s="102"/>
      <c r="C16" s="17"/>
      <c r="D16" s="102"/>
      <c r="E16" s="48"/>
      <c r="F16" s="48"/>
      <c r="G16" s="49"/>
      <c r="H16" s="49"/>
      <c r="I16" s="49"/>
      <c r="J16" s="100">
        <f>I16 * salesTaxPct</f>
        <v>0</v>
      </c>
      <c r="K16" s="49"/>
      <c r="L16" s="100">
        <f t="shared" si="1"/>
        <v>0</v>
      </c>
      <c r="M16" s="103"/>
      <c r="N16" s="14" t="str">
        <f ca="1">IF(NOZZLES[[#This Row],[ID]] &lt;&gt; "", IF(A16 = "000", A16 &amp; " | None", A16 &amp; " | " &amp; C16 &amp; " | " &amp; D16 &amp; " | " &amp; F16 &amp; "mm"), "")</f>
        <v/>
      </c>
    </row>
    <row r="17" spans="1:14" ht="22.5" customHeight="1">
      <c r="A17" s="111" t="str">
        <f ca="1">IF(NOZZLES[[#This Row],[PRODUCT]] &lt;&gt; "", IF(ROW() = 2, "000", TEXT(INDIRECT("A" &amp; ROW() - 1) + 1, "000")), "")</f>
        <v/>
      </c>
      <c r="B17" s="102"/>
      <c r="C17" s="17"/>
      <c r="D17" s="102"/>
      <c r="E17" s="48"/>
      <c r="F17" s="48"/>
      <c r="G17" s="49"/>
      <c r="H17" s="49"/>
      <c r="I17" s="49"/>
      <c r="J17" s="100">
        <f>I17 * salesTaxPct</f>
        <v>0</v>
      </c>
      <c r="K17" s="49"/>
      <c r="L17" s="100">
        <f t="shared" si="1"/>
        <v>0</v>
      </c>
      <c r="M17" s="103"/>
      <c r="N17" s="14" t="str">
        <f ca="1">IF(NOZZLES[[#This Row],[ID]] &lt;&gt; "", IF(A17 = "000", A17 &amp; " | None", A17 &amp; " | " &amp; C17 &amp; " | " &amp; D17 &amp; " | " &amp; F17 &amp; "mm"), "")</f>
        <v/>
      </c>
    </row>
    <row r="18" spans="1:14" ht="22.5" customHeight="1">
      <c r="A18" s="111" t="str">
        <f ca="1">IF(NOZZLES[[#This Row],[PRODUCT]] &lt;&gt; "", IF(ROW() = 2, "000", TEXT(INDIRECT("A" &amp; ROW() - 1) + 1, "000")), "")</f>
        <v/>
      </c>
      <c r="B18" s="102"/>
      <c r="C18" s="17"/>
      <c r="D18" s="102"/>
      <c r="E18" s="48"/>
      <c r="F18" s="48"/>
      <c r="G18" s="49"/>
      <c r="H18" s="49"/>
      <c r="I18" s="49"/>
      <c r="J18" s="100">
        <f>I18 * salesTaxPct</f>
        <v>0</v>
      </c>
      <c r="K18" s="49"/>
      <c r="L18" s="100">
        <f t="shared" si="1"/>
        <v>0</v>
      </c>
      <c r="M18" s="103"/>
      <c r="N18" s="14" t="str">
        <f ca="1">IF(NOZZLES[[#This Row],[ID]] &lt;&gt; "", IF(A18 = "000", A18 &amp; " | None", A18 &amp; " | " &amp; C18 &amp; " | " &amp; D18 &amp; " | " &amp; F18 &amp; "mm"), "")</f>
        <v/>
      </c>
    </row>
    <row r="19" spans="1:14" ht="22.5" customHeight="1">
      <c r="A19" s="111" t="str">
        <f ca="1">IF(NOZZLES[[#This Row],[PRODUCT]] &lt;&gt; "", IF(ROW() = 2, "000", TEXT(INDIRECT("A" &amp; ROW() - 1) + 1, "000")), "")</f>
        <v/>
      </c>
      <c r="B19" s="102"/>
      <c r="C19" s="17"/>
      <c r="D19" s="102"/>
      <c r="E19" s="48"/>
      <c r="F19" s="48"/>
      <c r="G19" s="49"/>
      <c r="H19" s="49"/>
      <c r="I19" s="49"/>
      <c r="J19" s="100">
        <f>I19 * salesTaxPct</f>
        <v>0</v>
      </c>
      <c r="K19" s="49"/>
      <c r="L19" s="100">
        <f t="shared" si="1"/>
        <v>0</v>
      </c>
      <c r="M19" s="103"/>
      <c r="N19" s="14" t="str">
        <f ca="1">IF(NOZZLES[[#This Row],[ID]] &lt;&gt; "", IF(A19 = "000", A19 &amp; " | None", A19 &amp; " | " &amp; C19 &amp; " | " &amp; D19 &amp; " | " &amp; F19 &amp; "mm"), "")</f>
        <v/>
      </c>
    </row>
    <row r="20" spans="1:14" ht="22.5" customHeight="1">
      <c r="A20" s="111" t="str">
        <f ca="1">IF(NOZZLES[[#This Row],[PRODUCT]] &lt;&gt; "", IF(ROW() = 2, "000", TEXT(INDIRECT("A" &amp; ROW() - 1) + 1, "000")), "")</f>
        <v/>
      </c>
      <c r="B20" s="102"/>
      <c r="C20" s="17"/>
      <c r="D20" s="102"/>
      <c r="E20" s="48"/>
      <c r="F20" s="48"/>
      <c r="G20" s="49"/>
      <c r="H20" s="49"/>
      <c r="I20" s="49"/>
      <c r="J20" s="100">
        <f>I20 * salesTaxPct</f>
        <v>0</v>
      </c>
      <c r="K20" s="49"/>
      <c r="L20" s="100">
        <f t="shared" si="1"/>
        <v>0</v>
      </c>
      <c r="M20" s="103"/>
      <c r="N20" s="14" t="str">
        <f ca="1">IF(NOZZLES[[#This Row],[ID]] &lt;&gt; "", IF(A20 = "000", A20 &amp; " | None", A20 &amp; " | " &amp; C20 &amp; " | " &amp; D20 &amp; " | " &amp; F20 &amp; "mm"), "")</f>
        <v/>
      </c>
    </row>
    <row r="21" spans="1:14" ht="22.5" customHeight="1">
      <c r="A21" s="111" t="str">
        <f ca="1">IF(NOZZLES[[#This Row],[PRODUCT]] &lt;&gt; "", IF(ROW() = 2, "000", TEXT(INDIRECT("A" &amp; ROW() - 1) + 1, "000")), "")</f>
        <v/>
      </c>
      <c r="B21" s="102"/>
      <c r="C21" s="17"/>
      <c r="D21" s="102"/>
      <c r="E21" s="48"/>
      <c r="F21" s="48"/>
      <c r="G21" s="49"/>
      <c r="H21" s="49"/>
      <c r="I21" s="49"/>
      <c r="J21" s="100">
        <f>I21 * salesTaxPct</f>
        <v>0</v>
      </c>
      <c r="K21" s="49"/>
      <c r="L21" s="100">
        <f t="shared" si="1"/>
        <v>0</v>
      </c>
      <c r="M21" s="103"/>
      <c r="N21" s="14" t="str">
        <f ca="1">IF(NOZZLES[[#This Row],[ID]] &lt;&gt; "", IF(A21 = "000", A21 &amp; " | None", A21 &amp; " | " &amp; C21 &amp; " | " &amp; D21 &amp; " | " &amp; F21 &amp; "mm"), "")</f>
        <v/>
      </c>
    </row>
    <row r="22" spans="1:14" ht="22.5" customHeight="1">
      <c r="A22" s="111" t="str">
        <f ca="1">IF(NOZZLES[[#This Row],[PRODUCT]] &lt;&gt; "", IF(ROW() = 2, "000", TEXT(INDIRECT("A" &amp; ROW() - 1) + 1, "000")), "")</f>
        <v/>
      </c>
      <c r="B22" s="102"/>
      <c r="C22" s="17"/>
      <c r="D22" s="102"/>
      <c r="E22" s="48"/>
      <c r="F22" s="48"/>
      <c r="G22" s="49"/>
      <c r="H22" s="49"/>
      <c r="I22" s="49"/>
      <c r="J22" s="100">
        <f>I22 * salesTaxPct</f>
        <v>0</v>
      </c>
      <c r="K22" s="49"/>
      <c r="L22" s="100">
        <f t="shared" si="1"/>
        <v>0</v>
      </c>
      <c r="M22" s="103"/>
      <c r="N22" s="14" t="str">
        <f ca="1">IF(NOZZLES[[#This Row],[ID]] &lt;&gt; "", IF(A22 = "000", A22 &amp; " | None", A22 &amp; " | " &amp; C22 &amp; " | " &amp; D22 &amp; " | " &amp; F22 &amp; "mm"), "")</f>
        <v/>
      </c>
    </row>
    <row r="23" spans="1:14" ht="22.5" customHeight="1">
      <c r="A23" s="111" t="str">
        <f ca="1">IF(NOZZLES[[#This Row],[PRODUCT]] &lt;&gt; "", IF(ROW() = 2, "000", TEXT(INDIRECT("A" &amp; ROW() - 1) + 1, "000")), "")</f>
        <v/>
      </c>
      <c r="B23" s="102"/>
      <c r="C23" s="17"/>
      <c r="D23" s="102"/>
      <c r="E23" s="48"/>
      <c r="F23" s="48"/>
      <c r="G23" s="49"/>
      <c r="H23" s="49"/>
      <c r="I23" s="49"/>
      <c r="J23" s="100">
        <f>I23 * salesTaxPct</f>
        <v>0</v>
      </c>
      <c r="K23" s="49"/>
      <c r="L23" s="100">
        <f t="shared" si="1"/>
        <v>0</v>
      </c>
      <c r="M23" s="103"/>
      <c r="N23" s="14" t="str">
        <f ca="1">IF(NOZZLES[[#This Row],[ID]] &lt;&gt; "", IF(A23 = "000", A23 &amp; " | None", A23 &amp; " | " &amp; C23 &amp; " | " &amp; D23 &amp; " | " &amp; F23 &amp; "mm"), "")</f>
        <v/>
      </c>
    </row>
    <row r="24" spans="1:14" ht="22.5" customHeight="1">
      <c r="A24" s="111" t="str">
        <f ca="1">IF(NOZZLES[[#This Row],[PRODUCT]] &lt;&gt; "", IF(ROW() = 2, "000", TEXT(INDIRECT("A" &amp; ROW() - 1) + 1, "000")), "")</f>
        <v/>
      </c>
      <c r="B24" s="102"/>
      <c r="C24" s="17"/>
      <c r="D24" s="102"/>
      <c r="E24" s="48"/>
      <c r="F24" s="48"/>
      <c r="G24" s="49"/>
      <c r="H24" s="49"/>
      <c r="I24" s="49"/>
      <c r="J24" s="100">
        <f>I24 * salesTaxPct</f>
        <v>0</v>
      </c>
      <c r="K24" s="49"/>
      <c r="L24" s="100">
        <f t="shared" si="1"/>
        <v>0</v>
      </c>
      <c r="M24" s="103"/>
      <c r="N24" s="14" t="str">
        <f ca="1">IF(NOZZLES[[#This Row],[ID]] &lt;&gt; "", IF(A24 = "000", A24 &amp; " | None", A24 &amp; " | " &amp; C24 &amp; " | " &amp; D24 &amp; " | " &amp; F24 &amp; "mm"), "")</f>
        <v/>
      </c>
    </row>
    <row r="25" spans="1:14" ht="22.5" customHeight="1">
      <c r="A25" s="111" t="str">
        <f ca="1">IF(NOZZLES[[#This Row],[PRODUCT]] &lt;&gt; "", IF(ROW() = 2, "000", TEXT(INDIRECT("A" &amp; ROW() - 1) + 1, "000")), "")</f>
        <v/>
      </c>
      <c r="B25" s="102"/>
      <c r="C25" s="17"/>
      <c r="D25" s="102"/>
      <c r="E25" s="48"/>
      <c r="F25" s="48"/>
      <c r="G25" s="49"/>
      <c r="H25" s="49"/>
      <c r="I25" s="49"/>
      <c r="J25" s="100">
        <f>I25 * salesTaxPct</f>
        <v>0</v>
      </c>
      <c r="K25" s="49"/>
      <c r="L25" s="100">
        <f t="shared" si="1"/>
        <v>0</v>
      </c>
      <c r="M25" s="103"/>
      <c r="N25" s="14" t="str">
        <f ca="1">IF(NOZZLES[[#This Row],[ID]] &lt;&gt; "", IF(A25 = "000", A25 &amp; " | None", A25 &amp; " | " &amp; C25 &amp; " | " &amp; D25 &amp; " | " &amp; F25 &amp; "mm"), "")</f>
        <v/>
      </c>
    </row>
    <row r="26" spans="1:14" ht="22.5" customHeight="1">
      <c r="A26" s="111" t="str">
        <f ca="1">IF(NOZZLES[[#This Row],[PRODUCT]] &lt;&gt; "", IF(ROW() = 2, "000", TEXT(INDIRECT("A" &amp; ROW() - 1) + 1, "000")), "")</f>
        <v/>
      </c>
      <c r="B26" s="102"/>
      <c r="C26" s="17"/>
      <c r="D26" s="102"/>
      <c r="E26" s="48"/>
      <c r="F26" s="48"/>
      <c r="G26" s="49"/>
      <c r="H26" s="49"/>
      <c r="I26" s="49"/>
      <c r="J26" s="100">
        <f>I26 * salesTaxPct</f>
        <v>0</v>
      </c>
      <c r="K26" s="49"/>
      <c r="L26" s="100">
        <f t="shared" si="1"/>
        <v>0</v>
      </c>
      <c r="M26" s="103"/>
      <c r="N26" s="14" t="str">
        <f ca="1">IF(NOZZLES[[#This Row],[ID]] &lt;&gt; "", IF(A26 = "000", A26 &amp; " | None", A26 &amp; " | " &amp; C26 &amp; " | " &amp; D26 &amp; " | " &amp; F26 &amp; "mm"), "")</f>
        <v/>
      </c>
    </row>
    <row r="27" spans="1:14" ht="22.5" customHeight="1">
      <c r="A27" s="111" t="str">
        <f ca="1">IF(NOZZLES[[#This Row],[PRODUCT]] &lt;&gt; "", IF(ROW() = 2, "000", TEXT(INDIRECT("A" &amp; ROW() - 1) + 1, "000")), "")</f>
        <v/>
      </c>
      <c r="B27" s="102"/>
      <c r="C27" s="17"/>
      <c r="D27" s="102"/>
      <c r="E27" s="48"/>
      <c r="F27" s="48"/>
      <c r="G27" s="49"/>
      <c r="H27" s="49"/>
      <c r="I27" s="49"/>
      <c r="J27" s="100">
        <f>I27 * salesTaxPct</f>
        <v>0</v>
      </c>
      <c r="K27" s="49"/>
      <c r="L27" s="100">
        <f t="shared" si="1"/>
        <v>0</v>
      </c>
      <c r="M27" s="103"/>
      <c r="N27" s="14" t="str">
        <f ca="1">IF(NOZZLES[[#This Row],[ID]] &lt;&gt; "", IF(A27 = "000", A27 &amp; " | None", A27 &amp; " | " &amp; C27 &amp; " | " &amp; D27 &amp; " | " &amp; F27 &amp; "mm"), "")</f>
        <v/>
      </c>
    </row>
    <row r="28" spans="1:14" ht="22.5" customHeight="1">
      <c r="A28" s="111" t="str">
        <f ca="1">IF(NOZZLES[[#This Row],[PRODUCT]] &lt;&gt; "", IF(ROW() = 2, "000", TEXT(INDIRECT("A" &amp; ROW() - 1) + 1, "000")), "")</f>
        <v/>
      </c>
      <c r="B28" s="102"/>
      <c r="C28" s="17"/>
      <c r="D28" s="102"/>
      <c r="E28" s="48"/>
      <c r="F28" s="48"/>
      <c r="G28" s="49"/>
      <c r="H28" s="49"/>
      <c r="I28" s="49"/>
      <c r="J28" s="100">
        <f>I28 * salesTaxPct</f>
        <v>0</v>
      </c>
      <c r="K28" s="49"/>
      <c r="L28" s="100">
        <f t="shared" si="1"/>
        <v>0</v>
      </c>
      <c r="M28" s="103"/>
      <c r="N28" s="14" t="str">
        <f ca="1">IF(NOZZLES[[#This Row],[ID]] &lt;&gt; "", IF(A28 = "000", A28 &amp; " | None", A28 &amp; " | " &amp; C28 &amp; " | " &amp; D28 &amp; " | " &amp; F28 &amp; "mm"), "")</f>
        <v/>
      </c>
    </row>
    <row r="29" spans="1:14" ht="22.5" customHeight="1">
      <c r="A29" s="111" t="str">
        <f ca="1">IF(NOZZLES[[#This Row],[PRODUCT]] &lt;&gt; "", IF(ROW() = 2, "000", TEXT(INDIRECT("A" &amp; ROW() - 1) + 1, "000")), "")</f>
        <v/>
      </c>
      <c r="B29" s="102"/>
      <c r="C29" s="17"/>
      <c r="D29" s="102"/>
      <c r="E29" s="48"/>
      <c r="F29" s="48"/>
      <c r="G29" s="49"/>
      <c r="H29" s="49"/>
      <c r="I29" s="49"/>
      <c r="J29" s="100">
        <f>I29 * salesTaxPct</f>
        <v>0</v>
      </c>
      <c r="K29" s="49"/>
      <c r="L29" s="100">
        <f t="shared" si="1"/>
        <v>0</v>
      </c>
      <c r="M29" s="103"/>
      <c r="N29" s="14" t="str">
        <f ca="1">IF(NOZZLES[[#This Row],[ID]] &lt;&gt; "", IF(A29 = "000", A29 &amp; " | None", A29 &amp; " | " &amp; C29 &amp; " | " &amp; D29 &amp; " | " &amp; F29 &amp; "mm"), "")</f>
        <v/>
      </c>
    </row>
    <row r="30" spans="1:14" ht="22.5" customHeight="1">
      <c r="A30" s="111" t="str">
        <f ca="1">IF(NOZZLES[[#This Row],[PRODUCT]] &lt;&gt; "", IF(ROW() = 2, "000", TEXT(INDIRECT("A" &amp; ROW() - 1) + 1, "000")), "")</f>
        <v/>
      </c>
      <c r="B30" s="102"/>
      <c r="C30" s="17"/>
      <c r="D30" s="102"/>
      <c r="E30" s="48"/>
      <c r="F30" s="48"/>
      <c r="G30" s="49"/>
      <c r="H30" s="49"/>
      <c r="I30" s="49"/>
      <c r="J30" s="100">
        <f>I30 * salesTaxPct</f>
        <v>0</v>
      </c>
      <c r="K30" s="49"/>
      <c r="L30" s="100">
        <f t="shared" si="1"/>
        <v>0</v>
      </c>
      <c r="M30" s="103"/>
      <c r="N30" s="14" t="str">
        <f ca="1">IF(NOZZLES[[#This Row],[ID]] &lt;&gt; "", IF(A30 = "000", A30 &amp; " | None", A30 &amp; " | " &amp; C30 &amp; " | " &amp; D30 &amp; " | " &amp; F30 &amp; "mm"), "")</f>
        <v/>
      </c>
    </row>
    <row r="31" spans="1:14" ht="22.5" customHeight="1">
      <c r="A31" s="111" t="str">
        <f ca="1">IF(NOZZLES[[#This Row],[PRODUCT]] &lt;&gt; "", IF(ROW() = 2, "000", TEXT(INDIRECT("A" &amp; ROW() - 1) + 1, "000")), "")</f>
        <v/>
      </c>
      <c r="B31" s="102"/>
      <c r="C31" s="17"/>
      <c r="D31" s="102"/>
      <c r="E31" s="48"/>
      <c r="F31" s="48"/>
      <c r="G31" s="49"/>
      <c r="H31" s="49"/>
      <c r="I31" s="49"/>
      <c r="J31" s="100">
        <f>I31 * salesTaxPct</f>
        <v>0</v>
      </c>
      <c r="K31" s="49"/>
      <c r="L31" s="100">
        <f t="shared" si="1"/>
        <v>0</v>
      </c>
      <c r="M31" s="103"/>
      <c r="N31" s="14" t="str">
        <f ca="1">IF(NOZZLES[[#This Row],[ID]] &lt;&gt; "", IF(A31 = "000", A31 &amp; " | None", A31 &amp; " | " &amp; C31 &amp; " | " &amp; D31 &amp; " | " &amp; F31 &amp; "mm"), "")</f>
        <v/>
      </c>
    </row>
    <row r="32" spans="1:14" ht="22.5" customHeight="1">
      <c r="A32" s="111" t="str">
        <f ca="1">IF(NOZZLES[[#This Row],[PRODUCT]] &lt;&gt; "", IF(ROW() = 2, "000", TEXT(INDIRECT("A" &amp; ROW() - 1) + 1, "000")), "")</f>
        <v/>
      </c>
      <c r="B32" s="102"/>
      <c r="C32" s="17"/>
      <c r="D32" s="102"/>
      <c r="E32" s="48"/>
      <c r="F32" s="48"/>
      <c r="G32" s="49"/>
      <c r="H32" s="49"/>
      <c r="I32" s="49"/>
      <c r="J32" s="100">
        <f>I32 * salesTaxPct</f>
        <v>0</v>
      </c>
      <c r="K32" s="49"/>
      <c r="L32" s="100">
        <f t="shared" si="1"/>
        <v>0</v>
      </c>
      <c r="M32" s="103"/>
      <c r="N32" s="14" t="str">
        <f ca="1">IF(NOZZLES[[#This Row],[ID]] &lt;&gt; "", IF(A32 = "000", A32 &amp; " | None", A32 &amp; " | " &amp; C32 &amp; " | " &amp; D32 &amp; " | " &amp; F32 &amp; "mm"), "")</f>
        <v/>
      </c>
    </row>
    <row r="33" spans="1:14" ht="22.5" customHeight="1">
      <c r="A33" s="111" t="str">
        <f ca="1">IF(NOZZLES[[#This Row],[PRODUCT]] &lt;&gt; "", IF(ROW() = 2, "000", TEXT(INDIRECT("A" &amp; ROW() - 1) + 1, "000")), "")</f>
        <v/>
      </c>
      <c r="B33" s="102"/>
      <c r="C33" s="17"/>
      <c r="D33" s="102"/>
      <c r="E33" s="48"/>
      <c r="F33" s="48"/>
      <c r="G33" s="49"/>
      <c r="H33" s="49"/>
      <c r="I33" s="49"/>
      <c r="J33" s="100">
        <f>I33 * salesTaxPct</f>
        <v>0</v>
      </c>
      <c r="K33" s="49"/>
      <c r="L33" s="100">
        <f t="shared" si="1"/>
        <v>0</v>
      </c>
      <c r="M33" s="103"/>
      <c r="N33" s="14" t="str">
        <f ca="1">IF(NOZZLES[[#This Row],[ID]] &lt;&gt; "", IF(A33 = "000", A33 &amp; " | None", A33 &amp; " | " &amp; C33 &amp; " | " &amp; D33 &amp; " | " &amp; F33 &amp; "mm"), "")</f>
        <v/>
      </c>
    </row>
    <row r="34" spans="1:14" ht="22.5" customHeight="1">
      <c r="A34" s="111" t="str">
        <f ca="1">IF(NOZZLES[[#This Row],[PRODUCT]] &lt;&gt; "", IF(ROW() = 2, "000", TEXT(INDIRECT("A" &amp; ROW() - 1) + 1, "000")), "")</f>
        <v/>
      </c>
      <c r="B34" s="102"/>
      <c r="C34" s="17"/>
      <c r="D34" s="102"/>
      <c r="E34" s="48"/>
      <c r="F34" s="48"/>
      <c r="G34" s="49"/>
      <c r="H34" s="49"/>
      <c r="I34" s="49"/>
      <c r="J34" s="100">
        <f>I34 * salesTaxPct</f>
        <v>0</v>
      </c>
      <c r="K34" s="49"/>
      <c r="L34" s="100">
        <f t="shared" si="1"/>
        <v>0</v>
      </c>
      <c r="M34" s="103"/>
      <c r="N34" s="14" t="str">
        <f ca="1">IF(NOZZLES[[#This Row],[ID]] &lt;&gt; "", IF(A34 = "000", A34 &amp; " | None", A34 &amp; " | " &amp; C34 &amp; " | " &amp; D34 &amp; " | " &amp; F34 &amp; "mm"), "")</f>
        <v/>
      </c>
    </row>
    <row r="35" spans="1:14" ht="22.5" customHeight="1">
      <c r="A35" s="111" t="str">
        <f ca="1">IF(NOZZLES[[#This Row],[PRODUCT]] &lt;&gt; "", IF(ROW() = 2, "000", TEXT(INDIRECT("A" &amp; ROW() - 1) + 1, "000")), "")</f>
        <v/>
      </c>
      <c r="B35" s="102"/>
      <c r="C35" s="17"/>
      <c r="D35" s="102"/>
      <c r="E35" s="48"/>
      <c r="F35" s="48"/>
      <c r="G35" s="49"/>
      <c r="H35" s="49"/>
      <c r="I35" s="49"/>
      <c r="J35" s="100">
        <f>I35 * salesTaxPct</f>
        <v>0</v>
      </c>
      <c r="K35" s="49"/>
      <c r="L35" s="100">
        <f t="shared" si="1"/>
        <v>0</v>
      </c>
      <c r="M35" s="103"/>
      <c r="N35" s="14" t="str">
        <f ca="1">IF(NOZZLES[[#This Row],[ID]] &lt;&gt; "", IF(A35 = "000", A35 &amp; " | None", A35 &amp; " | " &amp; C35 &amp; " | " &amp; D35 &amp; " | " &amp; F35 &amp; "mm"), "")</f>
        <v/>
      </c>
    </row>
    <row r="36" spans="1:14" ht="22.5" customHeight="1">
      <c r="A36" s="111" t="str">
        <f ca="1">IF(NOZZLES[[#This Row],[PRODUCT]] &lt;&gt; "", IF(ROW() = 2, "000", TEXT(INDIRECT("A" &amp; ROW() - 1) + 1, "000")), "")</f>
        <v/>
      </c>
      <c r="B36" s="102"/>
      <c r="C36" s="17"/>
      <c r="D36" s="102"/>
      <c r="E36" s="48"/>
      <c r="F36" s="48"/>
      <c r="G36" s="49"/>
      <c r="H36" s="49"/>
      <c r="I36" s="49"/>
      <c r="J36" s="100">
        <f>I36 * salesTaxPct</f>
        <v>0</v>
      </c>
      <c r="K36" s="49"/>
      <c r="L36" s="100">
        <f t="shared" si="1"/>
        <v>0</v>
      </c>
      <c r="M36" s="103"/>
      <c r="N36" s="14" t="str">
        <f ca="1">IF(NOZZLES[[#This Row],[ID]] &lt;&gt; "", IF(A36 = "000", A36 &amp; " | None", A36 &amp; " | " &amp; C36 &amp; " | " &amp; D36 &amp; " | " &amp; F36 &amp; "mm"), "")</f>
        <v/>
      </c>
    </row>
    <row r="37" spans="1:14" ht="22.5" customHeight="1">
      <c r="A37" s="111" t="str">
        <f ca="1">IF(NOZZLES[[#This Row],[PRODUCT]] &lt;&gt; "", IF(ROW() = 2, "000", TEXT(INDIRECT("A" &amp; ROW() - 1) + 1, "000")), "")</f>
        <v/>
      </c>
      <c r="B37" s="102"/>
      <c r="C37" s="17"/>
      <c r="D37" s="102"/>
      <c r="E37" s="48"/>
      <c r="F37" s="48"/>
      <c r="G37" s="49"/>
      <c r="H37" s="49"/>
      <c r="I37" s="49"/>
      <c r="J37" s="100">
        <f>I37 * salesTaxPct</f>
        <v>0</v>
      </c>
      <c r="K37" s="49"/>
      <c r="L37" s="100">
        <f t="shared" si="1"/>
        <v>0</v>
      </c>
      <c r="M37" s="103"/>
      <c r="N37" s="14" t="str">
        <f ca="1">IF(NOZZLES[[#This Row],[ID]] &lt;&gt; "", IF(A37 = "000", A37 &amp; " | None", A37 &amp; " | " &amp; C37 &amp; " | " &amp; D37 &amp; " | " &amp; F37 &amp; "mm"), "")</f>
        <v/>
      </c>
    </row>
    <row r="38" spans="1:14" ht="22.5" customHeight="1">
      <c r="A38" s="111" t="str">
        <f ca="1">IF(NOZZLES[[#This Row],[PRODUCT]] &lt;&gt; "", IF(ROW() = 2, "000", TEXT(INDIRECT("A" &amp; ROW() - 1) + 1, "000")), "")</f>
        <v/>
      </c>
      <c r="B38" s="102"/>
      <c r="C38" s="17"/>
      <c r="D38" s="102"/>
      <c r="E38" s="48"/>
      <c r="F38" s="48"/>
      <c r="G38" s="49"/>
      <c r="H38" s="49"/>
      <c r="I38" s="49"/>
      <c r="J38" s="100">
        <f>I38 * salesTaxPct</f>
        <v>0</v>
      </c>
      <c r="K38" s="49"/>
      <c r="L38" s="100">
        <f t="shared" si="1"/>
        <v>0</v>
      </c>
      <c r="M38" s="103"/>
      <c r="N38" s="14" t="str">
        <f ca="1">IF(NOZZLES[[#This Row],[ID]] &lt;&gt; "", IF(A38 = "000", A38 &amp; " | None", A38 &amp; " | " &amp; C38 &amp; " | " &amp; D38 &amp; " | " &amp; F38 &amp; "mm"), "")</f>
        <v/>
      </c>
    </row>
    <row r="39" spans="1:14" ht="22.5" customHeight="1">
      <c r="A39" s="111" t="str">
        <f ca="1">IF(NOZZLES[[#This Row],[PRODUCT]] &lt;&gt; "", IF(ROW() = 2, "000", TEXT(INDIRECT("A" &amp; ROW() - 1) + 1, "000")), "")</f>
        <v/>
      </c>
      <c r="B39" s="102"/>
      <c r="C39" s="17"/>
      <c r="D39" s="102"/>
      <c r="E39" s="48"/>
      <c r="F39" s="48"/>
      <c r="G39" s="49"/>
      <c r="H39" s="49"/>
      <c r="I39" s="49"/>
      <c r="J39" s="100">
        <f>I39 * salesTaxPct</f>
        <v>0</v>
      </c>
      <c r="K39" s="49"/>
      <c r="L39" s="100">
        <f t="shared" si="1"/>
        <v>0</v>
      </c>
      <c r="M39" s="103"/>
      <c r="N39" s="14" t="str">
        <f ca="1">IF(NOZZLES[[#This Row],[ID]] &lt;&gt; "", IF(A39 = "000", A39 &amp; " | None", A39 &amp; " | " &amp; C39 &amp; " | " &amp; D39 &amp; " | " &amp; F39 &amp; "mm"), "")</f>
        <v/>
      </c>
    </row>
    <row r="40" spans="1:14" ht="22.5" customHeight="1">
      <c r="A40" s="111" t="str">
        <f ca="1">IF(NOZZLES[[#This Row],[PRODUCT]] &lt;&gt; "", IF(ROW() = 2, "000", TEXT(INDIRECT("A" &amp; ROW() - 1) + 1, "000")), "")</f>
        <v/>
      </c>
      <c r="B40" s="102"/>
      <c r="C40" s="17"/>
      <c r="D40" s="102"/>
      <c r="E40" s="48"/>
      <c r="F40" s="48"/>
      <c r="G40" s="49"/>
      <c r="H40" s="49"/>
      <c r="I40" s="49"/>
      <c r="J40" s="100">
        <f>I40 * salesTaxPct</f>
        <v>0</v>
      </c>
      <c r="K40" s="49"/>
      <c r="L40" s="100">
        <f t="shared" si="1"/>
        <v>0</v>
      </c>
      <c r="M40" s="103"/>
      <c r="N40" s="14" t="str">
        <f ca="1">IF(NOZZLES[[#This Row],[ID]] &lt;&gt; "", IF(A40 = "000", A40 &amp; " | None", A40 &amp; " | " &amp; C40 &amp; " | " &amp; D40 &amp; " | " &amp; F40 &amp; "mm"), "")</f>
        <v/>
      </c>
    </row>
    <row r="41" spans="1:14" ht="22.5" customHeight="1">
      <c r="A41" s="111" t="str">
        <f ca="1">IF(NOZZLES[[#This Row],[PRODUCT]] &lt;&gt; "", IF(ROW() = 2, "000", TEXT(INDIRECT("A" &amp; ROW() - 1) + 1, "000")), "")</f>
        <v/>
      </c>
      <c r="B41" s="102"/>
      <c r="C41" s="17"/>
      <c r="D41" s="102"/>
      <c r="E41" s="48"/>
      <c r="F41" s="48"/>
      <c r="G41" s="49"/>
      <c r="H41" s="49"/>
      <c r="I41" s="49"/>
      <c r="J41" s="100">
        <f>I41 * salesTaxPct</f>
        <v>0</v>
      </c>
      <c r="K41" s="49"/>
      <c r="L41" s="100">
        <f t="shared" si="1"/>
        <v>0</v>
      </c>
      <c r="M41" s="103"/>
      <c r="N41" s="14" t="str">
        <f ca="1">IF(NOZZLES[[#This Row],[ID]] &lt;&gt; "", IF(A41 = "000", A41 &amp; " | None", A41 &amp; " | " &amp; C41 &amp; " | " &amp; D41 &amp; " | " &amp; F41 &amp; "mm"), "")</f>
        <v/>
      </c>
    </row>
    <row r="42" spans="1:14" ht="22.5" customHeight="1">
      <c r="A42" s="111" t="str">
        <f ca="1">IF(NOZZLES[[#This Row],[PRODUCT]] &lt;&gt; "", IF(ROW() = 2, "000", TEXT(INDIRECT("A" &amp; ROW() - 1) + 1, "000")), "")</f>
        <v/>
      </c>
      <c r="B42" s="102"/>
      <c r="C42" s="17"/>
      <c r="D42" s="102"/>
      <c r="E42" s="48"/>
      <c r="F42" s="48"/>
      <c r="G42" s="49"/>
      <c r="H42" s="49"/>
      <c r="I42" s="49"/>
      <c r="J42" s="100">
        <f>I42 * salesTaxPct</f>
        <v>0</v>
      </c>
      <c r="K42" s="49"/>
      <c r="L42" s="100">
        <f t="shared" si="1"/>
        <v>0</v>
      </c>
      <c r="M42" s="103"/>
      <c r="N42" s="14" t="str">
        <f ca="1">IF(NOZZLES[[#This Row],[ID]] &lt;&gt; "", IF(A42 = "000", A42 &amp; " | None", A42 &amp; " | " &amp; C42 &amp; " | " &amp; D42 &amp; " | " &amp; F42 &amp; "mm"), "")</f>
        <v/>
      </c>
    </row>
    <row r="43" spans="1:14" ht="22.5" customHeight="1">
      <c r="A43" s="111" t="str">
        <f ca="1">IF(NOZZLES[[#This Row],[PRODUCT]] &lt;&gt; "", IF(ROW() = 2, "000", TEXT(INDIRECT("A" &amp; ROW() - 1) + 1, "000")), "")</f>
        <v/>
      </c>
      <c r="B43" s="102"/>
      <c r="C43" s="17"/>
      <c r="D43" s="102"/>
      <c r="E43" s="48"/>
      <c r="F43" s="48"/>
      <c r="G43" s="49"/>
      <c r="H43" s="49"/>
      <c r="I43" s="49"/>
      <c r="J43" s="100">
        <f>I43 * salesTaxPct</f>
        <v>0</v>
      </c>
      <c r="K43" s="49"/>
      <c r="L43" s="100">
        <f t="shared" si="1"/>
        <v>0</v>
      </c>
      <c r="M43" s="103"/>
      <c r="N43" s="14" t="str">
        <f ca="1">IF(NOZZLES[[#This Row],[ID]] &lt;&gt; "", IF(A43 = "000", A43 &amp; " | None", A43 &amp; " | " &amp; C43 &amp; " | " &amp; D43 &amp; " | " &amp; F43 &amp; "mm"), "")</f>
        <v/>
      </c>
    </row>
    <row r="44" spans="1:14" ht="22.5" customHeight="1">
      <c r="A44" s="111" t="str">
        <f ca="1">IF(NOZZLES[[#This Row],[PRODUCT]] &lt;&gt; "", IF(ROW() = 2, "000", TEXT(INDIRECT("A" &amp; ROW() - 1) + 1, "000")), "")</f>
        <v/>
      </c>
      <c r="B44" s="102"/>
      <c r="C44" s="17"/>
      <c r="D44" s="102"/>
      <c r="E44" s="48"/>
      <c r="F44" s="48"/>
      <c r="G44" s="49"/>
      <c r="H44" s="49"/>
      <c r="I44" s="49"/>
      <c r="J44" s="100">
        <f>I44 * salesTaxPct</f>
        <v>0</v>
      </c>
      <c r="K44" s="49"/>
      <c r="L44" s="100">
        <f t="shared" si="1"/>
        <v>0</v>
      </c>
      <c r="M44" s="103"/>
      <c r="N44" s="14" t="str">
        <f ca="1">IF(NOZZLES[[#This Row],[ID]] &lt;&gt; "", IF(A44 = "000", A44 &amp; " | None", A44 &amp; " | " &amp; C44 &amp; " | " &amp; D44 &amp; " | " &amp; F44 &amp; "mm"), "")</f>
        <v/>
      </c>
    </row>
    <row r="45" spans="1:14" ht="22.5" customHeight="1">
      <c r="A45" s="111" t="str">
        <f ca="1">IF(NOZZLES[[#This Row],[PRODUCT]] &lt;&gt; "", IF(ROW() = 2, "000", TEXT(INDIRECT("A" &amp; ROW() - 1) + 1, "000")), "")</f>
        <v/>
      </c>
      <c r="B45" s="102"/>
      <c r="C45" s="17"/>
      <c r="D45" s="102"/>
      <c r="E45" s="48"/>
      <c r="F45" s="48"/>
      <c r="G45" s="49"/>
      <c r="H45" s="49"/>
      <c r="I45" s="49"/>
      <c r="J45" s="100">
        <f>I45 * salesTaxPct</f>
        <v>0</v>
      </c>
      <c r="K45" s="49"/>
      <c r="L45" s="100">
        <f t="shared" si="1"/>
        <v>0</v>
      </c>
      <c r="M45" s="103"/>
      <c r="N45" s="14" t="str">
        <f ca="1">IF(NOZZLES[[#This Row],[ID]] &lt;&gt; "", IF(A45 = "000", A45 &amp; " | None", A45 &amp; " | " &amp; C45 &amp; " | " &amp; D45 &amp; " | " &amp; F45 &amp; "mm"), "")</f>
        <v/>
      </c>
    </row>
    <row r="46" spans="1:14" ht="22.5" customHeight="1">
      <c r="A46" s="111" t="str">
        <f ca="1">IF(NOZZLES[[#This Row],[PRODUCT]] &lt;&gt; "", IF(ROW() = 2, "000", TEXT(INDIRECT("A" &amp; ROW() - 1) + 1, "000")), "")</f>
        <v/>
      </c>
      <c r="B46" s="102"/>
      <c r="C46" s="17"/>
      <c r="D46" s="102"/>
      <c r="E46" s="48"/>
      <c r="F46" s="48"/>
      <c r="G46" s="49"/>
      <c r="H46" s="49"/>
      <c r="I46" s="49"/>
      <c r="J46" s="100">
        <f>I46 * salesTaxPct</f>
        <v>0</v>
      </c>
      <c r="K46" s="49"/>
      <c r="L46" s="100">
        <f t="shared" si="1"/>
        <v>0</v>
      </c>
      <c r="M46" s="103"/>
      <c r="N46" s="14" t="str">
        <f ca="1">IF(NOZZLES[[#This Row],[ID]] &lt;&gt; "", IF(A46 = "000", A46 &amp; " | None", A46 &amp; " | " &amp; C46 &amp; " | " &amp; D46 &amp; " | " &amp; F46 &amp; "mm"), "")</f>
        <v/>
      </c>
    </row>
    <row r="47" spans="1:14" ht="22.5" customHeight="1">
      <c r="A47" s="111" t="str">
        <f ca="1">IF(NOZZLES[[#This Row],[PRODUCT]] &lt;&gt; "", IF(ROW() = 2, "000", TEXT(INDIRECT("A" &amp; ROW() - 1) + 1, "000")), "")</f>
        <v/>
      </c>
      <c r="B47" s="102"/>
      <c r="C47" s="17"/>
      <c r="D47" s="102"/>
      <c r="E47" s="48"/>
      <c r="F47" s="48"/>
      <c r="G47" s="49"/>
      <c r="H47" s="49"/>
      <c r="I47" s="49"/>
      <c r="J47" s="100">
        <f>I47 * salesTaxPct</f>
        <v>0</v>
      </c>
      <c r="K47" s="49"/>
      <c r="L47" s="100">
        <f t="shared" si="1"/>
        <v>0</v>
      </c>
      <c r="M47" s="103"/>
      <c r="N47" s="14" t="str">
        <f ca="1">IF(NOZZLES[[#This Row],[ID]] &lt;&gt; "", IF(A47 = "000", A47 &amp; " | None", A47 &amp; " | " &amp; C47 &amp; " | " &amp; D47 &amp; " | " &amp; F47 &amp; "mm"), "")</f>
        <v/>
      </c>
    </row>
    <row r="48" spans="1:14" ht="22.5" customHeight="1">
      <c r="A48" s="111" t="str">
        <f ca="1">IF(NOZZLES[[#This Row],[PRODUCT]] &lt;&gt; "", IF(ROW() = 2, "000", TEXT(INDIRECT("A" &amp; ROW() - 1) + 1, "000")), "")</f>
        <v/>
      </c>
      <c r="B48" s="102"/>
      <c r="C48" s="17"/>
      <c r="D48" s="102"/>
      <c r="E48" s="48"/>
      <c r="F48" s="48"/>
      <c r="G48" s="49"/>
      <c r="H48" s="49"/>
      <c r="I48" s="49"/>
      <c r="J48" s="100">
        <f>I48 * salesTaxPct</f>
        <v>0</v>
      </c>
      <c r="K48" s="49"/>
      <c r="L48" s="100">
        <f t="shared" si="1"/>
        <v>0</v>
      </c>
      <c r="M48" s="103"/>
      <c r="N48" s="14" t="str">
        <f ca="1">IF(NOZZLES[[#This Row],[ID]] &lt;&gt; "", IF(A48 = "000", A48 &amp; " | None", A48 &amp; " | " &amp; C48 &amp; " | " &amp; D48 &amp; " | " &amp; F48 &amp; "mm"), "")</f>
        <v/>
      </c>
    </row>
    <row r="49" spans="1:14" ht="22.5" customHeight="1">
      <c r="A49" s="111" t="str">
        <f ca="1">IF(NOZZLES[[#This Row],[PRODUCT]] &lt;&gt; "", IF(ROW() = 2, "000", TEXT(INDIRECT("A" &amp; ROW() - 1) + 1, "000")), "")</f>
        <v/>
      </c>
      <c r="B49" s="102"/>
      <c r="C49" s="17"/>
      <c r="D49" s="102"/>
      <c r="E49" s="48"/>
      <c r="F49" s="48"/>
      <c r="G49" s="49"/>
      <c r="H49" s="49"/>
      <c r="I49" s="49"/>
      <c r="J49" s="100">
        <f>I49 * salesTaxPct</f>
        <v>0</v>
      </c>
      <c r="K49" s="49"/>
      <c r="L49" s="100">
        <f t="shared" si="1"/>
        <v>0</v>
      </c>
      <c r="M49" s="103"/>
      <c r="N49" s="14" t="str">
        <f ca="1">IF(NOZZLES[[#This Row],[ID]] &lt;&gt; "", IF(A49 = "000", A49 &amp; " | None", A49 &amp; " | " &amp; C49 &amp; " | " &amp; D49 &amp; " | " &amp; F49 &amp; "mm"), "")</f>
        <v/>
      </c>
    </row>
    <row r="50" spans="1:14" ht="22.5" customHeight="1">
      <c r="A50" s="111" t="str">
        <f ca="1">IF(NOZZLES[[#This Row],[PRODUCT]] &lt;&gt; "", IF(ROW() = 2, "000", TEXT(INDIRECT("A" &amp; ROW() - 1) + 1, "000")), "")</f>
        <v/>
      </c>
      <c r="B50" s="102"/>
      <c r="C50" s="17"/>
      <c r="D50" s="102"/>
      <c r="E50" s="48"/>
      <c r="F50" s="48"/>
      <c r="G50" s="49"/>
      <c r="H50" s="49"/>
      <c r="I50" s="49"/>
      <c r="J50" s="100">
        <f>I50 * salesTaxPct</f>
        <v>0</v>
      </c>
      <c r="K50" s="49"/>
      <c r="L50" s="100">
        <f t="shared" si="1"/>
        <v>0</v>
      </c>
      <c r="M50" s="103"/>
      <c r="N50" s="14" t="str">
        <f ca="1">IF(NOZZLES[[#This Row],[ID]] &lt;&gt; "", IF(A50 = "000", A50 &amp; " | None", A50 &amp; " | " &amp; C50 &amp; " | " &amp; D50 &amp; " | " &amp; F50 &amp; "mm"), "")</f>
        <v/>
      </c>
    </row>
    <row r="51" spans="1:14" ht="22.5" customHeight="1">
      <c r="A51" s="111" t="str">
        <f ca="1">IF(NOZZLES[[#This Row],[PRODUCT]] &lt;&gt; "", IF(ROW() = 2, "000", TEXT(INDIRECT("A" &amp; ROW() - 1) + 1, "000")), "")</f>
        <v/>
      </c>
      <c r="B51" s="102"/>
      <c r="C51" s="17"/>
      <c r="D51" s="102"/>
      <c r="E51" s="48"/>
      <c r="F51" s="48"/>
      <c r="G51" s="49"/>
      <c r="H51" s="49"/>
      <c r="I51" s="49"/>
      <c r="J51" s="100">
        <f>I51 * salesTaxPct</f>
        <v>0</v>
      </c>
      <c r="K51" s="49"/>
      <c r="L51" s="100">
        <f t="shared" si="1"/>
        <v>0</v>
      </c>
      <c r="M51" s="103"/>
      <c r="N51" s="14" t="str">
        <f ca="1">IF(NOZZLES[[#This Row],[ID]] &lt;&gt; "", IF(A51 = "000", A51 &amp; " | None", A51 &amp; " | " &amp; C51 &amp; " | " &amp; D51 &amp; " | " &amp; F51 &amp; "mm"), "")</f>
        <v/>
      </c>
    </row>
    <row r="52" spans="1:14" ht="22.5" customHeight="1">
      <c r="A52" s="111" t="str">
        <f ca="1">IF(NOZZLES[[#This Row],[PRODUCT]] &lt;&gt; "", IF(ROW() = 2, "000", TEXT(INDIRECT("A" &amp; ROW() - 1) + 1, "000")), "")</f>
        <v/>
      </c>
      <c r="B52" s="102"/>
      <c r="C52" s="17"/>
      <c r="D52" s="102"/>
      <c r="E52" s="48"/>
      <c r="F52" s="48"/>
      <c r="G52" s="49"/>
      <c r="H52" s="49"/>
      <c r="I52" s="49"/>
      <c r="J52" s="100">
        <f>I52 * salesTaxPct</f>
        <v>0</v>
      </c>
      <c r="K52" s="49"/>
      <c r="L52" s="100">
        <f t="shared" si="1"/>
        <v>0</v>
      </c>
      <c r="M52" s="103"/>
      <c r="N52" s="14" t="str">
        <f ca="1">IF(NOZZLES[[#This Row],[ID]] &lt;&gt; "", IF(A52 = "000", A52 &amp; " | None", A52 &amp; " | " &amp; C52 &amp; " | " &amp; D52 &amp; " | " &amp; F52 &amp; "mm"), "")</f>
        <v/>
      </c>
    </row>
    <row r="53" spans="1:14" ht="22.5" customHeight="1">
      <c r="A53" s="111" t="str">
        <f ca="1">IF(NOZZLES[[#This Row],[PRODUCT]] &lt;&gt; "", IF(ROW() = 2, "000", TEXT(INDIRECT("A" &amp; ROW() - 1) + 1, "000")), "")</f>
        <v/>
      </c>
      <c r="B53" s="102"/>
      <c r="C53" s="17"/>
      <c r="D53" s="102"/>
      <c r="E53" s="48"/>
      <c r="F53" s="48"/>
      <c r="G53" s="49"/>
      <c r="H53" s="49"/>
      <c r="I53" s="49"/>
      <c r="J53" s="100">
        <f>I53 * salesTaxPct</f>
        <v>0</v>
      </c>
      <c r="K53" s="49"/>
      <c r="L53" s="100">
        <f t="shared" si="1"/>
        <v>0</v>
      </c>
      <c r="M53" s="103"/>
      <c r="N53" s="14" t="str">
        <f ca="1">IF(NOZZLES[[#This Row],[ID]] &lt;&gt; "", IF(A53 = "000", A53 &amp; " | None", A53 &amp; " | " &amp; C53 &amp; " | " &amp; D53 &amp; " | " &amp; F53 &amp; "mm"), "")</f>
        <v/>
      </c>
    </row>
    <row r="54" spans="1:14" ht="22.5" customHeight="1">
      <c r="A54" s="111" t="str">
        <f ca="1">IF(NOZZLES[[#This Row],[PRODUCT]] &lt;&gt; "", IF(ROW() = 2, "000", TEXT(INDIRECT("A" &amp; ROW() - 1) + 1, "000")), "")</f>
        <v/>
      </c>
      <c r="B54" s="102"/>
      <c r="C54" s="17"/>
      <c r="D54" s="102"/>
      <c r="E54" s="48"/>
      <c r="F54" s="48"/>
      <c r="G54" s="49"/>
      <c r="H54" s="49"/>
      <c r="I54" s="49"/>
      <c r="J54" s="100">
        <f>I54 * salesTaxPct</f>
        <v>0</v>
      </c>
      <c r="K54" s="49"/>
      <c r="L54" s="100">
        <f t="shared" si="1"/>
        <v>0</v>
      </c>
      <c r="M54" s="103"/>
      <c r="N54" s="14" t="str">
        <f ca="1">IF(NOZZLES[[#This Row],[ID]] &lt;&gt; "", IF(A54 = "000", A54 &amp; " | None", A54 &amp; " | " &amp; C54 &amp; " | " &amp; D54 &amp; " | " &amp; F54 &amp; "mm"), "")</f>
        <v/>
      </c>
    </row>
    <row r="55" spans="1:14" ht="22.5" customHeight="1">
      <c r="A55" s="111" t="str">
        <f ca="1">IF(NOZZLES[[#This Row],[PRODUCT]] &lt;&gt; "", IF(ROW() = 2, "000", TEXT(INDIRECT("A" &amp; ROW() - 1) + 1, "000")), "")</f>
        <v/>
      </c>
      <c r="B55" s="102"/>
      <c r="C55" s="17"/>
      <c r="D55" s="102"/>
      <c r="E55" s="48"/>
      <c r="F55" s="48"/>
      <c r="G55" s="49"/>
      <c r="H55" s="49"/>
      <c r="I55" s="49"/>
      <c r="J55" s="100">
        <f>I55 * salesTaxPct</f>
        <v>0</v>
      </c>
      <c r="K55" s="49"/>
      <c r="L55" s="100">
        <f t="shared" si="1"/>
        <v>0</v>
      </c>
      <c r="M55" s="103"/>
      <c r="N55" s="14" t="str">
        <f ca="1">IF(NOZZLES[[#This Row],[ID]] &lt;&gt; "", IF(A55 = "000", A55 &amp; " | None", A55 &amp; " | " &amp; C55 &amp; " | " &amp; D55 &amp; " | " &amp; F55 &amp; "mm"), "")</f>
        <v/>
      </c>
    </row>
    <row r="56" spans="1:14" ht="22.5" customHeight="1">
      <c r="A56" s="111" t="str">
        <f ca="1">IF(NOZZLES[[#This Row],[PRODUCT]] &lt;&gt; "", IF(ROW() = 2, "000", TEXT(INDIRECT("A" &amp; ROW() - 1) + 1, "000")), "")</f>
        <v/>
      </c>
      <c r="B56" s="102"/>
      <c r="C56" s="17"/>
      <c r="D56" s="102"/>
      <c r="E56" s="48"/>
      <c r="F56" s="48"/>
      <c r="G56" s="49"/>
      <c r="H56" s="49"/>
      <c r="I56" s="49"/>
      <c r="J56" s="100">
        <f>I56 * salesTaxPct</f>
        <v>0</v>
      </c>
      <c r="K56" s="49"/>
      <c r="L56" s="100">
        <f t="shared" si="1"/>
        <v>0</v>
      </c>
      <c r="M56" s="103"/>
      <c r="N56" s="14" t="str">
        <f ca="1">IF(NOZZLES[[#This Row],[ID]] &lt;&gt; "", IF(A56 = "000", A56 &amp; " | None", A56 &amp; " | " &amp; C56 &amp; " | " &amp; D56 &amp; " | " &amp; F56 &amp; "mm"), "")</f>
        <v/>
      </c>
    </row>
    <row r="57" spans="1:14" ht="22.5" customHeight="1">
      <c r="A57" s="111" t="str">
        <f ca="1">IF(NOZZLES[[#This Row],[PRODUCT]] &lt;&gt; "", IF(ROW() = 2, "000", TEXT(INDIRECT("A" &amp; ROW() - 1) + 1, "000")), "")</f>
        <v/>
      </c>
      <c r="B57" s="102"/>
      <c r="C57" s="17"/>
      <c r="D57" s="102"/>
      <c r="E57" s="48"/>
      <c r="F57" s="48"/>
      <c r="G57" s="49"/>
      <c r="H57" s="49"/>
      <c r="I57" s="49"/>
      <c r="J57" s="100">
        <f>I57 * salesTaxPct</f>
        <v>0</v>
      </c>
      <c r="K57" s="49"/>
      <c r="L57" s="100">
        <f t="shared" si="1"/>
        <v>0</v>
      </c>
      <c r="M57" s="103"/>
      <c r="N57" s="14" t="str">
        <f ca="1">IF(NOZZLES[[#This Row],[ID]] &lt;&gt; "", IF(A57 = "000", A57 &amp; " | None", A57 &amp; " | " &amp; C57 &amp; " | " &amp; D57 &amp; " | " &amp; F57 &amp; "mm"), "")</f>
        <v/>
      </c>
    </row>
    <row r="58" spans="1:14" ht="22.5" customHeight="1">
      <c r="A58" s="111" t="str">
        <f ca="1">IF(NOZZLES[[#This Row],[PRODUCT]] &lt;&gt; "", IF(ROW() = 2, "000", TEXT(INDIRECT("A" &amp; ROW() - 1) + 1, "000")), "")</f>
        <v/>
      </c>
      <c r="B58" s="102"/>
      <c r="C58" s="17"/>
      <c r="D58" s="102"/>
      <c r="E58" s="48"/>
      <c r="F58" s="48"/>
      <c r="G58" s="49"/>
      <c r="H58" s="49"/>
      <c r="I58" s="49"/>
      <c r="J58" s="100">
        <f>I58 * salesTaxPct</f>
        <v>0</v>
      </c>
      <c r="K58" s="49"/>
      <c r="L58" s="100">
        <f t="shared" si="1"/>
        <v>0</v>
      </c>
      <c r="M58" s="103"/>
      <c r="N58" s="14" t="str">
        <f ca="1">IF(NOZZLES[[#This Row],[ID]] &lt;&gt; "", IF(A58 = "000", A58 &amp; " | None", A58 &amp; " | " &amp; C58 &amp; " | " &amp; D58 &amp; " | " &amp; F58 &amp; "mm"), "")</f>
        <v/>
      </c>
    </row>
    <row r="59" spans="1:14" ht="22.5" customHeight="1">
      <c r="A59" s="111" t="str">
        <f ca="1">IF(NOZZLES[[#This Row],[PRODUCT]] &lt;&gt; "", IF(ROW() = 2, "000", TEXT(INDIRECT("A" &amp; ROW() - 1) + 1, "000")), "")</f>
        <v/>
      </c>
      <c r="B59" s="102"/>
      <c r="C59" s="17"/>
      <c r="D59" s="102"/>
      <c r="E59" s="48"/>
      <c r="F59" s="48"/>
      <c r="G59" s="49"/>
      <c r="H59" s="49"/>
      <c r="I59" s="49"/>
      <c r="J59" s="100">
        <f>I59 * salesTaxPct</f>
        <v>0</v>
      </c>
      <c r="K59" s="49"/>
      <c r="L59" s="100">
        <f t="shared" si="1"/>
        <v>0</v>
      </c>
      <c r="M59" s="103"/>
      <c r="N59" s="14" t="str">
        <f ca="1">IF(NOZZLES[[#This Row],[ID]] &lt;&gt; "", IF(A59 = "000", A59 &amp; " | None", A59 &amp; " | " &amp; C59 &amp; " | " &amp; D59 &amp; " | " &amp; F59 &amp; "mm"), "")</f>
        <v/>
      </c>
    </row>
    <row r="60" spans="1:14" ht="22.5" customHeight="1">
      <c r="A60" s="111" t="str">
        <f ca="1">IF(NOZZLES[[#This Row],[PRODUCT]] &lt;&gt; "", IF(ROW() = 2, "000", TEXT(INDIRECT("A" &amp; ROW() - 1) + 1, "000")), "")</f>
        <v/>
      </c>
      <c r="B60" s="102"/>
      <c r="C60" s="17"/>
      <c r="D60" s="102"/>
      <c r="E60" s="48"/>
      <c r="F60" s="48"/>
      <c r="G60" s="49"/>
      <c r="H60" s="49"/>
      <c r="I60" s="49"/>
      <c r="J60" s="100">
        <f>I60 * salesTaxPct</f>
        <v>0</v>
      </c>
      <c r="K60" s="49"/>
      <c r="L60" s="100">
        <f t="shared" si="1"/>
        <v>0</v>
      </c>
      <c r="M60" s="103"/>
      <c r="N60" s="14" t="str">
        <f ca="1">IF(NOZZLES[[#This Row],[ID]] &lt;&gt; "", IF(A60 = "000", A60 &amp; " | None", A60 &amp; " | " &amp; C60 &amp; " | " &amp; D60 &amp; " | " &amp; F60 &amp; "mm"), "")</f>
        <v/>
      </c>
    </row>
    <row r="61" spans="1:14" ht="22.5" customHeight="1">
      <c r="A61" s="111" t="str">
        <f ca="1">IF(NOZZLES[[#This Row],[PRODUCT]] &lt;&gt; "", IF(ROW() = 2, "000", TEXT(INDIRECT("A" &amp; ROW() - 1) + 1, "000")), "")</f>
        <v/>
      </c>
      <c r="B61" s="102"/>
      <c r="C61" s="17"/>
      <c r="D61" s="102"/>
      <c r="E61" s="48"/>
      <c r="F61" s="48"/>
      <c r="G61" s="49"/>
      <c r="H61" s="49"/>
      <c r="I61" s="49"/>
      <c r="J61" s="100">
        <f>I61 * salesTaxPct</f>
        <v>0</v>
      </c>
      <c r="K61" s="49"/>
      <c r="L61" s="100">
        <f t="shared" si="1"/>
        <v>0</v>
      </c>
      <c r="M61" s="103"/>
      <c r="N61" s="14" t="str">
        <f ca="1">IF(NOZZLES[[#This Row],[ID]] &lt;&gt; "", IF(A61 = "000", A61 &amp; " | None", A61 &amp; " | " &amp; C61 &amp; " | " &amp; D61 &amp; " | " &amp; F61 &amp; "mm"), "")</f>
        <v/>
      </c>
    </row>
    <row r="62" spans="1:14" ht="22.5" customHeight="1">
      <c r="A62" s="111" t="str">
        <f ca="1">IF(NOZZLES[[#This Row],[PRODUCT]] &lt;&gt; "", IF(ROW() = 2, "000", TEXT(INDIRECT("A" &amp; ROW() - 1) + 1, "000")), "")</f>
        <v/>
      </c>
      <c r="B62" s="102"/>
      <c r="C62" s="17"/>
      <c r="D62" s="102"/>
      <c r="E62" s="48"/>
      <c r="F62" s="48"/>
      <c r="G62" s="49"/>
      <c r="H62" s="49"/>
      <c r="I62" s="49"/>
      <c r="J62" s="100">
        <f>I62 * salesTaxPct</f>
        <v>0</v>
      </c>
      <c r="K62" s="49"/>
      <c r="L62" s="100">
        <f t="shared" si="1"/>
        <v>0</v>
      </c>
      <c r="M62" s="103"/>
      <c r="N62" s="14" t="str">
        <f ca="1">IF(NOZZLES[[#This Row],[ID]] &lt;&gt; "", IF(A62 = "000", A62 &amp; " | None", A62 &amp; " | " &amp; C62 &amp; " | " &amp; D62 &amp; " | " &amp; F62 &amp; "mm"), "")</f>
        <v/>
      </c>
    </row>
    <row r="63" spans="1:14" ht="22.5" customHeight="1">
      <c r="A63" s="111" t="str">
        <f ca="1">IF(NOZZLES[[#This Row],[PRODUCT]] &lt;&gt; "", IF(ROW() = 2, "000", TEXT(INDIRECT("A" &amp; ROW() - 1) + 1, "000")), "")</f>
        <v/>
      </c>
      <c r="B63" s="102"/>
      <c r="C63" s="17"/>
      <c r="D63" s="102"/>
      <c r="E63" s="48"/>
      <c r="F63" s="48"/>
      <c r="G63" s="49"/>
      <c r="H63" s="49"/>
      <c r="I63" s="49"/>
      <c r="J63" s="100">
        <f>I63 * salesTaxPct</f>
        <v>0</v>
      </c>
      <c r="K63" s="49"/>
      <c r="L63" s="100">
        <f t="shared" si="1"/>
        <v>0</v>
      </c>
      <c r="M63" s="103"/>
      <c r="N63" s="14" t="str">
        <f ca="1">IF(NOZZLES[[#This Row],[ID]] &lt;&gt; "", IF(A63 = "000", A63 &amp; " | None", A63 &amp; " | " &amp; C63 &amp; " | " &amp; D63 &amp; " | " &amp; F63 &amp; "mm"), "")</f>
        <v/>
      </c>
    </row>
    <row r="64" spans="1:14" ht="22.5" customHeight="1">
      <c r="A64" s="111" t="str">
        <f ca="1">IF(NOZZLES[[#This Row],[PRODUCT]] &lt;&gt; "", IF(ROW() = 2, "000", TEXT(INDIRECT("A" &amp; ROW() - 1) + 1, "000")), "")</f>
        <v/>
      </c>
      <c r="B64" s="102"/>
      <c r="C64" s="17"/>
      <c r="D64" s="102"/>
      <c r="E64" s="48"/>
      <c r="F64" s="48"/>
      <c r="G64" s="49"/>
      <c r="H64" s="49"/>
      <c r="I64" s="49"/>
      <c r="J64" s="100">
        <f>I64 * salesTaxPct</f>
        <v>0</v>
      </c>
      <c r="K64" s="49"/>
      <c r="L64" s="100">
        <f t="shared" si="1"/>
        <v>0</v>
      </c>
      <c r="M64" s="103"/>
      <c r="N64" s="14" t="str">
        <f ca="1">IF(NOZZLES[[#This Row],[ID]] &lt;&gt; "", IF(A64 = "000", A64 &amp; " | None", A64 &amp; " | " &amp; C64 &amp; " | " &amp; D64 &amp; " | " &amp; F64 &amp; "mm"), "")</f>
        <v/>
      </c>
    </row>
    <row r="65" spans="1:14" ht="22.5" customHeight="1">
      <c r="A65" s="111" t="str">
        <f ca="1">IF(NOZZLES[[#This Row],[PRODUCT]] &lt;&gt; "", IF(ROW() = 2, "000", TEXT(INDIRECT("A" &amp; ROW() - 1) + 1, "000")), "")</f>
        <v/>
      </c>
      <c r="B65" s="102"/>
      <c r="C65" s="17"/>
      <c r="D65" s="102"/>
      <c r="E65" s="48"/>
      <c r="F65" s="48"/>
      <c r="G65" s="49"/>
      <c r="H65" s="49"/>
      <c r="I65" s="49"/>
      <c r="J65" s="100">
        <f>I65 * salesTaxPct</f>
        <v>0</v>
      </c>
      <c r="K65" s="49"/>
      <c r="L65" s="100">
        <f t="shared" si="1"/>
        <v>0</v>
      </c>
      <c r="M65" s="103"/>
      <c r="N65" s="14" t="str">
        <f ca="1">IF(NOZZLES[[#This Row],[ID]] &lt;&gt; "", IF(A65 = "000", A65 &amp; " | None", A65 &amp; " | " &amp; C65 &amp; " | " &amp; D65 &amp; " | " &amp; F65 &amp; "mm"), "")</f>
        <v/>
      </c>
    </row>
    <row r="66" spans="1:14" ht="22.5" customHeight="1">
      <c r="A66" s="111" t="str">
        <f ca="1">IF(NOZZLES[[#This Row],[PRODUCT]] &lt;&gt; "", IF(ROW() = 2, "000", TEXT(INDIRECT("A" &amp; ROW() - 1) + 1, "000")), "")</f>
        <v/>
      </c>
      <c r="B66" s="102"/>
      <c r="C66" s="17"/>
      <c r="D66" s="102"/>
      <c r="E66" s="48"/>
      <c r="F66" s="48"/>
      <c r="G66" s="49"/>
      <c r="H66" s="49"/>
      <c r="I66" s="49"/>
      <c r="J66" s="100">
        <f>I66 * salesTaxPct</f>
        <v>0</v>
      </c>
      <c r="K66" s="49"/>
      <c r="L66" s="100">
        <f t="shared" ref="L66:L129" si="2">I66 + J66 + K66</f>
        <v>0</v>
      </c>
      <c r="M66" s="103"/>
      <c r="N66" s="14" t="str">
        <f ca="1">IF(NOZZLES[[#This Row],[ID]] &lt;&gt; "", IF(A66 = "000", A66 &amp; " | None", A66 &amp; " | " &amp; C66 &amp; " | " &amp; D66 &amp; " | " &amp; F66 &amp; "mm"), "")</f>
        <v/>
      </c>
    </row>
    <row r="67" spans="1:14" ht="22.5" customHeight="1">
      <c r="A67" s="111" t="str">
        <f ca="1">IF(NOZZLES[[#This Row],[PRODUCT]] &lt;&gt; "", IF(ROW() = 2, "000", TEXT(INDIRECT("A" &amp; ROW() - 1) + 1, "000")), "")</f>
        <v/>
      </c>
      <c r="B67" s="102"/>
      <c r="C67" s="17"/>
      <c r="D67" s="102"/>
      <c r="E67" s="48"/>
      <c r="F67" s="48"/>
      <c r="G67" s="49"/>
      <c r="H67" s="49"/>
      <c r="I67" s="49"/>
      <c r="J67" s="100">
        <f>I67 * salesTaxPct</f>
        <v>0</v>
      </c>
      <c r="K67" s="49"/>
      <c r="L67" s="100">
        <f t="shared" si="2"/>
        <v>0</v>
      </c>
      <c r="M67" s="103"/>
      <c r="N67" s="14" t="str">
        <f ca="1">IF(NOZZLES[[#This Row],[ID]] &lt;&gt; "", IF(A67 = "000", A67 &amp; " | None", A67 &amp; " | " &amp; C67 &amp; " | " &amp; D67 &amp; " | " &amp; F67 &amp; "mm"), "")</f>
        <v/>
      </c>
    </row>
    <row r="68" spans="1:14" ht="22.5" customHeight="1">
      <c r="A68" s="111" t="str">
        <f ca="1">IF(NOZZLES[[#This Row],[PRODUCT]] &lt;&gt; "", IF(ROW() = 2, "000", TEXT(INDIRECT("A" &amp; ROW() - 1) + 1, "000")), "")</f>
        <v/>
      </c>
      <c r="B68" s="102"/>
      <c r="C68" s="17"/>
      <c r="D68" s="102"/>
      <c r="E68" s="48"/>
      <c r="F68" s="48"/>
      <c r="G68" s="49"/>
      <c r="H68" s="49"/>
      <c r="I68" s="49"/>
      <c r="J68" s="100">
        <f>I68 * salesTaxPct</f>
        <v>0</v>
      </c>
      <c r="K68" s="49"/>
      <c r="L68" s="100">
        <f t="shared" si="2"/>
        <v>0</v>
      </c>
      <c r="M68" s="103"/>
      <c r="N68" s="14" t="str">
        <f ca="1">IF(NOZZLES[[#This Row],[ID]] &lt;&gt; "", IF(A68 = "000", A68 &amp; " | None", A68 &amp; " | " &amp; C68 &amp; " | " &amp; D68 &amp; " | " &amp; F68 &amp; "mm"), "")</f>
        <v/>
      </c>
    </row>
    <row r="69" spans="1:14" ht="22.5" customHeight="1">
      <c r="A69" s="111" t="str">
        <f ca="1">IF(NOZZLES[[#This Row],[PRODUCT]] &lt;&gt; "", IF(ROW() = 2, "000", TEXT(INDIRECT("A" &amp; ROW() - 1) + 1, "000")), "")</f>
        <v/>
      </c>
      <c r="B69" s="102"/>
      <c r="C69" s="17"/>
      <c r="D69" s="102"/>
      <c r="E69" s="48"/>
      <c r="F69" s="48"/>
      <c r="G69" s="49"/>
      <c r="H69" s="49"/>
      <c r="I69" s="49"/>
      <c r="J69" s="100">
        <f>I69 * salesTaxPct</f>
        <v>0</v>
      </c>
      <c r="K69" s="49"/>
      <c r="L69" s="100">
        <f t="shared" si="2"/>
        <v>0</v>
      </c>
      <c r="M69" s="103"/>
      <c r="N69" s="14" t="str">
        <f ca="1">IF(NOZZLES[[#This Row],[ID]] &lt;&gt; "", IF(A69 = "000", A69 &amp; " | None", A69 &amp; " | " &amp; C69 &amp; " | " &amp; D69 &amp; " | " &amp; F69 &amp; "mm"), "")</f>
        <v/>
      </c>
    </row>
    <row r="70" spans="1:14" ht="22.5" customHeight="1">
      <c r="A70" s="111" t="str">
        <f ca="1">IF(NOZZLES[[#This Row],[PRODUCT]] &lt;&gt; "", IF(ROW() = 2, "000", TEXT(INDIRECT("A" &amp; ROW() - 1) + 1, "000")), "")</f>
        <v/>
      </c>
      <c r="B70" s="102"/>
      <c r="C70" s="17"/>
      <c r="D70" s="102"/>
      <c r="E70" s="48"/>
      <c r="F70" s="48"/>
      <c r="G70" s="49"/>
      <c r="H70" s="49"/>
      <c r="I70" s="49"/>
      <c r="J70" s="100">
        <f>I70 * salesTaxPct</f>
        <v>0</v>
      </c>
      <c r="K70" s="49"/>
      <c r="L70" s="100">
        <f t="shared" si="2"/>
        <v>0</v>
      </c>
      <c r="M70" s="103"/>
      <c r="N70" s="14" t="str">
        <f ca="1">IF(NOZZLES[[#This Row],[ID]] &lt;&gt; "", IF(A70 = "000", A70 &amp; " | None", A70 &amp; " | " &amp; C70 &amp; " | " &amp; D70 &amp; " | " &amp; F70 &amp; "mm"), "")</f>
        <v/>
      </c>
    </row>
    <row r="71" spans="1:14" ht="22.5" customHeight="1">
      <c r="A71" s="111" t="str">
        <f ca="1">IF(NOZZLES[[#This Row],[PRODUCT]] &lt;&gt; "", IF(ROW() = 2, "000", TEXT(INDIRECT("A" &amp; ROW() - 1) + 1, "000")), "")</f>
        <v/>
      </c>
      <c r="B71" s="102"/>
      <c r="C71" s="17"/>
      <c r="D71" s="102"/>
      <c r="E71" s="48"/>
      <c r="F71" s="48"/>
      <c r="G71" s="49"/>
      <c r="H71" s="49"/>
      <c r="I71" s="49"/>
      <c r="J71" s="100">
        <f>I71 * salesTaxPct</f>
        <v>0</v>
      </c>
      <c r="K71" s="49"/>
      <c r="L71" s="100">
        <f t="shared" si="2"/>
        <v>0</v>
      </c>
      <c r="M71" s="103"/>
      <c r="N71" s="14" t="str">
        <f ca="1">IF(NOZZLES[[#This Row],[ID]] &lt;&gt; "", IF(A71 = "000", A71 &amp; " | None", A71 &amp; " | " &amp; C71 &amp; " | " &amp; D71 &amp; " | " &amp; F71 &amp; "mm"), "")</f>
        <v/>
      </c>
    </row>
    <row r="72" spans="1:14" ht="22.5" customHeight="1">
      <c r="A72" s="111" t="str">
        <f ca="1">IF(NOZZLES[[#This Row],[PRODUCT]] &lt;&gt; "", IF(ROW() = 2, "000", TEXT(INDIRECT("A" &amp; ROW() - 1) + 1, "000")), "")</f>
        <v/>
      </c>
      <c r="B72" s="102"/>
      <c r="C72" s="17"/>
      <c r="D72" s="102"/>
      <c r="E72" s="48"/>
      <c r="F72" s="48"/>
      <c r="G72" s="49"/>
      <c r="H72" s="49"/>
      <c r="I72" s="49"/>
      <c r="J72" s="100">
        <f>I72 * salesTaxPct</f>
        <v>0</v>
      </c>
      <c r="K72" s="49"/>
      <c r="L72" s="100">
        <f t="shared" si="2"/>
        <v>0</v>
      </c>
      <c r="M72" s="103"/>
      <c r="N72" s="14" t="str">
        <f ca="1">IF(NOZZLES[[#This Row],[ID]] &lt;&gt; "", IF(A72 = "000", A72 &amp; " | None", A72 &amp; " | " &amp; C72 &amp; " | " &amp; D72 &amp; " | " &amp; F72 &amp; "mm"), "")</f>
        <v/>
      </c>
    </row>
    <row r="73" spans="1:14" ht="22.5" customHeight="1">
      <c r="A73" s="111" t="str">
        <f ca="1">IF(NOZZLES[[#This Row],[PRODUCT]] &lt;&gt; "", IF(ROW() = 2, "000", TEXT(INDIRECT("A" &amp; ROW() - 1) + 1, "000")), "")</f>
        <v/>
      </c>
      <c r="B73" s="102"/>
      <c r="C73" s="17"/>
      <c r="D73" s="102"/>
      <c r="E73" s="48"/>
      <c r="F73" s="48"/>
      <c r="G73" s="49"/>
      <c r="H73" s="49"/>
      <c r="I73" s="49"/>
      <c r="J73" s="100">
        <f>I73 * salesTaxPct</f>
        <v>0</v>
      </c>
      <c r="K73" s="49"/>
      <c r="L73" s="100">
        <f t="shared" si="2"/>
        <v>0</v>
      </c>
      <c r="M73" s="103"/>
      <c r="N73" s="14" t="str">
        <f ca="1">IF(NOZZLES[[#This Row],[ID]] &lt;&gt; "", IF(A73 = "000", A73 &amp; " | None", A73 &amp; " | " &amp; C73 &amp; " | " &amp; D73 &amp; " | " &amp; F73 &amp; "mm"), "")</f>
        <v/>
      </c>
    </row>
    <row r="74" spans="1:14" ht="22.5" customHeight="1">
      <c r="A74" s="111" t="str">
        <f ca="1">IF(NOZZLES[[#This Row],[PRODUCT]] &lt;&gt; "", IF(ROW() = 2, "000", TEXT(INDIRECT("A" &amp; ROW() - 1) + 1, "000")), "")</f>
        <v/>
      </c>
      <c r="B74" s="102"/>
      <c r="C74" s="17"/>
      <c r="D74" s="102"/>
      <c r="E74" s="48"/>
      <c r="F74" s="48"/>
      <c r="G74" s="49"/>
      <c r="H74" s="49"/>
      <c r="I74" s="49"/>
      <c r="J74" s="100">
        <f>I74 * salesTaxPct</f>
        <v>0</v>
      </c>
      <c r="K74" s="49"/>
      <c r="L74" s="100">
        <f t="shared" si="2"/>
        <v>0</v>
      </c>
      <c r="M74" s="103"/>
      <c r="N74" s="14" t="str">
        <f ca="1">IF(NOZZLES[[#This Row],[ID]] &lt;&gt; "", IF(A74 = "000", A74 &amp; " | None", A74 &amp; " | " &amp; C74 &amp; " | " &amp; D74 &amp; " | " &amp; F74 &amp; "mm"), "")</f>
        <v/>
      </c>
    </row>
    <row r="75" spans="1:14" ht="22.5" customHeight="1">
      <c r="A75" s="111" t="str">
        <f ca="1">IF(NOZZLES[[#This Row],[PRODUCT]] &lt;&gt; "", IF(ROW() = 2, "000", TEXT(INDIRECT("A" &amp; ROW() - 1) + 1, "000")), "")</f>
        <v/>
      </c>
      <c r="B75" s="102"/>
      <c r="C75" s="17"/>
      <c r="D75" s="102"/>
      <c r="E75" s="48"/>
      <c r="F75" s="48"/>
      <c r="G75" s="49"/>
      <c r="H75" s="49"/>
      <c r="I75" s="49"/>
      <c r="J75" s="100">
        <f>I75 * salesTaxPct</f>
        <v>0</v>
      </c>
      <c r="K75" s="49"/>
      <c r="L75" s="100">
        <f t="shared" si="2"/>
        <v>0</v>
      </c>
      <c r="M75" s="103"/>
      <c r="N75" s="14" t="str">
        <f ca="1">IF(NOZZLES[[#This Row],[ID]] &lt;&gt; "", IF(A75 = "000", A75 &amp; " | None", A75 &amp; " | " &amp; C75 &amp; " | " &amp; D75 &amp; " | " &amp; F75 &amp; "mm"), "")</f>
        <v/>
      </c>
    </row>
    <row r="76" spans="1:14" ht="22.5" customHeight="1">
      <c r="A76" s="111" t="str">
        <f ca="1">IF(NOZZLES[[#This Row],[PRODUCT]] &lt;&gt; "", IF(ROW() = 2, "000", TEXT(INDIRECT("A" &amp; ROW() - 1) + 1, "000")), "")</f>
        <v/>
      </c>
      <c r="B76" s="102"/>
      <c r="C76" s="17"/>
      <c r="D76" s="102"/>
      <c r="E76" s="48"/>
      <c r="F76" s="48"/>
      <c r="G76" s="49"/>
      <c r="H76" s="49"/>
      <c r="I76" s="49"/>
      <c r="J76" s="100">
        <f>I76 * salesTaxPct</f>
        <v>0</v>
      </c>
      <c r="K76" s="49"/>
      <c r="L76" s="100">
        <f t="shared" si="2"/>
        <v>0</v>
      </c>
      <c r="M76" s="103"/>
      <c r="N76" s="14" t="str">
        <f ca="1">IF(NOZZLES[[#This Row],[ID]] &lt;&gt; "", IF(A76 = "000", A76 &amp; " | None", A76 &amp; " | " &amp; C76 &amp; " | " &amp; D76 &amp; " | " &amp; F76 &amp; "mm"), "")</f>
        <v/>
      </c>
    </row>
    <row r="77" spans="1:14" ht="22.5" customHeight="1">
      <c r="A77" s="111" t="str">
        <f ca="1">IF(NOZZLES[[#This Row],[PRODUCT]] &lt;&gt; "", IF(ROW() = 2, "000", TEXT(INDIRECT("A" &amp; ROW() - 1) + 1, "000")), "")</f>
        <v/>
      </c>
      <c r="B77" s="102"/>
      <c r="C77" s="17"/>
      <c r="D77" s="102"/>
      <c r="E77" s="48"/>
      <c r="F77" s="48"/>
      <c r="G77" s="49"/>
      <c r="H77" s="49"/>
      <c r="I77" s="49"/>
      <c r="J77" s="100">
        <f>I77 * salesTaxPct</f>
        <v>0</v>
      </c>
      <c r="K77" s="49"/>
      <c r="L77" s="100">
        <f t="shared" si="2"/>
        <v>0</v>
      </c>
      <c r="M77" s="103"/>
      <c r="N77" s="14" t="str">
        <f ca="1">IF(NOZZLES[[#This Row],[ID]] &lt;&gt; "", IF(A77 = "000", A77 &amp; " | None", A77 &amp; " | " &amp; C77 &amp; " | " &amp; D77 &amp; " | " &amp; F77 &amp; "mm"), "")</f>
        <v/>
      </c>
    </row>
    <row r="78" spans="1:14" ht="22.5" customHeight="1">
      <c r="A78" s="111" t="str">
        <f ca="1">IF(NOZZLES[[#This Row],[PRODUCT]] &lt;&gt; "", IF(ROW() = 2, "000", TEXT(INDIRECT("A" &amp; ROW() - 1) + 1, "000")), "")</f>
        <v/>
      </c>
      <c r="B78" s="102"/>
      <c r="C78" s="17"/>
      <c r="D78" s="102"/>
      <c r="E78" s="48"/>
      <c r="F78" s="48"/>
      <c r="G78" s="49"/>
      <c r="H78" s="49"/>
      <c r="I78" s="49"/>
      <c r="J78" s="100">
        <f>I78 * salesTaxPct</f>
        <v>0</v>
      </c>
      <c r="K78" s="49"/>
      <c r="L78" s="100">
        <f t="shared" si="2"/>
        <v>0</v>
      </c>
      <c r="M78" s="103"/>
      <c r="N78" s="14" t="str">
        <f ca="1">IF(NOZZLES[[#This Row],[ID]] &lt;&gt; "", IF(A78 = "000", A78 &amp; " | None", A78 &amp; " | " &amp; C78 &amp; " | " &amp; D78 &amp; " | " &amp; F78 &amp; "mm"), "")</f>
        <v/>
      </c>
    </row>
    <row r="79" spans="1:14" ht="22.5" customHeight="1">
      <c r="A79" s="111" t="str">
        <f ca="1">IF(NOZZLES[[#This Row],[PRODUCT]] &lt;&gt; "", IF(ROW() = 2, "000", TEXT(INDIRECT("A" &amp; ROW() - 1) + 1, "000")), "")</f>
        <v/>
      </c>
      <c r="B79" s="102"/>
      <c r="C79" s="17"/>
      <c r="D79" s="102"/>
      <c r="E79" s="48"/>
      <c r="F79" s="48"/>
      <c r="G79" s="49"/>
      <c r="H79" s="49"/>
      <c r="I79" s="49"/>
      <c r="J79" s="100">
        <f>I79 * salesTaxPct</f>
        <v>0</v>
      </c>
      <c r="K79" s="49"/>
      <c r="L79" s="100">
        <f t="shared" si="2"/>
        <v>0</v>
      </c>
      <c r="M79" s="103"/>
      <c r="N79" s="14" t="str">
        <f ca="1">IF(NOZZLES[[#This Row],[ID]] &lt;&gt; "", IF(A79 = "000", A79 &amp; " | None", A79 &amp; " | " &amp; C79 &amp; " | " &amp; D79 &amp; " | " &amp; F79 &amp; "mm"), "")</f>
        <v/>
      </c>
    </row>
    <row r="80" spans="1:14" ht="22.5" customHeight="1">
      <c r="A80" s="111" t="str">
        <f ca="1">IF(NOZZLES[[#This Row],[PRODUCT]] &lt;&gt; "", IF(ROW() = 2, "000", TEXT(INDIRECT("A" &amp; ROW() - 1) + 1, "000")), "")</f>
        <v/>
      </c>
      <c r="B80" s="102"/>
      <c r="C80" s="17"/>
      <c r="D80" s="102"/>
      <c r="E80" s="48"/>
      <c r="F80" s="48"/>
      <c r="G80" s="49"/>
      <c r="H80" s="49"/>
      <c r="I80" s="49"/>
      <c r="J80" s="100">
        <f>I80 * salesTaxPct</f>
        <v>0</v>
      </c>
      <c r="K80" s="49"/>
      <c r="L80" s="100">
        <f t="shared" si="2"/>
        <v>0</v>
      </c>
      <c r="M80" s="103"/>
      <c r="N80" s="14" t="str">
        <f ca="1">IF(NOZZLES[[#This Row],[ID]] &lt;&gt; "", IF(A80 = "000", A80 &amp; " | None", A80 &amp; " | " &amp; C80 &amp; " | " &amp; D80 &amp; " | " &amp; F80 &amp; "mm"), "")</f>
        <v/>
      </c>
    </row>
    <row r="81" spans="1:14" ht="22.5" customHeight="1">
      <c r="A81" s="111" t="str">
        <f ca="1">IF(NOZZLES[[#This Row],[PRODUCT]] &lt;&gt; "", IF(ROW() = 2, "000", TEXT(INDIRECT("A" &amp; ROW() - 1) + 1, "000")), "")</f>
        <v/>
      </c>
      <c r="B81" s="102"/>
      <c r="C81" s="17"/>
      <c r="D81" s="102"/>
      <c r="E81" s="48"/>
      <c r="F81" s="48"/>
      <c r="G81" s="49"/>
      <c r="H81" s="49"/>
      <c r="I81" s="49"/>
      <c r="J81" s="100">
        <f>I81 * salesTaxPct</f>
        <v>0</v>
      </c>
      <c r="K81" s="49"/>
      <c r="L81" s="100">
        <f t="shared" si="2"/>
        <v>0</v>
      </c>
      <c r="M81" s="103"/>
      <c r="N81" s="14" t="str">
        <f ca="1">IF(NOZZLES[[#This Row],[ID]] &lt;&gt; "", IF(A81 = "000", A81 &amp; " | None", A81 &amp; " | " &amp; C81 &amp; " | " &amp; D81 &amp; " | " &amp; F81 &amp; "mm"), "")</f>
        <v/>
      </c>
    </row>
    <row r="82" spans="1:14" ht="22.5" customHeight="1">
      <c r="A82" s="111" t="str">
        <f ca="1">IF(NOZZLES[[#This Row],[PRODUCT]] &lt;&gt; "", IF(ROW() = 2, "000", TEXT(INDIRECT("A" &amp; ROW() - 1) + 1, "000")), "")</f>
        <v/>
      </c>
      <c r="B82" s="102"/>
      <c r="C82" s="17"/>
      <c r="D82" s="102"/>
      <c r="E82" s="48"/>
      <c r="F82" s="48"/>
      <c r="G82" s="49"/>
      <c r="H82" s="49"/>
      <c r="I82" s="49"/>
      <c r="J82" s="100">
        <f>I82 * salesTaxPct</f>
        <v>0</v>
      </c>
      <c r="K82" s="49"/>
      <c r="L82" s="100">
        <f t="shared" si="2"/>
        <v>0</v>
      </c>
      <c r="M82" s="103"/>
      <c r="N82" s="14" t="str">
        <f ca="1">IF(NOZZLES[[#This Row],[ID]] &lt;&gt; "", IF(A82 = "000", A82 &amp; " | None", A82 &amp; " | " &amp; C82 &amp; " | " &amp; D82 &amp; " | " &amp; F82 &amp; "mm"), "")</f>
        <v/>
      </c>
    </row>
    <row r="83" spans="1:14" ht="22.5" customHeight="1">
      <c r="A83" s="111" t="str">
        <f ca="1">IF(NOZZLES[[#This Row],[PRODUCT]] &lt;&gt; "", IF(ROW() = 2, "000", TEXT(INDIRECT("A" &amp; ROW() - 1) + 1, "000")), "")</f>
        <v/>
      </c>
      <c r="B83" s="102"/>
      <c r="C83" s="17"/>
      <c r="D83" s="102"/>
      <c r="E83" s="48"/>
      <c r="F83" s="48"/>
      <c r="G83" s="49"/>
      <c r="H83" s="49"/>
      <c r="I83" s="49"/>
      <c r="J83" s="100">
        <f>I83 * salesTaxPct</f>
        <v>0</v>
      </c>
      <c r="K83" s="49"/>
      <c r="L83" s="100">
        <f t="shared" si="2"/>
        <v>0</v>
      </c>
      <c r="M83" s="103"/>
      <c r="N83" s="14" t="str">
        <f ca="1">IF(NOZZLES[[#This Row],[ID]] &lt;&gt; "", IF(A83 = "000", A83 &amp; " | None", A83 &amp; " | " &amp; C83 &amp; " | " &amp; D83 &amp; " | " &amp; F83 &amp; "mm"), "")</f>
        <v/>
      </c>
    </row>
    <row r="84" spans="1:14" ht="22.5" customHeight="1">
      <c r="A84" s="111" t="str">
        <f ca="1">IF(NOZZLES[[#This Row],[PRODUCT]] &lt;&gt; "", IF(ROW() = 2, "000", TEXT(INDIRECT("A" &amp; ROW() - 1) + 1, "000")), "")</f>
        <v/>
      </c>
      <c r="B84" s="102"/>
      <c r="C84" s="17"/>
      <c r="D84" s="102"/>
      <c r="E84" s="48"/>
      <c r="F84" s="48"/>
      <c r="G84" s="49"/>
      <c r="H84" s="49"/>
      <c r="I84" s="49"/>
      <c r="J84" s="100">
        <f>I84 * salesTaxPct</f>
        <v>0</v>
      </c>
      <c r="K84" s="49"/>
      <c r="L84" s="100">
        <f t="shared" si="2"/>
        <v>0</v>
      </c>
      <c r="M84" s="103"/>
      <c r="N84" s="14" t="str">
        <f ca="1">IF(NOZZLES[[#This Row],[ID]] &lt;&gt; "", IF(A84 = "000", A84 &amp; " | None", A84 &amp; " | " &amp; C84 &amp; " | " &amp; D84 &amp; " | " &amp; F84 &amp; "mm"), "")</f>
        <v/>
      </c>
    </row>
    <row r="85" spans="1:14" ht="22.5" customHeight="1">
      <c r="A85" s="111" t="str">
        <f ca="1">IF(NOZZLES[[#This Row],[PRODUCT]] &lt;&gt; "", IF(ROW() = 2, "000", TEXT(INDIRECT("A" &amp; ROW() - 1) + 1, "000")), "")</f>
        <v/>
      </c>
      <c r="B85" s="102"/>
      <c r="C85" s="17"/>
      <c r="D85" s="102"/>
      <c r="E85" s="48"/>
      <c r="F85" s="48"/>
      <c r="G85" s="49"/>
      <c r="H85" s="49"/>
      <c r="I85" s="49"/>
      <c r="J85" s="100">
        <f>I85 * salesTaxPct</f>
        <v>0</v>
      </c>
      <c r="K85" s="49"/>
      <c r="L85" s="100">
        <f t="shared" si="2"/>
        <v>0</v>
      </c>
      <c r="M85" s="103"/>
      <c r="N85" s="14" t="str">
        <f ca="1">IF(NOZZLES[[#This Row],[ID]] &lt;&gt; "", IF(A85 = "000", A85 &amp; " | None", A85 &amp; " | " &amp; C85 &amp; " | " &amp; D85 &amp; " | " &amp; F85 &amp; "mm"), "")</f>
        <v/>
      </c>
    </row>
    <row r="86" spans="1:14" ht="22.5" customHeight="1">
      <c r="A86" s="111" t="str">
        <f ca="1">IF(NOZZLES[[#This Row],[PRODUCT]] &lt;&gt; "", IF(ROW() = 2, "000", TEXT(INDIRECT("A" &amp; ROW() - 1) + 1, "000")), "")</f>
        <v/>
      </c>
      <c r="B86" s="102"/>
      <c r="C86" s="17"/>
      <c r="D86" s="102"/>
      <c r="E86" s="48"/>
      <c r="F86" s="48"/>
      <c r="G86" s="49"/>
      <c r="H86" s="49"/>
      <c r="I86" s="49"/>
      <c r="J86" s="100">
        <f>I86 * salesTaxPct</f>
        <v>0</v>
      </c>
      <c r="K86" s="49"/>
      <c r="L86" s="100">
        <f t="shared" si="2"/>
        <v>0</v>
      </c>
      <c r="M86" s="103"/>
      <c r="N86" s="14" t="str">
        <f ca="1">IF(NOZZLES[[#This Row],[ID]] &lt;&gt; "", IF(A86 = "000", A86 &amp; " | None", A86 &amp; " | " &amp; C86 &amp; " | " &amp; D86 &amp; " | " &amp; F86 &amp; "mm"), "")</f>
        <v/>
      </c>
    </row>
    <row r="87" spans="1:14" ht="22.5" customHeight="1">
      <c r="A87" s="111" t="str">
        <f ca="1">IF(NOZZLES[[#This Row],[PRODUCT]] &lt;&gt; "", IF(ROW() = 2, "000", TEXT(INDIRECT("A" &amp; ROW() - 1) + 1, "000")), "")</f>
        <v/>
      </c>
      <c r="B87" s="102"/>
      <c r="C87" s="17"/>
      <c r="D87" s="102"/>
      <c r="E87" s="48"/>
      <c r="F87" s="48"/>
      <c r="G87" s="49"/>
      <c r="H87" s="49"/>
      <c r="I87" s="49"/>
      <c r="J87" s="100">
        <f>I87 * salesTaxPct</f>
        <v>0</v>
      </c>
      <c r="K87" s="49"/>
      <c r="L87" s="100">
        <f t="shared" si="2"/>
        <v>0</v>
      </c>
      <c r="M87" s="103"/>
      <c r="N87" s="14" t="str">
        <f ca="1">IF(NOZZLES[[#This Row],[ID]] &lt;&gt; "", IF(A87 = "000", A87 &amp; " | None", A87 &amp; " | " &amp; C87 &amp; " | " &amp; D87 &amp; " | " &amp; F87 &amp; "mm"), "")</f>
        <v/>
      </c>
    </row>
    <row r="88" spans="1:14" ht="22.5" customHeight="1">
      <c r="A88" s="111" t="str">
        <f ca="1">IF(NOZZLES[[#This Row],[PRODUCT]] &lt;&gt; "", IF(ROW() = 2, "000", TEXT(INDIRECT("A" &amp; ROW() - 1) + 1, "000")), "")</f>
        <v/>
      </c>
      <c r="B88" s="102"/>
      <c r="C88" s="17"/>
      <c r="D88" s="102"/>
      <c r="E88" s="48"/>
      <c r="F88" s="48"/>
      <c r="G88" s="49"/>
      <c r="H88" s="49"/>
      <c r="I88" s="49"/>
      <c r="J88" s="100">
        <f>I88 * salesTaxPct</f>
        <v>0</v>
      </c>
      <c r="K88" s="49"/>
      <c r="L88" s="100">
        <f t="shared" si="2"/>
        <v>0</v>
      </c>
      <c r="M88" s="103"/>
      <c r="N88" s="14" t="str">
        <f ca="1">IF(NOZZLES[[#This Row],[ID]] &lt;&gt; "", IF(A88 = "000", A88 &amp; " | None", A88 &amp; " | " &amp; C88 &amp; " | " &amp; D88 &amp; " | " &amp; F88 &amp; "mm"), "")</f>
        <v/>
      </c>
    </row>
    <row r="89" spans="1:14" ht="22.5" customHeight="1">
      <c r="A89" s="111" t="str">
        <f ca="1">IF(NOZZLES[[#This Row],[PRODUCT]] &lt;&gt; "", IF(ROW() = 2, "000", TEXT(INDIRECT("A" &amp; ROW() - 1) + 1, "000")), "")</f>
        <v/>
      </c>
      <c r="B89" s="102"/>
      <c r="C89" s="17"/>
      <c r="D89" s="102"/>
      <c r="E89" s="48"/>
      <c r="F89" s="48"/>
      <c r="G89" s="49"/>
      <c r="H89" s="49"/>
      <c r="I89" s="49"/>
      <c r="J89" s="100">
        <f>I89 * salesTaxPct</f>
        <v>0</v>
      </c>
      <c r="K89" s="49"/>
      <c r="L89" s="100">
        <f t="shared" si="2"/>
        <v>0</v>
      </c>
      <c r="M89" s="103"/>
      <c r="N89" s="14" t="str">
        <f ca="1">IF(NOZZLES[[#This Row],[ID]] &lt;&gt; "", IF(A89 = "000", A89 &amp; " | None", A89 &amp; " | " &amp; C89 &amp; " | " &amp; D89 &amp; " | " &amp; F89 &amp; "mm"), "")</f>
        <v/>
      </c>
    </row>
    <row r="90" spans="1:14" ht="22.5" customHeight="1">
      <c r="A90" s="111" t="str">
        <f ca="1">IF(NOZZLES[[#This Row],[PRODUCT]] &lt;&gt; "", IF(ROW() = 2, "000", TEXT(INDIRECT("A" &amp; ROW() - 1) + 1, "000")), "")</f>
        <v/>
      </c>
      <c r="B90" s="102"/>
      <c r="C90" s="17"/>
      <c r="D90" s="102"/>
      <c r="E90" s="48"/>
      <c r="F90" s="48"/>
      <c r="G90" s="49"/>
      <c r="H90" s="49"/>
      <c r="I90" s="49"/>
      <c r="J90" s="100">
        <f>I90 * salesTaxPct</f>
        <v>0</v>
      </c>
      <c r="K90" s="49"/>
      <c r="L90" s="100">
        <f t="shared" si="2"/>
        <v>0</v>
      </c>
      <c r="M90" s="103"/>
      <c r="N90" s="14" t="str">
        <f ca="1">IF(NOZZLES[[#This Row],[ID]] &lt;&gt; "", IF(A90 = "000", A90 &amp; " | None", A90 &amp; " | " &amp; C90 &amp; " | " &amp; D90 &amp; " | " &amp; F90 &amp; "mm"), "")</f>
        <v/>
      </c>
    </row>
    <row r="91" spans="1:14" ht="22.5" customHeight="1">
      <c r="A91" s="111" t="str">
        <f ca="1">IF(NOZZLES[[#This Row],[PRODUCT]] &lt;&gt; "", IF(ROW() = 2, "000", TEXT(INDIRECT("A" &amp; ROW() - 1) + 1, "000")), "")</f>
        <v/>
      </c>
      <c r="B91" s="102"/>
      <c r="C91" s="17"/>
      <c r="D91" s="102"/>
      <c r="E91" s="48"/>
      <c r="F91" s="48"/>
      <c r="G91" s="49"/>
      <c r="H91" s="49"/>
      <c r="I91" s="49"/>
      <c r="J91" s="100">
        <f>I91 * salesTaxPct</f>
        <v>0</v>
      </c>
      <c r="K91" s="49"/>
      <c r="L91" s="100">
        <f t="shared" si="2"/>
        <v>0</v>
      </c>
      <c r="M91" s="103"/>
      <c r="N91" s="14" t="str">
        <f ca="1">IF(NOZZLES[[#This Row],[ID]] &lt;&gt; "", IF(A91 = "000", A91 &amp; " | None", A91 &amp; " | " &amp; C91 &amp; " | " &amp; D91 &amp; " | " &amp; F91 &amp; "mm"), "")</f>
        <v/>
      </c>
    </row>
    <row r="92" spans="1:14" ht="22.5" customHeight="1">
      <c r="A92" s="111" t="str">
        <f ca="1">IF(NOZZLES[[#This Row],[PRODUCT]] &lt;&gt; "", IF(ROW() = 2, "000", TEXT(INDIRECT("A" &amp; ROW() - 1) + 1, "000")), "")</f>
        <v/>
      </c>
      <c r="B92" s="102"/>
      <c r="C92" s="17"/>
      <c r="D92" s="102"/>
      <c r="E92" s="48"/>
      <c r="F92" s="48"/>
      <c r="G92" s="49"/>
      <c r="H92" s="49"/>
      <c r="I92" s="49"/>
      <c r="J92" s="100">
        <f>I92 * salesTaxPct</f>
        <v>0</v>
      </c>
      <c r="K92" s="49"/>
      <c r="L92" s="100">
        <f t="shared" si="2"/>
        <v>0</v>
      </c>
      <c r="M92" s="103"/>
      <c r="N92" s="14" t="str">
        <f ca="1">IF(NOZZLES[[#This Row],[ID]] &lt;&gt; "", IF(A92 = "000", A92 &amp; " | None", A92 &amp; " | " &amp; C92 &amp; " | " &amp; D92 &amp; " | " &amp; F92 &amp; "mm"), "")</f>
        <v/>
      </c>
    </row>
    <row r="93" spans="1:14" ht="22.5" customHeight="1">
      <c r="A93" s="111" t="str">
        <f ca="1">IF(NOZZLES[[#This Row],[PRODUCT]] &lt;&gt; "", IF(ROW() = 2, "000", TEXT(INDIRECT("A" &amp; ROW() - 1) + 1, "000")), "")</f>
        <v/>
      </c>
      <c r="B93" s="102"/>
      <c r="C93" s="17"/>
      <c r="D93" s="102"/>
      <c r="E93" s="48"/>
      <c r="F93" s="48"/>
      <c r="G93" s="49"/>
      <c r="H93" s="49"/>
      <c r="I93" s="49"/>
      <c r="J93" s="100">
        <f>I93 * salesTaxPct</f>
        <v>0</v>
      </c>
      <c r="K93" s="49"/>
      <c r="L93" s="100">
        <f t="shared" si="2"/>
        <v>0</v>
      </c>
      <c r="M93" s="103"/>
      <c r="N93" s="14" t="str">
        <f ca="1">IF(NOZZLES[[#This Row],[ID]] &lt;&gt; "", IF(A93 = "000", A93 &amp; " | None", A93 &amp; " | " &amp; C93 &amp; " | " &amp; D93 &amp; " | " &amp; F93 &amp; "mm"), "")</f>
        <v/>
      </c>
    </row>
    <row r="94" spans="1:14" ht="22.5" customHeight="1">
      <c r="A94" s="111" t="str">
        <f ca="1">IF(NOZZLES[[#This Row],[PRODUCT]] &lt;&gt; "", IF(ROW() = 2, "000", TEXT(INDIRECT("A" &amp; ROW() - 1) + 1, "000")), "")</f>
        <v/>
      </c>
      <c r="B94" s="102"/>
      <c r="C94" s="17"/>
      <c r="D94" s="102"/>
      <c r="E94" s="48"/>
      <c r="F94" s="48"/>
      <c r="G94" s="49"/>
      <c r="H94" s="49"/>
      <c r="I94" s="49"/>
      <c r="J94" s="100">
        <f>I94 * salesTaxPct</f>
        <v>0</v>
      </c>
      <c r="K94" s="49"/>
      <c r="L94" s="100">
        <f t="shared" si="2"/>
        <v>0</v>
      </c>
      <c r="M94" s="103"/>
      <c r="N94" s="14" t="str">
        <f ca="1">IF(NOZZLES[[#This Row],[ID]] &lt;&gt; "", IF(A94 = "000", A94 &amp; " | None", A94 &amp; " | " &amp; C94 &amp; " | " &amp; D94 &amp; " | " &amp; F94 &amp; "mm"), "")</f>
        <v/>
      </c>
    </row>
    <row r="95" spans="1:14" ht="22.5" customHeight="1">
      <c r="A95" s="111" t="str">
        <f ca="1">IF(NOZZLES[[#This Row],[PRODUCT]] &lt;&gt; "", IF(ROW() = 2, "000", TEXT(INDIRECT("A" &amp; ROW() - 1) + 1, "000")), "")</f>
        <v/>
      </c>
      <c r="B95" s="102"/>
      <c r="C95" s="17"/>
      <c r="D95" s="102"/>
      <c r="E95" s="48"/>
      <c r="F95" s="48"/>
      <c r="G95" s="49"/>
      <c r="H95" s="49"/>
      <c r="I95" s="49"/>
      <c r="J95" s="100">
        <f>I95 * salesTaxPct</f>
        <v>0</v>
      </c>
      <c r="K95" s="49"/>
      <c r="L95" s="100">
        <f t="shared" si="2"/>
        <v>0</v>
      </c>
      <c r="M95" s="103"/>
      <c r="N95" s="14" t="str">
        <f ca="1">IF(NOZZLES[[#This Row],[ID]] &lt;&gt; "", IF(A95 = "000", A95 &amp; " | None", A95 &amp; " | " &amp; C95 &amp; " | " &amp; D95 &amp; " | " &amp; F95 &amp; "mm"), "")</f>
        <v/>
      </c>
    </row>
    <row r="96" spans="1:14" ht="22.5" customHeight="1">
      <c r="A96" s="111" t="str">
        <f ca="1">IF(NOZZLES[[#This Row],[PRODUCT]] &lt;&gt; "", IF(ROW() = 2, "000", TEXT(INDIRECT("A" &amp; ROW() - 1) + 1, "000")), "")</f>
        <v/>
      </c>
      <c r="B96" s="102"/>
      <c r="C96" s="17"/>
      <c r="D96" s="102"/>
      <c r="E96" s="48"/>
      <c r="F96" s="48"/>
      <c r="G96" s="49"/>
      <c r="H96" s="49"/>
      <c r="I96" s="49"/>
      <c r="J96" s="100">
        <f>I96 * salesTaxPct</f>
        <v>0</v>
      </c>
      <c r="K96" s="49"/>
      <c r="L96" s="100">
        <f t="shared" si="2"/>
        <v>0</v>
      </c>
      <c r="M96" s="103"/>
      <c r="N96" s="14" t="str">
        <f ca="1">IF(NOZZLES[[#This Row],[ID]] &lt;&gt; "", IF(A96 = "000", A96 &amp; " | None", A96 &amp; " | " &amp; C96 &amp; " | " &amp; D96 &amp; " | " &amp; F96 &amp; "mm"), "")</f>
        <v/>
      </c>
    </row>
    <row r="97" spans="1:14" ht="22.5" customHeight="1">
      <c r="A97" s="111" t="str">
        <f ca="1">IF(NOZZLES[[#This Row],[PRODUCT]] &lt;&gt; "", IF(ROW() = 2, "000", TEXT(INDIRECT("A" &amp; ROW() - 1) + 1, "000")), "")</f>
        <v/>
      </c>
      <c r="B97" s="102"/>
      <c r="C97" s="17"/>
      <c r="D97" s="102"/>
      <c r="E97" s="48"/>
      <c r="F97" s="48"/>
      <c r="G97" s="49"/>
      <c r="H97" s="49"/>
      <c r="I97" s="49"/>
      <c r="J97" s="100">
        <f>I97 * salesTaxPct</f>
        <v>0</v>
      </c>
      <c r="K97" s="49"/>
      <c r="L97" s="100">
        <f t="shared" si="2"/>
        <v>0</v>
      </c>
      <c r="M97" s="103"/>
      <c r="N97" s="14" t="str">
        <f ca="1">IF(NOZZLES[[#This Row],[ID]] &lt;&gt; "", IF(A97 = "000", A97 &amp; " | None", A97 &amp; " | " &amp; C97 &amp; " | " &amp; D97 &amp; " | " &amp; F97 &amp; "mm"), "")</f>
        <v/>
      </c>
    </row>
    <row r="98" spans="1:14" ht="22.5" customHeight="1">
      <c r="A98" s="111" t="str">
        <f ca="1">IF(NOZZLES[[#This Row],[PRODUCT]] &lt;&gt; "", IF(ROW() = 2, "000", TEXT(INDIRECT("A" &amp; ROW() - 1) + 1, "000")), "")</f>
        <v/>
      </c>
      <c r="B98" s="102"/>
      <c r="C98" s="17"/>
      <c r="D98" s="102"/>
      <c r="E98" s="48"/>
      <c r="F98" s="48"/>
      <c r="G98" s="49"/>
      <c r="H98" s="49"/>
      <c r="I98" s="49"/>
      <c r="J98" s="100">
        <f>I98 * salesTaxPct</f>
        <v>0</v>
      </c>
      <c r="K98" s="49"/>
      <c r="L98" s="100">
        <f t="shared" si="2"/>
        <v>0</v>
      </c>
      <c r="M98" s="103"/>
      <c r="N98" s="14" t="str">
        <f ca="1">IF(NOZZLES[[#This Row],[ID]] &lt;&gt; "", IF(A98 = "000", A98 &amp; " | None", A98 &amp; " | " &amp; C98 &amp; " | " &amp; D98 &amp; " | " &amp; F98 &amp; "mm"), "")</f>
        <v/>
      </c>
    </row>
    <row r="99" spans="1:14" ht="22.5" customHeight="1">
      <c r="A99" s="111" t="str">
        <f ca="1">IF(NOZZLES[[#This Row],[PRODUCT]] &lt;&gt; "", IF(ROW() = 2, "000", TEXT(INDIRECT("A" &amp; ROW() - 1) + 1, "000")), "")</f>
        <v/>
      </c>
      <c r="B99" s="102"/>
      <c r="C99" s="17"/>
      <c r="D99" s="102"/>
      <c r="E99" s="48"/>
      <c r="F99" s="48"/>
      <c r="G99" s="49"/>
      <c r="H99" s="49"/>
      <c r="I99" s="49"/>
      <c r="J99" s="100">
        <f>I99 * salesTaxPct</f>
        <v>0</v>
      </c>
      <c r="K99" s="49"/>
      <c r="L99" s="100">
        <f t="shared" si="2"/>
        <v>0</v>
      </c>
      <c r="M99" s="103"/>
      <c r="N99" s="14" t="str">
        <f ca="1">IF(NOZZLES[[#This Row],[ID]] &lt;&gt; "", IF(A99 = "000", A99 &amp; " | None", A99 &amp; " | " &amp; C99 &amp; " | " &amp; D99 &amp; " | " &amp; F99 &amp; "mm"), "")</f>
        <v/>
      </c>
    </row>
    <row r="100" spans="1:14" ht="22.5" customHeight="1">
      <c r="A100" s="111" t="str">
        <f ca="1">IF(NOZZLES[[#This Row],[PRODUCT]] &lt;&gt; "", IF(ROW() = 2, "000", TEXT(INDIRECT("A" &amp; ROW() - 1) + 1, "000")), "")</f>
        <v/>
      </c>
      <c r="B100" s="102"/>
      <c r="C100" s="17"/>
      <c r="D100" s="102"/>
      <c r="E100" s="48"/>
      <c r="F100" s="48"/>
      <c r="G100" s="49"/>
      <c r="H100" s="49"/>
      <c r="I100" s="49"/>
      <c r="J100" s="100">
        <f>I100 * salesTaxPct</f>
        <v>0</v>
      </c>
      <c r="K100" s="49"/>
      <c r="L100" s="100">
        <f t="shared" si="2"/>
        <v>0</v>
      </c>
      <c r="M100" s="103"/>
      <c r="N100" s="14" t="str">
        <f ca="1">IF(NOZZLES[[#This Row],[ID]] &lt;&gt; "", IF(A100 = "000", A100 &amp; " | None", A100 &amp; " | " &amp; C100 &amp; " | " &amp; D100 &amp; " | " &amp; F100 &amp; "mm"), "")</f>
        <v/>
      </c>
    </row>
    <row r="101" spans="1:14" ht="22.5" customHeight="1">
      <c r="A101" s="111" t="str">
        <f ca="1">IF(NOZZLES[[#This Row],[PRODUCT]] &lt;&gt; "", IF(ROW() = 2, "000", TEXT(INDIRECT("A" &amp; ROW() - 1) + 1, "000")), "")</f>
        <v/>
      </c>
      <c r="B101" s="102"/>
      <c r="C101" s="17"/>
      <c r="D101" s="102"/>
      <c r="E101" s="48"/>
      <c r="F101" s="48"/>
      <c r="G101" s="49"/>
      <c r="H101" s="49"/>
      <c r="I101" s="49"/>
      <c r="J101" s="100">
        <f>I101 * salesTaxPct</f>
        <v>0</v>
      </c>
      <c r="K101" s="49"/>
      <c r="L101" s="100">
        <f t="shared" si="2"/>
        <v>0</v>
      </c>
      <c r="M101" s="103"/>
      <c r="N101" s="14" t="str">
        <f ca="1">IF(NOZZLES[[#This Row],[ID]] &lt;&gt; "", IF(A101 = "000", A101 &amp; " | None", A101 &amp; " | " &amp; C101 &amp; " | " &amp; D101 &amp; " | " &amp; F101 &amp; "mm"), "")</f>
        <v/>
      </c>
    </row>
    <row r="102" spans="1:14" ht="22.5" customHeight="1">
      <c r="A102" s="111" t="str">
        <f ca="1">IF(NOZZLES[[#This Row],[PRODUCT]] &lt;&gt; "", IF(ROW() = 2, "000", TEXT(INDIRECT("A" &amp; ROW() - 1) + 1, "000")), "")</f>
        <v/>
      </c>
      <c r="B102" s="102"/>
      <c r="C102" s="17"/>
      <c r="D102" s="102"/>
      <c r="E102" s="48"/>
      <c r="F102" s="48"/>
      <c r="G102" s="49"/>
      <c r="H102" s="49"/>
      <c r="I102" s="49"/>
      <c r="J102" s="100">
        <f>I102 * salesTaxPct</f>
        <v>0</v>
      </c>
      <c r="K102" s="49"/>
      <c r="L102" s="100">
        <f t="shared" si="2"/>
        <v>0</v>
      </c>
      <c r="M102" s="103"/>
      <c r="N102" s="14" t="str">
        <f ca="1">IF(NOZZLES[[#This Row],[ID]] &lt;&gt; "", IF(A102 = "000", A102 &amp; " | None", A102 &amp; " | " &amp; C102 &amp; " | " &amp; D102 &amp; " | " &amp; F102 &amp; "mm"), "")</f>
        <v/>
      </c>
    </row>
    <row r="103" spans="1:14" ht="22.5" customHeight="1">
      <c r="A103" s="111" t="str">
        <f ca="1">IF(NOZZLES[[#This Row],[PRODUCT]] &lt;&gt; "", IF(ROW() = 2, "000", TEXT(INDIRECT("A" &amp; ROW() - 1) + 1, "000")), "")</f>
        <v/>
      </c>
      <c r="B103" s="102"/>
      <c r="C103" s="17"/>
      <c r="D103" s="102"/>
      <c r="E103" s="48"/>
      <c r="F103" s="48"/>
      <c r="G103" s="49"/>
      <c r="H103" s="49"/>
      <c r="I103" s="49"/>
      <c r="J103" s="100">
        <f>I103 * salesTaxPct</f>
        <v>0</v>
      </c>
      <c r="K103" s="49"/>
      <c r="L103" s="100">
        <f t="shared" si="2"/>
        <v>0</v>
      </c>
      <c r="M103" s="103"/>
      <c r="N103" s="14" t="str">
        <f ca="1">IF(NOZZLES[[#This Row],[ID]] &lt;&gt; "", IF(A103 = "000", A103 &amp; " | None", A103 &amp; " | " &amp; C103 &amp; " | " &amp; D103 &amp; " | " &amp; F103 &amp; "mm"), "")</f>
        <v/>
      </c>
    </row>
    <row r="104" spans="1:14" ht="22.5" customHeight="1">
      <c r="A104" s="111" t="str">
        <f ca="1">IF(NOZZLES[[#This Row],[PRODUCT]] &lt;&gt; "", IF(ROW() = 2, "000", TEXT(INDIRECT("A" &amp; ROW() - 1) + 1, "000")), "")</f>
        <v/>
      </c>
      <c r="B104" s="102"/>
      <c r="C104" s="17"/>
      <c r="D104" s="102"/>
      <c r="E104" s="48"/>
      <c r="F104" s="48"/>
      <c r="G104" s="49"/>
      <c r="H104" s="49"/>
      <c r="I104" s="49"/>
      <c r="J104" s="100">
        <f>I104 * salesTaxPct</f>
        <v>0</v>
      </c>
      <c r="K104" s="49"/>
      <c r="L104" s="100">
        <f t="shared" si="2"/>
        <v>0</v>
      </c>
      <c r="M104" s="103"/>
      <c r="N104" s="14" t="str">
        <f ca="1">IF(NOZZLES[[#This Row],[ID]] &lt;&gt; "", IF(A104 = "000", A104 &amp; " | None", A104 &amp; " | " &amp; C104 &amp; " | " &amp; D104 &amp; " | " &amp; F104 &amp; "mm"), "")</f>
        <v/>
      </c>
    </row>
    <row r="105" spans="1:14" ht="22.5" customHeight="1">
      <c r="A105" s="111" t="str">
        <f ca="1">IF(NOZZLES[[#This Row],[PRODUCT]] &lt;&gt; "", IF(ROW() = 2, "000", TEXT(INDIRECT("A" &amp; ROW() - 1) + 1, "000")), "")</f>
        <v/>
      </c>
      <c r="B105" s="102"/>
      <c r="C105" s="17"/>
      <c r="D105" s="102"/>
      <c r="E105" s="48"/>
      <c r="F105" s="48"/>
      <c r="G105" s="49"/>
      <c r="H105" s="49"/>
      <c r="I105" s="49"/>
      <c r="J105" s="100">
        <f>I105 * salesTaxPct</f>
        <v>0</v>
      </c>
      <c r="K105" s="49"/>
      <c r="L105" s="100">
        <f t="shared" si="2"/>
        <v>0</v>
      </c>
      <c r="M105" s="103"/>
      <c r="N105" s="14" t="str">
        <f ca="1">IF(NOZZLES[[#This Row],[ID]] &lt;&gt; "", IF(A105 = "000", A105 &amp; " | None", A105 &amp; " | " &amp; C105 &amp; " | " &amp; D105 &amp; " | " &amp; F105 &amp; "mm"), "")</f>
        <v/>
      </c>
    </row>
    <row r="106" spans="1:14" ht="22.5" customHeight="1">
      <c r="A106" s="111" t="str">
        <f ca="1">IF(NOZZLES[[#This Row],[PRODUCT]] &lt;&gt; "", IF(ROW() = 2, "000", TEXT(INDIRECT("A" &amp; ROW() - 1) + 1, "000")), "")</f>
        <v/>
      </c>
      <c r="B106" s="102"/>
      <c r="C106" s="17"/>
      <c r="D106" s="102"/>
      <c r="E106" s="48"/>
      <c r="F106" s="48"/>
      <c r="G106" s="49"/>
      <c r="H106" s="49"/>
      <c r="I106" s="49"/>
      <c r="J106" s="100">
        <f>I106 * salesTaxPct</f>
        <v>0</v>
      </c>
      <c r="K106" s="49"/>
      <c r="L106" s="100">
        <f t="shared" si="2"/>
        <v>0</v>
      </c>
      <c r="M106" s="103"/>
      <c r="N106" s="14" t="str">
        <f ca="1">IF(NOZZLES[[#This Row],[ID]] &lt;&gt; "", IF(A106 = "000", A106 &amp; " | None", A106 &amp; " | " &amp; C106 &amp; " | " &amp; D106 &amp; " | " &amp; F106 &amp; "mm"), "")</f>
        <v/>
      </c>
    </row>
    <row r="107" spans="1:14" ht="22.5" customHeight="1">
      <c r="A107" s="111" t="str">
        <f ca="1">IF(NOZZLES[[#This Row],[PRODUCT]] &lt;&gt; "", IF(ROW() = 2, "000", TEXT(INDIRECT("A" &amp; ROW() - 1) + 1, "000")), "")</f>
        <v/>
      </c>
      <c r="B107" s="102"/>
      <c r="C107" s="17"/>
      <c r="D107" s="102"/>
      <c r="E107" s="48"/>
      <c r="F107" s="48"/>
      <c r="G107" s="49"/>
      <c r="H107" s="49"/>
      <c r="I107" s="49"/>
      <c r="J107" s="100">
        <f>I107 * salesTaxPct</f>
        <v>0</v>
      </c>
      <c r="K107" s="49"/>
      <c r="L107" s="100">
        <f t="shared" si="2"/>
        <v>0</v>
      </c>
      <c r="M107" s="103"/>
      <c r="N107" s="14" t="str">
        <f ca="1">IF(NOZZLES[[#This Row],[ID]] &lt;&gt; "", IF(A107 = "000", A107 &amp; " | None", A107 &amp; " | " &amp; C107 &amp; " | " &amp; D107 &amp; " | " &amp; F107 &amp; "mm"), "")</f>
        <v/>
      </c>
    </row>
    <row r="108" spans="1:14" ht="22.5" customHeight="1">
      <c r="A108" s="111" t="str">
        <f ca="1">IF(NOZZLES[[#This Row],[PRODUCT]] &lt;&gt; "", IF(ROW() = 2, "000", TEXT(INDIRECT("A" &amp; ROW() - 1) + 1, "000")), "")</f>
        <v/>
      </c>
      <c r="B108" s="102"/>
      <c r="C108" s="17"/>
      <c r="D108" s="102"/>
      <c r="E108" s="48"/>
      <c r="F108" s="48"/>
      <c r="G108" s="49"/>
      <c r="H108" s="49"/>
      <c r="I108" s="49"/>
      <c r="J108" s="100">
        <f>I108 * salesTaxPct</f>
        <v>0</v>
      </c>
      <c r="K108" s="49"/>
      <c r="L108" s="100">
        <f t="shared" si="2"/>
        <v>0</v>
      </c>
      <c r="M108" s="103"/>
      <c r="N108" s="14" t="str">
        <f ca="1">IF(NOZZLES[[#This Row],[ID]] &lt;&gt; "", IF(A108 = "000", A108 &amp; " | None", A108 &amp; " | " &amp; C108 &amp; " | " &amp; D108 &amp; " | " &amp; F108 &amp; "mm"), "")</f>
        <v/>
      </c>
    </row>
    <row r="109" spans="1:14" ht="22.5" customHeight="1">
      <c r="A109" s="111" t="str">
        <f ca="1">IF(NOZZLES[[#This Row],[PRODUCT]] &lt;&gt; "", IF(ROW() = 2, "000", TEXT(INDIRECT("A" &amp; ROW() - 1) + 1, "000")), "")</f>
        <v/>
      </c>
      <c r="B109" s="102"/>
      <c r="C109" s="17"/>
      <c r="D109" s="102"/>
      <c r="E109" s="48"/>
      <c r="F109" s="48"/>
      <c r="G109" s="49"/>
      <c r="H109" s="49"/>
      <c r="I109" s="49"/>
      <c r="J109" s="100">
        <f>I109 * salesTaxPct</f>
        <v>0</v>
      </c>
      <c r="K109" s="49"/>
      <c r="L109" s="100">
        <f t="shared" si="2"/>
        <v>0</v>
      </c>
      <c r="M109" s="103"/>
      <c r="N109" s="14" t="str">
        <f ca="1">IF(NOZZLES[[#This Row],[ID]] &lt;&gt; "", IF(A109 = "000", A109 &amp; " | None", A109 &amp; " | " &amp; C109 &amp; " | " &amp; D109 &amp; " | " &amp; F109 &amp; "mm"), "")</f>
        <v/>
      </c>
    </row>
    <row r="110" spans="1:14" ht="22.5" customHeight="1">
      <c r="A110" s="111" t="str">
        <f ca="1">IF(NOZZLES[[#This Row],[PRODUCT]] &lt;&gt; "", IF(ROW() = 2, "000", TEXT(INDIRECT("A" &amp; ROW() - 1) + 1, "000")), "")</f>
        <v/>
      </c>
      <c r="B110" s="102"/>
      <c r="C110" s="17"/>
      <c r="D110" s="102"/>
      <c r="E110" s="48"/>
      <c r="F110" s="48"/>
      <c r="G110" s="49"/>
      <c r="H110" s="49"/>
      <c r="I110" s="49"/>
      <c r="J110" s="100">
        <f>I110 * salesTaxPct</f>
        <v>0</v>
      </c>
      <c r="K110" s="49"/>
      <c r="L110" s="100">
        <f t="shared" si="2"/>
        <v>0</v>
      </c>
      <c r="M110" s="103"/>
      <c r="N110" s="14" t="str">
        <f ca="1">IF(NOZZLES[[#This Row],[ID]] &lt;&gt; "", IF(A110 = "000", A110 &amp; " | None", A110 &amp; " | " &amp; C110 &amp; " | " &amp; D110 &amp; " | " &amp; F110 &amp; "mm"), "")</f>
        <v/>
      </c>
    </row>
    <row r="111" spans="1:14" ht="22.5" customHeight="1">
      <c r="A111" s="111" t="str">
        <f ca="1">IF(NOZZLES[[#This Row],[PRODUCT]] &lt;&gt; "", IF(ROW() = 2, "000", TEXT(INDIRECT("A" &amp; ROW() - 1) + 1, "000")), "")</f>
        <v/>
      </c>
      <c r="B111" s="102"/>
      <c r="C111" s="17"/>
      <c r="D111" s="102"/>
      <c r="E111" s="48"/>
      <c r="F111" s="48"/>
      <c r="G111" s="49"/>
      <c r="H111" s="49"/>
      <c r="I111" s="49"/>
      <c r="J111" s="100">
        <f>I111 * salesTaxPct</f>
        <v>0</v>
      </c>
      <c r="K111" s="49"/>
      <c r="L111" s="100">
        <f t="shared" si="2"/>
        <v>0</v>
      </c>
      <c r="M111" s="103"/>
      <c r="N111" s="14" t="str">
        <f ca="1">IF(NOZZLES[[#This Row],[ID]] &lt;&gt; "", IF(A111 = "000", A111 &amp; " | None", A111 &amp; " | " &amp; C111 &amp; " | " &amp; D111 &amp; " | " &amp; F111 &amp; "mm"), "")</f>
        <v/>
      </c>
    </row>
    <row r="112" spans="1:14" ht="22.5" customHeight="1">
      <c r="A112" s="111" t="str">
        <f ca="1">IF(NOZZLES[[#This Row],[PRODUCT]] &lt;&gt; "", IF(ROW() = 2, "000", TEXT(INDIRECT("A" &amp; ROW() - 1) + 1, "000")), "")</f>
        <v/>
      </c>
      <c r="B112" s="102"/>
      <c r="C112" s="17"/>
      <c r="D112" s="102"/>
      <c r="E112" s="48"/>
      <c r="F112" s="48"/>
      <c r="G112" s="49"/>
      <c r="H112" s="49"/>
      <c r="I112" s="49"/>
      <c r="J112" s="100">
        <f>I112 * salesTaxPct</f>
        <v>0</v>
      </c>
      <c r="K112" s="49"/>
      <c r="L112" s="100">
        <f t="shared" si="2"/>
        <v>0</v>
      </c>
      <c r="M112" s="103"/>
      <c r="N112" s="14" t="str">
        <f ca="1">IF(NOZZLES[[#This Row],[ID]] &lt;&gt; "", IF(A112 = "000", A112 &amp; " | None", A112 &amp; " | " &amp; C112 &amp; " | " &amp; D112 &amp; " | " &amp; F112 &amp; "mm"), "")</f>
        <v/>
      </c>
    </row>
    <row r="113" spans="1:14" ht="22.5" customHeight="1">
      <c r="A113" s="111" t="str">
        <f ca="1">IF(NOZZLES[[#This Row],[PRODUCT]] &lt;&gt; "", IF(ROW() = 2, "000", TEXT(INDIRECT("A" &amp; ROW() - 1) + 1, "000")), "")</f>
        <v/>
      </c>
      <c r="B113" s="102"/>
      <c r="C113" s="17"/>
      <c r="D113" s="102"/>
      <c r="E113" s="48"/>
      <c r="F113" s="48"/>
      <c r="G113" s="49"/>
      <c r="H113" s="49"/>
      <c r="I113" s="49"/>
      <c r="J113" s="100">
        <f>I113 * salesTaxPct</f>
        <v>0</v>
      </c>
      <c r="K113" s="49"/>
      <c r="L113" s="100">
        <f t="shared" si="2"/>
        <v>0</v>
      </c>
      <c r="M113" s="103"/>
      <c r="N113" s="14" t="str">
        <f ca="1">IF(NOZZLES[[#This Row],[ID]] &lt;&gt; "", IF(A113 = "000", A113 &amp; " | None", A113 &amp; " | " &amp; C113 &amp; " | " &amp; D113 &amp; " | " &amp; F113 &amp; "mm"), "")</f>
        <v/>
      </c>
    </row>
    <row r="114" spans="1:14" ht="22.5" customHeight="1">
      <c r="A114" s="111" t="str">
        <f ca="1">IF(NOZZLES[[#This Row],[PRODUCT]] &lt;&gt; "", IF(ROW() = 2, "000", TEXT(INDIRECT("A" &amp; ROW() - 1) + 1, "000")), "")</f>
        <v/>
      </c>
      <c r="B114" s="102"/>
      <c r="C114" s="17"/>
      <c r="D114" s="102"/>
      <c r="E114" s="48"/>
      <c r="F114" s="48"/>
      <c r="G114" s="49"/>
      <c r="H114" s="49"/>
      <c r="I114" s="49"/>
      <c r="J114" s="100">
        <f>I114 * salesTaxPct</f>
        <v>0</v>
      </c>
      <c r="K114" s="49"/>
      <c r="L114" s="100">
        <f t="shared" si="2"/>
        <v>0</v>
      </c>
      <c r="M114" s="103"/>
      <c r="N114" s="14" t="str">
        <f ca="1">IF(NOZZLES[[#This Row],[ID]] &lt;&gt; "", IF(A114 = "000", A114 &amp; " | None", A114 &amp; " | " &amp; C114 &amp; " | " &amp; D114 &amp; " | " &amp; F114 &amp; "mm"), "")</f>
        <v/>
      </c>
    </row>
    <row r="115" spans="1:14" ht="22.5" customHeight="1">
      <c r="A115" s="111" t="str">
        <f ca="1">IF(NOZZLES[[#This Row],[PRODUCT]] &lt;&gt; "", IF(ROW() = 2, "000", TEXT(INDIRECT("A" &amp; ROW() - 1) + 1, "000")), "")</f>
        <v/>
      </c>
      <c r="B115" s="102"/>
      <c r="C115" s="17"/>
      <c r="D115" s="102"/>
      <c r="E115" s="48"/>
      <c r="F115" s="48"/>
      <c r="G115" s="49"/>
      <c r="H115" s="49"/>
      <c r="I115" s="49"/>
      <c r="J115" s="100">
        <f>I115 * salesTaxPct</f>
        <v>0</v>
      </c>
      <c r="K115" s="49"/>
      <c r="L115" s="100">
        <f t="shared" si="2"/>
        <v>0</v>
      </c>
      <c r="M115" s="103"/>
      <c r="N115" s="14" t="str">
        <f ca="1">IF(NOZZLES[[#This Row],[ID]] &lt;&gt; "", IF(A115 = "000", A115 &amp; " | None", A115 &amp; " | " &amp; C115 &amp; " | " &amp; D115 &amp; " | " &amp; F115 &amp; "mm"), "")</f>
        <v/>
      </c>
    </row>
    <row r="116" spans="1:14" ht="22.5" customHeight="1">
      <c r="A116" s="111" t="str">
        <f ca="1">IF(NOZZLES[[#This Row],[PRODUCT]] &lt;&gt; "", IF(ROW() = 2, "000", TEXT(INDIRECT("A" &amp; ROW() - 1) + 1, "000")), "")</f>
        <v/>
      </c>
      <c r="B116" s="102"/>
      <c r="C116" s="17"/>
      <c r="D116" s="102"/>
      <c r="E116" s="48"/>
      <c r="F116" s="48"/>
      <c r="G116" s="49"/>
      <c r="H116" s="49"/>
      <c r="I116" s="49"/>
      <c r="J116" s="100">
        <f>I116 * salesTaxPct</f>
        <v>0</v>
      </c>
      <c r="K116" s="49"/>
      <c r="L116" s="100">
        <f t="shared" si="2"/>
        <v>0</v>
      </c>
      <c r="M116" s="103"/>
      <c r="N116" s="14" t="str">
        <f ca="1">IF(NOZZLES[[#This Row],[ID]] &lt;&gt; "", IF(A116 = "000", A116 &amp; " | None", A116 &amp; " | " &amp; C116 &amp; " | " &amp; D116 &amp; " | " &amp; F116 &amp; "mm"), "")</f>
        <v/>
      </c>
    </row>
    <row r="117" spans="1:14" ht="22.5" customHeight="1">
      <c r="A117" s="111" t="str">
        <f ca="1">IF(NOZZLES[[#This Row],[PRODUCT]] &lt;&gt; "", IF(ROW() = 2, "000", TEXT(INDIRECT("A" &amp; ROW() - 1) + 1, "000")), "")</f>
        <v/>
      </c>
      <c r="B117" s="102"/>
      <c r="C117" s="17"/>
      <c r="D117" s="102"/>
      <c r="E117" s="48"/>
      <c r="F117" s="48"/>
      <c r="G117" s="49"/>
      <c r="H117" s="49"/>
      <c r="I117" s="49"/>
      <c r="J117" s="100">
        <f>I117 * salesTaxPct</f>
        <v>0</v>
      </c>
      <c r="K117" s="49"/>
      <c r="L117" s="100">
        <f t="shared" si="2"/>
        <v>0</v>
      </c>
      <c r="M117" s="103"/>
      <c r="N117" s="14" t="str">
        <f ca="1">IF(NOZZLES[[#This Row],[ID]] &lt;&gt; "", IF(A117 = "000", A117 &amp; " | None", A117 &amp; " | " &amp; C117 &amp; " | " &amp; D117 &amp; " | " &amp; F117 &amp; "mm"), "")</f>
        <v/>
      </c>
    </row>
    <row r="118" spans="1:14" ht="22.5" customHeight="1">
      <c r="A118" s="111" t="str">
        <f ca="1">IF(NOZZLES[[#This Row],[PRODUCT]] &lt;&gt; "", IF(ROW() = 2, "000", TEXT(INDIRECT("A" &amp; ROW() - 1) + 1, "000")), "")</f>
        <v/>
      </c>
      <c r="B118" s="102"/>
      <c r="C118" s="17"/>
      <c r="D118" s="102"/>
      <c r="E118" s="48"/>
      <c r="F118" s="48"/>
      <c r="G118" s="49"/>
      <c r="H118" s="49"/>
      <c r="I118" s="49"/>
      <c r="J118" s="100">
        <f>I118 * salesTaxPct</f>
        <v>0</v>
      </c>
      <c r="K118" s="49"/>
      <c r="L118" s="100">
        <f t="shared" si="2"/>
        <v>0</v>
      </c>
      <c r="M118" s="103"/>
      <c r="N118" s="14" t="str">
        <f ca="1">IF(NOZZLES[[#This Row],[ID]] &lt;&gt; "", IF(A118 = "000", A118 &amp; " | None", A118 &amp; " | " &amp; C118 &amp; " | " &amp; D118 &amp; " | " &amp; F118 &amp; "mm"), "")</f>
        <v/>
      </c>
    </row>
    <row r="119" spans="1:14" ht="22.5" customHeight="1">
      <c r="A119" s="111" t="str">
        <f ca="1">IF(NOZZLES[[#This Row],[PRODUCT]] &lt;&gt; "", IF(ROW() = 2, "000", TEXT(INDIRECT("A" &amp; ROW() - 1) + 1, "000")), "")</f>
        <v/>
      </c>
      <c r="B119" s="102"/>
      <c r="C119" s="17"/>
      <c r="D119" s="102"/>
      <c r="E119" s="48"/>
      <c r="F119" s="48"/>
      <c r="G119" s="49"/>
      <c r="H119" s="49"/>
      <c r="I119" s="49"/>
      <c r="J119" s="100">
        <f>I119 * salesTaxPct</f>
        <v>0</v>
      </c>
      <c r="K119" s="49"/>
      <c r="L119" s="100">
        <f t="shared" si="2"/>
        <v>0</v>
      </c>
      <c r="M119" s="103"/>
      <c r="N119" s="14" t="str">
        <f ca="1">IF(NOZZLES[[#This Row],[ID]] &lt;&gt; "", IF(A119 = "000", A119 &amp; " | None", A119 &amp; " | " &amp; C119 &amp; " | " &amp; D119 &amp; " | " &amp; F119 &amp; "mm"), "")</f>
        <v/>
      </c>
    </row>
    <row r="120" spans="1:14" ht="22.5" customHeight="1">
      <c r="A120" s="111" t="str">
        <f ca="1">IF(NOZZLES[[#This Row],[PRODUCT]] &lt;&gt; "", IF(ROW() = 2, "000", TEXT(INDIRECT("A" &amp; ROW() - 1) + 1, "000")), "")</f>
        <v/>
      </c>
      <c r="B120" s="102"/>
      <c r="C120" s="17"/>
      <c r="D120" s="102"/>
      <c r="E120" s="48"/>
      <c r="F120" s="48"/>
      <c r="G120" s="49"/>
      <c r="H120" s="49"/>
      <c r="I120" s="49"/>
      <c r="J120" s="100">
        <f>I120 * salesTaxPct</f>
        <v>0</v>
      </c>
      <c r="K120" s="49"/>
      <c r="L120" s="100">
        <f t="shared" si="2"/>
        <v>0</v>
      </c>
      <c r="M120" s="103"/>
      <c r="N120" s="14" t="str">
        <f ca="1">IF(NOZZLES[[#This Row],[ID]] &lt;&gt; "", IF(A120 = "000", A120 &amp; " | None", A120 &amp; " | " &amp; C120 &amp; " | " &amp; D120 &amp; " | " &amp; F120 &amp; "mm"), "")</f>
        <v/>
      </c>
    </row>
    <row r="121" spans="1:14" ht="22.5" customHeight="1">
      <c r="A121" s="111" t="str">
        <f ca="1">IF(NOZZLES[[#This Row],[PRODUCT]] &lt;&gt; "", IF(ROW() = 2, "000", TEXT(INDIRECT("A" &amp; ROW() - 1) + 1, "000")), "")</f>
        <v/>
      </c>
      <c r="B121" s="102"/>
      <c r="C121" s="17"/>
      <c r="D121" s="102"/>
      <c r="E121" s="48"/>
      <c r="F121" s="48"/>
      <c r="G121" s="49"/>
      <c r="H121" s="49"/>
      <c r="I121" s="49"/>
      <c r="J121" s="100">
        <f>I121 * salesTaxPct</f>
        <v>0</v>
      </c>
      <c r="K121" s="49"/>
      <c r="L121" s="100">
        <f t="shared" si="2"/>
        <v>0</v>
      </c>
      <c r="M121" s="103"/>
      <c r="N121" s="14" t="str">
        <f ca="1">IF(NOZZLES[[#This Row],[ID]] &lt;&gt; "", IF(A121 = "000", A121 &amp; " | None", A121 &amp; " | " &amp; C121 &amp; " | " &amp; D121 &amp; " | " &amp; F121 &amp; "mm"), "")</f>
        <v/>
      </c>
    </row>
    <row r="122" spans="1:14" ht="22.5" customHeight="1">
      <c r="A122" s="111" t="str">
        <f ca="1">IF(NOZZLES[[#This Row],[PRODUCT]] &lt;&gt; "", IF(ROW() = 2, "000", TEXT(INDIRECT("A" &amp; ROW() - 1) + 1, "000")), "")</f>
        <v/>
      </c>
      <c r="B122" s="102"/>
      <c r="C122" s="17"/>
      <c r="D122" s="102"/>
      <c r="E122" s="48"/>
      <c r="F122" s="48"/>
      <c r="G122" s="49"/>
      <c r="H122" s="49"/>
      <c r="I122" s="49"/>
      <c r="J122" s="100">
        <f>I122 * salesTaxPct</f>
        <v>0</v>
      </c>
      <c r="K122" s="49"/>
      <c r="L122" s="100">
        <f t="shared" si="2"/>
        <v>0</v>
      </c>
      <c r="M122" s="103"/>
      <c r="N122" s="14" t="str">
        <f ca="1">IF(NOZZLES[[#This Row],[ID]] &lt;&gt; "", IF(A122 = "000", A122 &amp; " | None", A122 &amp; " | " &amp; C122 &amp; " | " &amp; D122 &amp; " | " &amp; F122 &amp; "mm"), "")</f>
        <v/>
      </c>
    </row>
    <row r="123" spans="1:14" ht="22.5" customHeight="1">
      <c r="A123" s="111" t="str">
        <f ca="1">IF(NOZZLES[[#This Row],[PRODUCT]] &lt;&gt; "", IF(ROW() = 2, "000", TEXT(INDIRECT("A" &amp; ROW() - 1) + 1, "000")), "")</f>
        <v/>
      </c>
      <c r="B123" s="102"/>
      <c r="C123" s="17"/>
      <c r="D123" s="102"/>
      <c r="E123" s="48"/>
      <c r="F123" s="48"/>
      <c r="G123" s="49"/>
      <c r="H123" s="49"/>
      <c r="I123" s="49"/>
      <c r="J123" s="100">
        <f>I123 * salesTaxPct</f>
        <v>0</v>
      </c>
      <c r="K123" s="49"/>
      <c r="L123" s="100">
        <f t="shared" si="2"/>
        <v>0</v>
      </c>
      <c r="M123" s="103"/>
      <c r="N123" s="14" t="str">
        <f ca="1">IF(NOZZLES[[#This Row],[ID]] &lt;&gt; "", IF(A123 = "000", A123 &amp; " | None", A123 &amp; " | " &amp; C123 &amp; " | " &amp; D123 &amp; " | " &amp; F123 &amp; "mm"), "")</f>
        <v/>
      </c>
    </row>
    <row r="124" spans="1:14" ht="22.5" customHeight="1">
      <c r="A124" s="111" t="str">
        <f ca="1">IF(NOZZLES[[#This Row],[PRODUCT]] &lt;&gt; "", IF(ROW() = 2, "000", TEXT(INDIRECT("A" &amp; ROW() - 1) + 1, "000")), "")</f>
        <v/>
      </c>
      <c r="B124" s="102"/>
      <c r="C124" s="17"/>
      <c r="D124" s="102"/>
      <c r="E124" s="48"/>
      <c r="F124" s="48"/>
      <c r="G124" s="49"/>
      <c r="H124" s="49"/>
      <c r="I124" s="49"/>
      <c r="J124" s="100">
        <f>I124 * salesTaxPct</f>
        <v>0</v>
      </c>
      <c r="K124" s="49"/>
      <c r="L124" s="100">
        <f t="shared" si="2"/>
        <v>0</v>
      </c>
      <c r="M124" s="103"/>
      <c r="N124" s="14" t="str">
        <f ca="1">IF(NOZZLES[[#This Row],[ID]] &lt;&gt; "", IF(A124 = "000", A124 &amp; " | None", A124 &amp; " | " &amp; C124 &amp; " | " &amp; D124 &amp; " | " &amp; F124 &amp; "mm"), "")</f>
        <v/>
      </c>
    </row>
    <row r="125" spans="1:14" ht="22.5" customHeight="1">
      <c r="A125" s="111" t="str">
        <f ca="1">IF(NOZZLES[[#This Row],[PRODUCT]] &lt;&gt; "", IF(ROW() = 2, "000", TEXT(INDIRECT("A" &amp; ROW() - 1) + 1, "000")), "")</f>
        <v/>
      </c>
      <c r="B125" s="102"/>
      <c r="C125" s="17"/>
      <c r="D125" s="102"/>
      <c r="E125" s="48"/>
      <c r="F125" s="48"/>
      <c r="G125" s="49"/>
      <c r="H125" s="49"/>
      <c r="I125" s="49"/>
      <c r="J125" s="100">
        <f>I125 * salesTaxPct</f>
        <v>0</v>
      </c>
      <c r="K125" s="49"/>
      <c r="L125" s="100">
        <f t="shared" si="2"/>
        <v>0</v>
      </c>
      <c r="M125" s="103"/>
      <c r="N125" s="14" t="str">
        <f ca="1">IF(NOZZLES[[#This Row],[ID]] &lt;&gt; "", IF(A125 = "000", A125 &amp; " | None", A125 &amp; " | " &amp; C125 &amp; " | " &amp; D125 &amp; " | " &amp; F125 &amp; "mm"), "")</f>
        <v/>
      </c>
    </row>
    <row r="126" spans="1:14" ht="22.5" customHeight="1">
      <c r="A126" s="111" t="str">
        <f ca="1">IF(NOZZLES[[#This Row],[PRODUCT]] &lt;&gt; "", IF(ROW() = 2, "000", TEXT(INDIRECT("A" &amp; ROW() - 1) + 1, "000")), "")</f>
        <v/>
      </c>
      <c r="B126" s="102"/>
      <c r="C126" s="17"/>
      <c r="D126" s="102"/>
      <c r="E126" s="48"/>
      <c r="F126" s="48"/>
      <c r="G126" s="49"/>
      <c r="H126" s="49"/>
      <c r="I126" s="49"/>
      <c r="J126" s="100">
        <f>I126 * salesTaxPct</f>
        <v>0</v>
      </c>
      <c r="K126" s="49"/>
      <c r="L126" s="100">
        <f t="shared" si="2"/>
        <v>0</v>
      </c>
      <c r="M126" s="103"/>
      <c r="N126" s="14" t="str">
        <f ca="1">IF(NOZZLES[[#This Row],[ID]] &lt;&gt; "", IF(A126 = "000", A126 &amp; " | None", A126 &amp; " | " &amp; C126 &amp; " | " &amp; D126 &amp; " | " &amp; F126 &amp; "mm"), "")</f>
        <v/>
      </c>
    </row>
    <row r="127" spans="1:14" ht="22.5" customHeight="1">
      <c r="A127" s="111" t="str">
        <f ca="1">IF(NOZZLES[[#This Row],[PRODUCT]] &lt;&gt; "", IF(ROW() = 2, "000", TEXT(INDIRECT("A" &amp; ROW() - 1) + 1, "000")), "")</f>
        <v/>
      </c>
      <c r="B127" s="102"/>
      <c r="C127" s="17"/>
      <c r="D127" s="102"/>
      <c r="E127" s="48"/>
      <c r="F127" s="48"/>
      <c r="G127" s="49"/>
      <c r="H127" s="49"/>
      <c r="I127" s="49"/>
      <c r="J127" s="100">
        <f>I127 * salesTaxPct</f>
        <v>0</v>
      </c>
      <c r="K127" s="49"/>
      <c r="L127" s="100">
        <f t="shared" si="2"/>
        <v>0</v>
      </c>
      <c r="M127" s="103"/>
      <c r="N127" s="14" t="str">
        <f ca="1">IF(NOZZLES[[#This Row],[ID]] &lt;&gt; "", IF(A127 = "000", A127 &amp; " | None", A127 &amp; " | " &amp; C127 &amp; " | " &amp; D127 &amp; " | " &amp; F127 &amp; "mm"), "")</f>
        <v/>
      </c>
    </row>
    <row r="128" spans="1:14" ht="22.5" customHeight="1">
      <c r="A128" s="111" t="str">
        <f ca="1">IF(NOZZLES[[#This Row],[PRODUCT]] &lt;&gt; "", IF(ROW() = 2, "000", TEXT(INDIRECT("A" &amp; ROW() - 1) + 1, "000")), "")</f>
        <v/>
      </c>
      <c r="B128" s="102"/>
      <c r="C128" s="17"/>
      <c r="D128" s="102"/>
      <c r="E128" s="48"/>
      <c r="F128" s="48"/>
      <c r="G128" s="49"/>
      <c r="H128" s="49"/>
      <c r="I128" s="49"/>
      <c r="J128" s="100">
        <f>I128 * salesTaxPct</f>
        <v>0</v>
      </c>
      <c r="K128" s="49"/>
      <c r="L128" s="100">
        <f t="shared" si="2"/>
        <v>0</v>
      </c>
      <c r="M128" s="103"/>
      <c r="N128" s="14" t="str">
        <f ca="1">IF(NOZZLES[[#This Row],[ID]] &lt;&gt; "", IF(A128 = "000", A128 &amp; " | None", A128 &amp; " | " &amp; C128 &amp; " | " &amp; D128 &amp; " | " &amp; F128 &amp; "mm"), "")</f>
        <v/>
      </c>
    </row>
    <row r="129" spans="1:14" ht="22.5" customHeight="1">
      <c r="A129" s="111" t="str">
        <f ca="1">IF(NOZZLES[[#This Row],[PRODUCT]] &lt;&gt; "", IF(ROW() = 2, "000", TEXT(INDIRECT("A" &amp; ROW() - 1) + 1, "000")), "")</f>
        <v/>
      </c>
      <c r="B129" s="102"/>
      <c r="C129" s="17"/>
      <c r="D129" s="102"/>
      <c r="E129" s="48"/>
      <c r="F129" s="48"/>
      <c r="G129" s="49"/>
      <c r="H129" s="49"/>
      <c r="I129" s="49"/>
      <c r="J129" s="100">
        <f>I129 * salesTaxPct</f>
        <v>0</v>
      </c>
      <c r="K129" s="49"/>
      <c r="L129" s="100">
        <f t="shared" si="2"/>
        <v>0</v>
      </c>
      <c r="M129" s="103"/>
      <c r="N129" s="14" t="str">
        <f ca="1">IF(NOZZLES[[#This Row],[ID]] &lt;&gt; "", IF(A129 = "000", A129 &amp; " | None", A129 &amp; " | " &amp; C129 &amp; " | " &amp; D129 &amp; " | " &amp; F129 &amp; "mm"), "")</f>
        <v/>
      </c>
    </row>
    <row r="130" spans="1:14" ht="22.5" customHeight="1">
      <c r="A130" s="111" t="str">
        <f ca="1">IF(NOZZLES[[#This Row],[PRODUCT]] &lt;&gt; "", IF(ROW() = 2, "000", TEXT(INDIRECT("A" &amp; ROW() - 1) + 1, "000")), "")</f>
        <v/>
      </c>
      <c r="B130" s="102"/>
      <c r="C130" s="17"/>
      <c r="D130" s="102"/>
      <c r="E130" s="48"/>
      <c r="F130" s="48"/>
      <c r="G130" s="49"/>
      <c r="H130" s="49"/>
      <c r="I130" s="49"/>
      <c r="J130" s="100">
        <f>I130 * salesTaxPct</f>
        <v>0</v>
      </c>
      <c r="K130" s="49"/>
      <c r="L130" s="100">
        <f t="shared" ref="L130:L193" si="3">I130 + J130 + K130</f>
        <v>0</v>
      </c>
      <c r="M130" s="103"/>
      <c r="N130" s="14" t="str">
        <f ca="1">IF(NOZZLES[[#This Row],[ID]] &lt;&gt; "", IF(A130 = "000", A130 &amp; " | None", A130 &amp; " | " &amp; C130 &amp; " | " &amp; D130 &amp; " | " &amp; F130 &amp; "mm"), "")</f>
        <v/>
      </c>
    </row>
    <row r="131" spans="1:14" ht="22.5" customHeight="1">
      <c r="A131" s="111" t="str">
        <f ca="1">IF(NOZZLES[[#This Row],[PRODUCT]] &lt;&gt; "", IF(ROW() = 2, "000", TEXT(INDIRECT("A" &amp; ROW() - 1) + 1, "000")), "")</f>
        <v/>
      </c>
      <c r="B131" s="102"/>
      <c r="C131" s="17"/>
      <c r="D131" s="102"/>
      <c r="E131" s="48"/>
      <c r="F131" s="48"/>
      <c r="G131" s="49"/>
      <c r="H131" s="49"/>
      <c r="I131" s="49"/>
      <c r="J131" s="100">
        <f>I131 * salesTaxPct</f>
        <v>0</v>
      </c>
      <c r="K131" s="49"/>
      <c r="L131" s="100">
        <f t="shared" si="3"/>
        <v>0</v>
      </c>
      <c r="M131" s="103"/>
      <c r="N131" s="14" t="str">
        <f ca="1">IF(NOZZLES[[#This Row],[ID]] &lt;&gt; "", IF(A131 = "000", A131 &amp; " | None", A131 &amp; " | " &amp; C131 &amp; " | " &amp; D131 &amp; " | " &amp; F131 &amp; "mm"), "")</f>
        <v/>
      </c>
    </row>
    <row r="132" spans="1:14" ht="22.5" customHeight="1">
      <c r="A132" s="111" t="str">
        <f ca="1">IF(NOZZLES[[#This Row],[PRODUCT]] &lt;&gt; "", IF(ROW() = 2, "000", TEXT(INDIRECT("A" &amp; ROW() - 1) + 1, "000")), "")</f>
        <v/>
      </c>
      <c r="B132" s="102"/>
      <c r="C132" s="17"/>
      <c r="D132" s="102"/>
      <c r="E132" s="48"/>
      <c r="F132" s="48"/>
      <c r="G132" s="49"/>
      <c r="H132" s="49"/>
      <c r="I132" s="49"/>
      <c r="J132" s="100">
        <f>I132 * salesTaxPct</f>
        <v>0</v>
      </c>
      <c r="K132" s="49"/>
      <c r="L132" s="100">
        <f t="shared" si="3"/>
        <v>0</v>
      </c>
      <c r="M132" s="103"/>
      <c r="N132" s="14" t="str">
        <f ca="1">IF(NOZZLES[[#This Row],[ID]] &lt;&gt; "", IF(A132 = "000", A132 &amp; " | None", A132 &amp; " | " &amp; C132 &amp; " | " &amp; D132 &amp; " | " &amp; F132 &amp; "mm"), "")</f>
        <v/>
      </c>
    </row>
    <row r="133" spans="1:14" ht="22.5" customHeight="1">
      <c r="A133" s="111" t="str">
        <f ca="1">IF(NOZZLES[[#This Row],[PRODUCT]] &lt;&gt; "", IF(ROW() = 2, "000", TEXT(INDIRECT("A" &amp; ROW() - 1) + 1, "000")), "")</f>
        <v/>
      </c>
      <c r="B133" s="102"/>
      <c r="C133" s="17"/>
      <c r="D133" s="102"/>
      <c r="E133" s="48"/>
      <c r="F133" s="48"/>
      <c r="G133" s="49"/>
      <c r="H133" s="49"/>
      <c r="I133" s="49"/>
      <c r="J133" s="100">
        <f>I133 * salesTaxPct</f>
        <v>0</v>
      </c>
      <c r="K133" s="49"/>
      <c r="L133" s="100">
        <f t="shared" si="3"/>
        <v>0</v>
      </c>
      <c r="M133" s="103"/>
      <c r="N133" s="14" t="str">
        <f ca="1">IF(NOZZLES[[#This Row],[ID]] &lt;&gt; "", IF(A133 = "000", A133 &amp; " | None", A133 &amp; " | " &amp; C133 &amp; " | " &amp; D133 &amp; " | " &amp; F133 &amp; "mm"), "")</f>
        <v/>
      </c>
    </row>
    <row r="134" spans="1:14" ht="22.5" customHeight="1">
      <c r="A134" s="111" t="str">
        <f ca="1">IF(NOZZLES[[#This Row],[PRODUCT]] &lt;&gt; "", IF(ROW() = 2, "000", TEXT(INDIRECT("A" &amp; ROW() - 1) + 1, "000")), "")</f>
        <v/>
      </c>
      <c r="B134" s="102"/>
      <c r="C134" s="17"/>
      <c r="D134" s="102"/>
      <c r="E134" s="48"/>
      <c r="F134" s="48"/>
      <c r="G134" s="49"/>
      <c r="H134" s="49"/>
      <c r="I134" s="49"/>
      <c r="J134" s="100">
        <f>I134 * salesTaxPct</f>
        <v>0</v>
      </c>
      <c r="K134" s="49"/>
      <c r="L134" s="100">
        <f t="shared" si="3"/>
        <v>0</v>
      </c>
      <c r="M134" s="103"/>
      <c r="N134" s="14" t="str">
        <f ca="1">IF(NOZZLES[[#This Row],[ID]] &lt;&gt; "", IF(A134 = "000", A134 &amp; " | None", A134 &amp; " | " &amp; C134 &amp; " | " &amp; D134 &amp; " | " &amp; F134 &amp; "mm"), "")</f>
        <v/>
      </c>
    </row>
    <row r="135" spans="1:14" ht="22.5" customHeight="1">
      <c r="A135" s="111" t="str">
        <f ca="1">IF(NOZZLES[[#This Row],[PRODUCT]] &lt;&gt; "", IF(ROW() = 2, "000", TEXT(INDIRECT("A" &amp; ROW() - 1) + 1, "000")), "")</f>
        <v/>
      </c>
      <c r="B135" s="102"/>
      <c r="C135" s="17"/>
      <c r="D135" s="102"/>
      <c r="E135" s="48"/>
      <c r="F135" s="48"/>
      <c r="G135" s="49"/>
      <c r="H135" s="49"/>
      <c r="I135" s="49"/>
      <c r="J135" s="100">
        <f>I135 * salesTaxPct</f>
        <v>0</v>
      </c>
      <c r="K135" s="49"/>
      <c r="L135" s="100">
        <f t="shared" si="3"/>
        <v>0</v>
      </c>
      <c r="M135" s="103"/>
      <c r="N135" s="14" t="str">
        <f ca="1">IF(NOZZLES[[#This Row],[ID]] &lt;&gt; "", IF(A135 = "000", A135 &amp; " | None", A135 &amp; " | " &amp; C135 &amp; " | " &amp; D135 &amp; " | " &amp; F135 &amp; "mm"), "")</f>
        <v/>
      </c>
    </row>
    <row r="136" spans="1:14" ht="22.5" customHeight="1">
      <c r="A136" s="111" t="str">
        <f ca="1">IF(NOZZLES[[#This Row],[PRODUCT]] &lt;&gt; "", IF(ROW() = 2, "000", TEXT(INDIRECT("A" &amp; ROW() - 1) + 1, "000")), "")</f>
        <v/>
      </c>
      <c r="B136" s="102"/>
      <c r="C136" s="17"/>
      <c r="D136" s="102"/>
      <c r="E136" s="48"/>
      <c r="F136" s="48"/>
      <c r="G136" s="49"/>
      <c r="H136" s="49"/>
      <c r="I136" s="49"/>
      <c r="J136" s="100">
        <f>I136 * salesTaxPct</f>
        <v>0</v>
      </c>
      <c r="K136" s="49"/>
      <c r="L136" s="100">
        <f t="shared" si="3"/>
        <v>0</v>
      </c>
      <c r="M136" s="103"/>
      <c r="N136" s="14" t="str">
        <f ca="1">IF(NOZZLES[[#This Row],[ID]] &lt;&gt; "", IF(A136 = "000", A136 &amp; " | None", A136 &amp; " | " &amp; C136 &amp; " | " &amp; D136 &amp; " | " &amp; F136 &amp; "mm"), "")</f>
        <v/>
      </c>
    </row>
    <row r="137" spans="1:14" ht="22.5" customHeight="1">
      <c r="A137" s="111" t="str">
        <f ca="1">IF(NOZZLES[[#This Row],[PRODUCT]] &lt;&gt; "", IF(ROW() = 2, "000", TEXT(INDIRECT("A" &amp; ROW() - 1) + 1, "000")), "")</f>
        <v/>
      </c>
      <c r="B137" s="102"/>
      <c r="C137" s="17"/>
      <c r="D137" s="102"/>
      <c r="E137" s="48"/>
      <c r="F137" s="48"/>
      <c r="G137" s="49"/>
      <c r="H137" s="49"/>
      <c r="I137" s="49"/>
      <c r="J137" s="100">
        <f>I137 * salesTaxPct</f>
        <v>0</v>
      </c>
      <c r="K137" s="49"/>
      <c r="L137" s="100">
        <f t="shared" si="3"/>
        <v>0</v>
      </c>
      <c r="M137" s="103"/>
      <c r="N137" s="14" t="str">
        <f ca="1">IF(NOZZLES[[#This Row],[ID]] &lt;&gt; "", IF(A137 = "000", A137 &amp; " | None", A137 &amp; " | " &amp; C137 &amp; " | " &amp; D137 &amp; " | " &amp; F137 &amp; "mm"), "")</f>
        <v/>
      </c>
    </row>
    <row r="138" spans="1:14" ht="22.5" customHeight="1">
      <c r="A138" s="111" t="str">
        <f ca="1">IF(NOZZLES[[#This Row],[PRODUCT]] &lt;&gt; "", IF(ROW() = 2, "000", TEXT(INDIRECT("A" &amp; ROW() - 1) + 1, "000")), "")</f>
        <v/>
      </c>
      <c r="B138" s="102"/>
      <c r="C138" s="17"/>
      <c r="D138" s="102"/>
      <c r="E138" s="48"/>
      <c r="F138" s="48"/>
      <c r="G138" s="49"/>
      <c r="H138" s="49"/>
      <c r="I138" s="49"/>
      <c r="J138" s="100">
        <f>I138 * salesTaxPct</f>
        <v>0</v>
      </c>
      <c r="K138" s="49"/>
      <c r="L138" s="100">
        <f t="shared" si="3"/>
        <v>0</v>
      </c>
      <c r="M138" s="103"/>
      <c r="N138" s="14" t="str">
        <f ca="1">IF(NOZZLES[[#This Row],[ID]] &lt;&gt; "", IF(A138 = "000", A138 &amp; " | None", A138 &amp; " | " &amp; C138 &amp; " | " &amp; D138 &amp; " | " &amp; F138 &amp; "mm"), "")</f>
        <v/>
      </c>
    </row>
    <row r="139" spans="1:14" ht="22.5" customHeight="1">
      <c r="A139" s="111" t="str">
        <f ca="1">IF(NOZZLES[[#This Row],[PRODUCT]] &lt;&gt; "", IF(ROW() = 2, "000", TEXT(INDIRECT("A" &amp; ROW() - 1) + 1, "000")), "")</f>
        <v/>
      </c>
      <c r="B139" s="102"/>
      <c r="C139" s="17"/>
      <c r="D139" s="102"/>
      <c r="E139" s="48"/>
      <c r="F139" s="48"/>
      <c r="G139" s="49"/>
      <c r="H139" s="49"/>
      <c r="I139" s="49"/>
      <c r="J139" s="100">
        <f>I139 * salesTaxPct</f>
        <v>0</v>
      </c>
      <c r="K139" s="49"/>
      <c r="L139" s="100">
        <f t="shared" si="3"/>
        <v>0</v>
      </c>
      <c r="M139" s="103"/>
      <c r="N139" s="14" t="str">
        <f ca="1">IF(NOZZLES[[#This Row],[ID]] &lt;&gt; "", IF(A139 = "000", A139 &amp; " | None", A139 &amp; " | " &amp; C139 &amp; " | " &amp; D139 &amp; " | " &amp; F139 &amp; "mm"), "")</f>
        <v/>
      </c>
    </row>
    <row r="140" spans="1:14" ht="22.5" customHeight="1">
      <c r="A140" s="111" t="str">
        <f ca="1">IF(NOZZLES[[#This Row],[PRODUCT]] &lt;&gt; "", IF(ROW() = 2, "000", TEXT(INDIRECT("A" &amp; ROW() - 1) + 1, "000")), "")</f>
        <v/>
      </c>
      <c r="B140" s="102"/>
      <c r="C140" s="17"/>
      <c r="D140" s="102"/>
      <c r="E140" s="48"/>
      <c r="F140" s="48"/>
      <c r="G140" s="49"/>
      <c r="H140" s="49"/>
      <c r="I140" s="49"/>
      <c r="J140" s="100">
        <f>I140 * salesTaxPct</f>
        <v>0</v>
      </c>
      <c r="K140" s="49"/>
      <c r="L140" s="100">
        <f t="shared" si="3"/>
        <v>0</v>
      </c>
      <c r="M140" s="103"/>
      <c r="N140" s="14" t="str">
        <f ca="1">IF(NOZZLES[[#This Row],[ID]] &lt;&gt; "", IF(A140 = "000", A140 &amp; " | None", A140 &amp; " | " &amp; C140 &amp; " | " &amp; D140 &amp; " | " &amp; F140 &amp; "mm"), "")</f>
        <v/>
      </c>
    </row>
    <row r="141" spans="1:14" ht="22.5" customHeight="1">
      <c r="A141" s="111" t="str">
        <f ca="1">IF(NOZZLES[[#This Row],[PRODUCT]] &lt;&gt; "", IF(ROW() = 2, "000", TEXT(INDIRECT("A" &amp; ROW() - 1) + 1, "000")), "")</f>
        <v/>
      </c>
      <c r="B141" s="102"/>
      <c r="C141" s="17"/>
      <c r="D141" s="102"/>
      <c r="E141" s="48"/>
      <c r="F141" s="48"/>
      <c r="G141" s="49"/>
      <c r="H141" s="49"/>
      <c r="I141" s="49"/>
      <c r="J141" s="100">
        <f>I141 * salesTaxPct</f>
        <v>0</v>
      </c>
      <c r="K141" s="49"/>
      <c r="L141" s="100">
        <f t="shared" si="3"/>
        <v>0</v>
      </c>
      <c r="M141" s="103"/>
      <c r="N141" s="14" t="str">
        <f ca="1">IF(NOZZLES[[#This Row],[ID]] &lt;&gt; "", IF(A141 = "000", A141 &amp; " | None", A141 &amp; " | " &amp; C141 &amp; " | " &amp; D141 &amp; " | " &amp; F141 &amp; "mm"), "")</f>
        <v/>
      </c>
    </row>
    <row r="142" spans="1:14" ht="22.5" customHeight="1">
      <c r="A142" s="111" t="str">
        <f ca="1">IF(NOZZLES[[#This Row],[PRODUCT]] &lt;&gt; "", IF(ROW() = 2, "000", TEXT(INDIRECT("A" &amp; ROW() - 1) + 1, "000")), "")</f>
        <v/>
      </c>
      <c r="B142" s="102"/>
      <c r="C142" s="17"/>
      <c r="D142" s="102"/>
      <c r="E142" s="48"/>
      <c r="F142" s="48"/>
      <c r="G142" s="49"/>
      <c r="H142" s="49"/>
      <c r="I142" s="49"/>
      <c r="J142" s="100">
        <f>I142 * salesTaxPct</f>
        <v>0</v>
      </c>
      <c r="K142" s="49"/>
      <c r="L142" s="100">
        <f t="shared" si="3"/>
        <v>0</v>
      </c>
      <c r="M142" s="103"/>
      <c r="N142" s="14" t="str">
        <f ca="1">IF(NOZZLES[[#This Row],[ID]] &lt;&gt; "", IF(A142 = "000", A142 &amp; " | None", A142 &amp; " | " &amp; C142 &amp; " | " &amp; D142 &amp; " | " &amp; F142 &amp; "mm"), "")</f>
        <v/>
      </c>
    </row>
    <row r="143" spans="1:14" ht="22.5" customHeight="1">
      <c r="A143" s="111" t="str">
        <f ca="1">IF(NOZZLES[[#This Row],[PRODUCT]] &lt;&gt; "", IF(ROW() = 2, "000", TEXT(INDIRECT("A" &amp; ROW() - 1) + 1, "000")), "")</f>
        <v/>
      </c>
      <c r="B143" s="102"/>
      <c r="C143" s="17"/>
      <c r="D143" s="102"/>
      <c r="E143" s="48"/>
      <c r="F143" s="48"/>
      <c r="G143" s="49"/>
      <c r="H143" s="49"/>
      <c r="I143" s="49"/>
      <c r="J143" s="100">
        <f>I143 * salesTaxPct</f>
        <v>0</v>
      </c>
      <c r="K143" s="49"/>
      <c r="L143" s="100">
        <f t="shared" si="3"/>
        <v>0</v>
      </c>
      <c r="M143" s="103"/>
      <c r="N143" s="14" t="str">
        <f ca="1">IF(NOZZLES[[#This Row],[ID]] &lt;&gt; "", IF(A143 = "000", A143 &amp; " | None", A143 &amp; " | " &amp; C143 &amp; " | " &amp; D143 &amp; " | " &amp; F143 &amp; "mm"), "")</f>
        <v/>
      </c>
    </row>
    <row r="144" spans="1:14" ht="22.5" customHeight="1">
      <c r="A144" s="111" t="str">
        <f ca="1">IF(NOZZLES[[#This Row],[PRODUCT]] &lt;&gt; "", IF(ROW() = 2, "000", TEXT(INDIRECT("A" &amp; ROW() - 1) + 1, "000")), "")</f>
        <v/>
      </c>
      <c r="B144" s="102"/>
      <c r="C144" s="17"/>
      <c r="D144" s="102"/>
      <c r="E144" s="48"/>
      <c r="F144" s="48"/>
      <c r="G144" s="49"/>
      <c r="H144" s="49"/>
      <c r="I144" s="49"/>
      <c r="J144" s="100">
        <f>I144 * salesTaxPct</f>
        <v>0</v>
      </c>
      <c r="K144" s="49"/>
      <c r="L144" s="100">
        <f t="shared" si="3"/>
        <v>0</v>
      </c>
      <c r="M144" s="103"/>
      <c r="N144" s="14" t="str">
        <f ca="1">IF(NOZZLES[[#This Row],[ID]] &lt;&gt; "", IF(A144 = "000", A144 &amp; " | None", A144 &amp; " | " &amp; C144 &amp; " | " &amp; D144 &amp; " | " &amp; F144 &amp; "mm"), "")</f>
        <v/>
      </c>
    </row>
    <row r="145" spans="1:14" ht="22.5" customHeight="1">
      <c r="A145" s="111" t="str">
        <f ca="1">IF(NOZZLES[[#This Row],[PRODUCT]] &lt;&gt; "", IF(ROW() = 2, "000", TEXT(INDIRECT("A" &amp; ROW() - 1) + 1, "000")), "")</f>
        <v/>
      </c>
      <c r="B145" s="102"/>
      <c r="C145" s="17"/>
      <c r="D145" s="102"/>
      <c r="E145" s="48"/>
      <c r="F145" s="48"/>
      <c r="G145" s="49"/>
      <c r="H145" s="49"/>
      <c r="I145" s="49"/>
      <c r="J145" s="100">
        <f>I145 * salesTaxPct</f>
        <v>0</v>
      </c>
      <c r="K145" s="49"/>
      <c r="L145" s="100">
        <f t="shared" si="3"/>
        <v>0</v>
      </c>
      <c r="M145" s="103"/>
      <c r="N145" s="14" t="str">
        <f ca="1">IF(NOZZLES[[#This Row],[ID]] &lt;&gt; "", IF(A145 = "000", A145 &amp; " | None", A145 &amp; " | " &amp; C145 &amp; " | " &amp; D145 &amp; " | " &amp; F145 &amp; "mm"), "")</f>
        <v/>
      </c>
    </row>
    <row r="146" spans="1:14" ht="22.5" customHeight="1">
      <c r="A146" s="111" t="str">
        <f ca="1">IF(NOZZLES[[#This Row],[PRODUCT]] &lt;&gt; "", IF(ROW() = 2, "000", TEXT(INDIRECT("A" &amp; ROW() - 1) + 1, "000")), "")</f>
        <v/>
      </c>
      <c r="B146" s="102"/>
      <c r="C146" s="17"/>
      <c r="D146" s="102"/>
      <c r="E146" s="48"/>
      <c r="F146" s="48"/>
      <c r="G146" s="49"/>
      <c r="H146" s="49"/>
      <c r="I146" s="49"/>
      <c r="J146" s="100">
        <f>I146 * salesTaxPct</f>
        <v>0</v>
      </c>
      <c r="K146" s="49"/>
      <c r="L146" s="100">
        <f t="shared" si="3"/>
        <v>0</v>
      </c>
      <c r="M146" s="103"/>
      <c r="N146" s="14" t="str">
        <f ca="1">IF(NOZZLES[[#This Row],[ID]] &lt;&gt; "", IF(A146 = "000", A146 &amp; " | None", A146 &amp; " | " &amp; C146 &amp; " | " &amp; D146 &amp; " | " &amp; F146 &amp; "mm"), "")</f>
        <v/>
      </c>
    </row>
    <row r="147" spans="1:14" ht="22.5" customHeight="1">
      <c r="A147" s="111" t="str">
        <f ca="1">IF(NOZZLES[[#This Row],[PRODUCT]] &lt;&gt; "", IF(ROW() = 2, "000", TEXT(INDIRECT("A" &amp; ROW() - 1) + 1, "000")), "")</f>
        <v/>
      </c>
      <c r="B147" s="102"/>
      <c r="C147" s="17"/>
      <c r="D147" s="102"/>
      <c r="E147" s="48"/>
      <c r="F147" s="48"/>
      <c r="G147" s="49"/>
      <c r="H147" s="49"/>
      <c r="I147" s="49"/>
      <c r="J147" s="100">
        <f>I147 * salesTaxPct</f>
        <v>0</v>
      </c>
      <c r="K147" s="49"/>
      <c r="L147" s="100">
        <f t="shared" si="3"/>
        <v>0</v>
      </c>
      <c r="M147" s="103"/>
      <c r="N147" s="14" t="str">
        <f ca="1">IF(NOZZLES[[#This Row],[ID]] &lt;&gt; "", IF(A147 = "000", A147 &amp; " | None", A147 &amp; " | " &amp; C147 &amp; " | " &amp; D147 &amp; " | " &amp; F147 &amp; "mm"), "")</f>
        <v/>
      </c>
    </row>
    <row r="148" spans="1:14" ht="22.5" customHeight="1">
      <c r="A148" s="111" t="str">
        <f ca="1">IF(NOZZLES[[#This Row],[PRODUCT]] &lt;&gt; "", IF(ROW() = 2, "000", TEXT(INDIRECT("A" &amp; ROW() - 1) + 1, "000")), "")</f>
        <v/>
      </c>
      <c r="B148" s="102"/>
      <c r="C148" s="17"/>
      <c r="D148" s="102"/>
      <c r="E148" s="48"/>
      <c r="F148" s="48"/>
      <c r="G148" s="49"/>
      <c r="H148" s="49"/>
      <c r="I148" s="49"/>
      <c r="J148" s="100">
        <f>I148 * salesTaxPct</f>
        <v>0</v>
      </c>
      <c r="K148" s="49"/>
      <c r="L148" s="100">
        <f t="shared" si="3"/>
        <v>0</v>
      </c>
      <c r="M148" s="103"/>
      <c r="N148" s="14" t="str">
        <f ca="1">IF(NOZZLES[[#This Row],[ID]] &lt;&gt; "", IF(A148 = "000", A148 &amp; " | None", A148 &amp; " | " &amp; C148 &amp; " | " &amp; D148 &amp; " | " &amp; F148 &amp; "mm"), "")</f>
        <v/>
      </c>
    </row>
    <row r="149" spans="1:14" ht="22.5" customHeight="1">
      <c r="A149" s="111" t="str">
        <f ca="1">IF(NOZZLES[[#This Row],[PRODUCT]] &lt;&gt; "", IF(ROW() = 2, "000", TEXT(INDIRECT("A" &amp; ROW() - 1) + 1, "000")), "")</f>
        <v/>
      </c>
      <c r="B149" s="102"/>
      <c r="C149" s="17"/>
      <c r="D149" s="102"/>
      <c r="E149" s="48"/>
      <c r="F149" s="48"/>
      <c r="G149" s="49"/>
      <c r="H149" s="49"/>
      <c r="I149" s="49"/>
      <c r="J149" s="100">
        <f>I149 * salesTaxPct</f>
        <v>0</v>
      </c>
      <c r="K149" s="49"/>
      <c r="L149" s="100">
        <f t="shared" si="3"/>
        <v>0</v>
      </c>
      <c r="M149" s="103"/>
      <c r="N149" s="14" t="str">
        <f ca="1">IF(NOZZLES[[#This Row],[ID]] &lt;&gt; "", IF(A149 = "000", A149 &amp; " | None", A149 &amp; " | " &amp; C149 &amp; " | " &amp; D149 &amp; " | " &amp; F149 &amp; "mm"), "")</f>
        <v/>
      </c>
    </row>
    <row r="150" spans="1:14" ht="22.5" customHeight="1">
      <c r="A150" s="111" t="str">
        <f ca="1">IF(NOZZLES[[#This Row],[PRODUCT]] &lt;&gt; "", IF(ROW() = 2, "000", TEXT(INDIRECT("A" &amp; ROW() - 1) + 1, "000")), "")</f>
        <v/>
      </c>
      <c r="B150" s="102"/>
      <c r="C150" s="17"/>
      <c r="D150" s="102"/>
      <c r="E150" s="48"/>
      <c r="F150" s="48"/>
      <c r="G150" s="49"/>
      <c r="H150" s="49"/>
      <c r="I150" s="49"/>
      <c r="J150" s="100">
        <f>I150 * salesTaxPct</f>
        <v>0</v>
      </c>
      <c r="K150" s="49"/>
      <c r="L150" s="100">
        <f t="shared" si="3"/>
        <v>0</v>
      </c>
      <c r="M150" s="103"/>
      <c r="N150" s="14" t="str">
        <f ca="1">IF(NOZZLES[[#This Row],[ID]] &lt;&gt; "", IF(A150 = "000", A150 &amp; " | None", A150 &amp; " | " &amp; C150 &amp; " | " &amp; D150 &amp; " | " &amp; F150 &amp; "mm"), "")</f>
        <v/>
      </c>
    </row>
    <row r="151" spans="1:14" ht="22.5" customHeight="1">
      <c r="A151" s="111" t="str">
        <f ca="1">IF(NOZZLES[[#This Row],[PRODUCT]] &lt;&gt; "", IF(ROW() = 2, "000", TEXT(INDIRECT("A" &amp; ROW() - 1) + 1, "000")), "")</f>
        <v/>
      </c>
      <c r="B151" s="102"/>
      <c r="C151" s="17"/>
      <c r="D151" s="102"/>
      <c r="E151" s="48"/>
      <c r="F151" s="48"/>
      <c r="G151" s="49"/>
      <c r="H151" s="49"/>
      <c r="I151" s="49"/>
      <c r="J151" s="100">
        <f>I151 * salesTaxPct</f>
        <v>0</v>
      </c>
      <c r="K151" s="49"/>
      <c r="L151" s="100">
        <f t="shared" si="3"/>
        <v>0</v>
      </c>
      <c r="M151" s="103"/>
      <c r="N151" s="14" t="str">
        <f ca="1">IF(NOZZLES[[#This Row],[ID]] &lt;&gt; "", IF(A151 = "000", A151 &amp; " | None", A151 &amp; " | " &amp; C151 &amp; " | " &amp; D151 &amp; " | " &amp; F151 &amp; "mm"), "")</f>
        <v/>
      </c>
    </row>
    <row r="152" spans="1:14" ht="22.5" customHeight="1">
      <c r="A152" s="111" t="str">
        <f ca="1">IF(NOZZLES[[#This Row],[PRODUCT]] &lt;&gt; "", IF(ROW() = 2, "000", TEXT(INDIRECT("A" &amp; ROW() - 1) + 1, "000")), "")</f>
        <v/>
      </c>
      <c r="B152" s="102"/>
      <c r="C152" s="17"/>
      <c r="D152" s="102"/>
      <c r="E152" s="48"/>
      <c r="F152" s="48"/>
      <c r="G152" s="49"/>
      <c r="H152" s="49"/>
      <c r="I152" s="49"/>
      <c r="J152" s="100">
        <f>I152 * salesTaxPct</f>
        <v>0</v>
      </c>
      <c r="K152" s="49"/>
      <c r="L152" s="100">
        <f t="shared" si="3"/>
        <v>0</v>
      </c>
      <c r="M152" s="103"/>
      <c r="N152" s="14" t="str">
        <f ca="1">IF(NOZZLES[[#This Row],[ID]] &lt;&gt; "", IF(A152 = "000", A152 &amp; " | None", A152 &amp; " | " &amp; C152 &amp; " | " &amp; D152 &amp; " | " &amp; F152 &amp; "mm"), "")</f>
        <v/>
      </c>
    </row>
    <row r="153" spans="1:14" ht="22.5" customHeight="1">
      <c r="A153" s="111" t="str">
        <f ca="1">IF(NOZZLES[[#This Row],[PRODUCT]] &lt;&gt; "", IF(ROW() = 2, "000", TEXT(INDIRECT("A" &amp; ROW() - 1) + 1, "000")), "")</f>
        <v/>
      </c>
      <c r="B153" s="102"/>
      <c r="C153" s="17"/>
      <c r="D153" s="102"/>
      <c r="E153" s="48"/>
      <c r="F153" s="48"/>
      <c r="G153" s="49"/>
      <c r="H153" s="49"/>
      <c r="I153" s="49"/>
      <c r="J153" s="100">
        <f>I153 * salesTaxPct</f>
        <v>0</v>
      </c>
      <c r="K153" s="49"/>
      <c r="L153" s="100">
        <f t="shared" si="3"/>
        <v>0</v>
      </c>
      <c r="M153" s="103"/>
      <c r="N153" s="14" t="str">
        <f ca="1">IF(NOZZLES[[#This Row],[ID]] &lt;&gt; "", IF(A153 = "000", A153 &amp; " | None", A153 &amp; " | " &amp; C153 &amp; " | " &amp; D153 &amp; " | " &amp; F153 &amp; "mm"), "")</f>
        <v/>
      </c>
    </row>
    <row r="154" spans="1:14" ht="22.5" customHeight="1">
      <c r="A154" s="111" t="str">
        <f ca="1">IF(NOZZLES[[#This Row],[PRODUCT]] &lt;&gt; "", IF(ROW() = 2, "000", TEXT(INDIRECT("A" &amp; ROW() - 1) + 1, "000")), "")</f>
        <v/>
      </c>
      <c r="B154" s="102"/>
      <c r="C154" s="17"/>
      <c r="D154" s="102"/>
      <c r="E154" s="48"/>
      <c r="F154" s="48"/>
      <c r="G154" s="49"/>
      <c r="H154" s="49"/>
      <c r="I154" s="49"/>
      <c r="J154" s="100">
        <f>I154 * salesTaxPct</f>
        <v>0</v>
      </c>
      <c r="K154" s="49"/>
      <c r="L154" s="100">
        <f t="shared" si="3"/>
        <v>0</v>
      </c>
      <c r="M154" s="103"/>
      <c r="N154" s="14" t="str">
        <f ca="1">IF(NOZZLES[[#This Row],[ID]] &lt;&gt; "", IF(A154 = "000", A154 &amp; " | None", A154 &amp; " | " &amp; C154 &amp; " | " &amp; D154 &amp; " | " &amp; F154 &amp; "mm"), "")</f>
        <v/>
      </c>
    </row>
    <row r="155" spans="1:14" ht="22.5" customHeight="1">
      <c r="A155" s="111" t="str">
        <f ca="1">IF(NOZZLES[[#This Row],[PRODUCT]] &lt;&gt; "", IF(ROW() = 2, "000", TEXT(INDIRECT("A" &amp; ROW() - 1) + 1, "000")), "")</f>
        <v/>
      </c>
      <c r="B155" s="102"/>
      <c r="C155" s="17"/>
      <c r="D155" s="102"/>
      <c r="E155" s="48"/>
      <c r="F155" s="48"/>
      <c r="G155" s="49"/>
      <c r="H155" s="49"/>
      <c r="I155" s="49"/>
      <c r="J155" s="100">
        <f>I155 * salesTaxPct</f>
        <v>0</v>
      </c>
      <c r="K155" s="49"/>
      <c r="L155" s="100">
        <f t="shared" si="3"/>
        <v>0</v>
      </c>
      <c r="M155" s="103"/>
      <c r="N155" s="14" t="str">
        <f ca="1">IF(NOZZLES[[#This Row],[ID]] &lt;&gt; "", IF(A155 = "000", A155 &amp; " | None", A155 &amp; " | " &amp; C155 &amp; " | " &amp; D155 &amp; " | " &amp; F155 &amp; "mm"), "")</f>
        <v/>
      </c>
    </row>
    <row r="156" spans="1:14" ht="22.5" customHeight="1">
      <c r="A156" s="111" t="str">
        <f ca="1">IF(NOZZLES[[#This Row],[PRODUCT]] &lt;&gt; "", IF(ROW() = 2, "000", TEXT(INDIRECT("A" &amp; ROW() - 1) + 1, "000")), "")</f>
        <v/>
      </c>
      <c r="B156" s="102"/>
      <c r="C156" s="17"/>
      <c r="D156" s="102"/>
      <c r="E156" s="48"/>
      <c r="F156" s="48"/>
      <c r="G156" s="49"/>
      <c r="H156" s="49"/>
      <c r="I156" s="49"/>
      <c r="J156" s="100">
        <f>I156 * salesTaxPct</f>
        <v>0</v>
      </c>
      <c r="K156" s="49"/>
      <c r="L156" s="100">
        <f t="shared" si="3"/>
        <v>0</v>
      </c>
      <c r="M156" s="103"/>
      <c r="N156" s="14" t="str">
        <f ca="1">IF(NOZZLES[[#This Row],[ID]] &lt;&gt; "", IF(A156 = "000", A156 &amp; " | None", A156 &amp; " | " &amp; C156 &amp; " | " &amp; D156 &amp; " | " &amp; F156 &amp; "mm"), "")</f>
        <v/>
      </c>
    </row>
    <row r="157" spans="1:14" ht="22.5" customHeight="1">
      <c r="A157" s="111" t="str">
        <f ca="1">IF(NOZZLES[[#This Row],[PRODUCT]] &lt;&gt; "", IF(ROW() = 2, "000", TEXT(INDIRECT("A" &amp; ROW() - 1) + 1, "000")), "")</f>
        <v/>
      </c>
      <c r="B157" s="102"/>
      <c r="C157" s="17"/>
      <c r="D157" s="102"/>
      <c r="E157" s="48"/>
      <c r="F157" s="48"/>
      <c r="G157" s="49"/>
      <c r="H157" s="49"/>
      <c r="I157" s="49"/>
      <c r="J157" s="100">
        <f>I157 * salesTaxPct</f>
        <v>0</v>
      </c>
      <c r="K157" s="49"/>
      <c r="L157" s="100">
        <f t="shared" si="3"/>
        <v>0</v>
      </c>
      <c r="M157" s="103"/>
      <c r="N157" s="14" t="str">
        <f ca="1">IF(NOZZLES[[#This Row],[ID]] &lt;&gt; "", IF(A157 = "000", A157 &amp; " | None", A157 &amp; " | " &amp; C157 &amp; " | " &amp; D157 &amp; " | " &amp; F157 &amp; "mm"), "")</f>
        <v/>
      </c>
    </row>
    <row r="158" spans="1:14" ht="22.5" customHeight="1">
      <c r="A158" s="111" t="str">
        <f ca="1">IF(NOZZLES[[#This Row],[PRODUCT]] &lt;&gt; "", IF(ROW() = 2, "000", TEXT(INDIRECT("A" &amp; ROW() - 1) + 1, "000")), "")</f>
        <v/>
      </c>
      <c r="B158" s="102"/>
      <c r="C158" s="17"/>
      <c r="D158" s="102"/>
      <c r="E158" s="48"/>
      <c r="F158" s="48"/>
      <c r="G158" s="49"/>
      <c r="H158" s="49"/>
      <c r="I158" s="49"/>
      <c r="J158" s="100">
        <f>I158 * salesTaxPct</f>
        <v>0</v>
      </c>
      <c r="K158" s="49"/>
      <c r="L158" s="100">
        <f t="shared" si="3"/>
        <v>0</v>
      </c>
      <c r="M158" s="103"/>
      <c r="N158" s="14" t="str">
        <f ca="1">IF(NOZZLES[[#This Row],[ID]] &lt;&gt; "", IF(A158 = "000", A158 &amp; " | None", A158 &amp; " | " &amp; C158 &amp; " | " &amp; D158 &amp; " | " &amp; F158 &amp; "mm"), "")</f>
        <v/>
      </c>
    </row>
    <row r="159" spans="1:14" ht="22.5" customHeight="1">
      <c r="A159" s="111" t="str">
        <f ca="1">IF(NOZZLES[[#This Row],[PRODUCT]] &lt;&gt; "", IF(ROW() = 2, "000", TEXT(INDIRECT("A" &amp; ROW() - 1) + 1, "000")), "")</f>
        <v/>
      </c>
      <c r="B159" s="102"/>
      <c r="C159" s="17"/>
      <c r="D159" s="102"/>
      <c r="E159" s="48"/>
      <c r="F159" s="48"/>
      <c r="G159" s="49"/>
      <c r="H159" s="49"/>
      <c r="I159" s="49"/>
      <c r="J159" s="100">
        <f>I159 * salesTaxPct</f>
        <v>0</v>
      </c>
      <c r="K159" s="49"/>
      <c r="L159" s="100">
        <f t="shared" si="3"/>
        <v>0</v>
      </c>
      <c r="M159" s="103"/>
      <c r="N159" s="14" t="str">
        <f ca="1">IF(NOZZLES[[#This Row],[ID]] &lt;&gt; "", IF(A159 = "000", A159 &amp; " | None", A159 &amp; " | " &amp; C159 &amp; " | " &amp; D159 &amp; " | " &amp; F159 &amp; "mm"), "")</f>
        <v/>
      </c>
    </row>
    <row r="160" spans="1:14" ht="22.5" customHeight="1">
      <c r="A160" s="111" t="str">
        <f ca="1">IF(NOZZLES[[#This Row],[PRODUCT]] &lt;&gt; "", IF(ROW() = 2, "000", TEXT(INDIRECT("A" &amp; ROW() - 1) + 1, "000")), "")</f>
        <v/>
      </c>
      <c r="B160" s="102"/>
      <c r="C160" s="17"/>
      <c r="D160" s="102"/>
      <c r="E160" s="48"/>
      <c r="F160" s="48"/>
      <c r="G160" s="49"/>
      <c r="H160" s="49"/>
      <c r="I160" s="49"/>
      <c r="J160" s="100">
        <f>I160 * salesTaxPct</f>
        <v>0</v>
      </c>
      <c r="K160" s="49"/>
      <c r="L160" s="100">
        <f t="shared" si="3"/>
        <v>0</v>
      </c>
      <c r="M160" s="103"/>
      <c r="N160" s="14" t="str">
        <f ca="1">IF(NOZZLES[[#This Row],[ID]] &lt;&gt; "", IF(A160 = "000", A160 &amp; " | None", A160 &amp; " | " &amp; C160 &amp; " | " &amp; D160 &amp; " | " &amp; F160 &amp; "mm"), "")</f>
        <v/>
      </c>
    </row>
    <row r="161" spans="1:14" ht="22.5" customHeight="1">
      <c r="A161" s="111" t="str">
        <f ca="1">IF(NOZZLES[[#This Row],[PRODUCT]] &lt;&gt; "", IF(ROW() = 2, "000", TEXT(INDIRECT("A" &amp; ROW() - 1) + 1, "000")), "")</f>
        <v/>
      </c>
      <c r="B161" s="102"/>
      <c r="C161" s="17"/>
      <c r="D161" s="102"/>
      <c r="E161" s="48"/>
      <c r="F161" s="48"/>
      <c r="G161" s="49"/>
      <c r="H161" s="49"/>
      <c r="I161" s="49"/>
      <c r="J161" s="100">
        <f>I161 * salesTaxPct</f>
        <v>0</v>
      </c>
      <c r="K161" s="49"/>
      <c r="L161" s="100">
        <f t="shared" si="3"/>
        <v>0</v>
      </c>
      <c r="M161" s="103"/>
      <c r="N161" s="14" t="str">
        <f ca="1">IF(NOZZLES[[#This Row],[ID]] &lt;&gt; "", IF(A161 = "000", A161 &amp; " | None", A161 &amp; " | " &amp; C161 &amp; " | " &amp; D161 &amp; " | " &amp; F161 &amp; "mm"), "")</f>
        <v/>
      </c>
    </row>
    <row r="162" spans="1:14" ht="22.5" customHeight="1">
      <c r="A162" s="111" t="str">
        <f ca="1">IF(NOZZLES[[#This Row],[PRODUCT]] &lt;&gt; "", IF(ROW() = 2, "000", TEXT(INDIRECT("A" &amp; ROW() - 1) + 1, "000")), "")</f>
        <v/>
      </c>
      <c r="B162" s="102"/>
      <c r="C162" s="17"/>
      <c r="D162" s="102"/>
      <c r="E162" s="48"/>
      <c r="F162" s="48"/>
      <c r="G162" s="49"/>
      <c r="H162" s="49"/>
      <c r="I162" s="49"/>
      <c r="J162" s="100">
        <f>I162 * salesTaxPct</f>
        <v>0</v>
      </c>
      <c r="K162" s="49"/>
      <c r="L162" s="100">
        <f t="shared" si="3"/>
        <v>0</v>
      </c>
      <c r="M162" s="103"/>
      <c r="N162" s="14" t="str">
        <f ca="1">IF(NOZZLES[[#This Row],[ID]] &lt;&gt; "", IF(A162 = "000", A162 &amp; " | None", A162 &amp; " | " &amp; C162 &amp; " | " &amp; D162 &amp; " | " &amp; F162 &amp; "mm"), "")</f>
        <v/>
      </c>
    </row>
    <row r="163" spans="1:14" ht="22.5" customHeight="1">
      <c r="A163" s="111" t="str">
        <f ca="1">IF(NOZZLES[[#This Row],[PRODUCT]] &lt;&gt; "", IF(ROW() = 2, "000", TEXT(INDIRECT("A" &amp; ROW() - 1) + 1, "000")), "")</f>
        <v/>
      </c>
      <c r="B163" s="102"/>
      <c r="C163" s="17"/>
      <c r="D163" s="102"/>
      <c r="E163" s="48"/>
      <c r="F163" s="48"/>
      <c r="G163" s="49"/>
      <c r="H163" s="49"/>
      <c r="I163" s="49"/>
      <c r="J163" s="100">
        <f>I163 * salesTaxPct</f>
        <v>0</v>
      </c>
      <c r="K163" s="49"/>
      <c r="L163" s="100">
        <f t="shared" si="3"/>
        <v>0</v>
      </c>
      <c r="M163" s="103"/>
      <c r="N163" s="14" t="str">
        <f ca="1">IF(NOZZLES[[#This Row],[ID]] &lt;&gt; "", IF(A163 = "000", A163 &amp; " | None", A163 &amp; " | " &amp; C163 &amp; " | " &amp; D163 &amp; " | " &amp; F163 &amp; "mm"), "")</f>
        <v/>
      </c>
    </row>
    <row r="164" spans="1:14" ht="22.5" customHeight="1">
      <c r="A164" s="111" t="str">
        <f ca="1">IF(NOZZLES[[#This Row],[PRODUCT]] &lt;&gt; "", IF(ROW() = 2, "000", TEXT(INDIRECT("A" &amp; ROW() - 1) + 1, "000")), "")</f>
        <v/>
      </c>
      <c r="B164" s="102"/>
      <c r="C164" s="17"/>
      <c r="D164" s="102"/>
      <c r="E164" s="48"/>
      <c r="F164" s="48"/>
      <c r="G164" s="49"/>
      <c r="H164" s="49"/>
      <c r="I164" s="49"/>
      <c r="J164" s="100">
        <f>I164 * salesTaxPct</f>
        <v>0</v>
      </c>
      <c r="K164" s="49"/>
      <c r="L164" s="100">
        <f t="shared" si="3"/>
        <v>0</v>
      </c>
      <c r="M164" s="103"/>
      <c r="N164" s="14" t="str">
        <f ca="1">IF(NOZZLES[[#This Row],[ID]] &lt;&gt; "", IF(A164 = "000", A164 &amp; " | None", A164 &amp; " | " &amp; C164 &amp; " | " &amp; D164 &amp; " | " &amp; F164 &amp; "mm"), "")</f>
        <v/>
      </c>
    </row>
    <row r="165" spans="1:14" ht="22.5" customHeight="1">
      <c r="A165" s="111" t="str">
        <f ca="1">IF(NOZZLES[[#This Row],[PRODUCT]] &lt;&gt; "", IF(ROW() = 2, "000", TEXT(INDIRECT("A" &amp; ROW() - 1) + 1, "000")), "")</f>
        <v/>
      </c>
      <c r="B165" s="102"/>
      <c r="C165" s="17"/>
      <c r="D165" s="102"/>
      <c r="E165" s="48"/>
      <c r="F165" s="48"/>
      <c r="G165" s="49"/>
      <c r="H165" s="49"/>
      <c r="I165" s="49"/>
      <c r="J165" s="100">
        <f>I165 * salesTaxPct</f>
        <v>0</v>
      </c>
      <c r="K165" s="49"/>
      <c r="L165" s="100">
        <f t="shared" si="3"/>
        <v>0</v>
      </c>
      <c r="M165" s="103"/>
      <c r="N165" s="14" t="str">
        <f ca="1">IF(NOZZLES[[#This Row],[ID]] &lt;&gt; "", IF(A165 = "000", A165 &amp; " | None", A165 &amp; " | " &amp; C165 &amp; " | " &amp; D165 &amp; " | " &amp; F165 &amp; "mm"), "")</f>
        <v/>
      </c>
    </row>
    <row r="166" spans="1:14" ht="22.5" customHeight="1">
      <c r="A166" s="111" t="str">
        <f ca="1">IF(NOZZLES[[#This Row],[PRODUCT]] &lt;&gt; "", IF(ROW() = 2, "000", TEXT(INDIRECT("A" &amp; ROW() - 1) + 1, "000")), "")</f>
        <v/>
      </c>
      <c r="B166" s="102"/>
      <c r="C166" s="17"/>
      <c r="D166" s="102"/>
      <c r="E166" s="48"/>
      <c r="F166" s="48"/>
      <c r="G166" s="49"/>
      <c r="H166" s="49"/>
      <c r="I166" s="49"/>
      <c r="J166" s="100">
        <f>I166 * salesTaxPct</f>
        <v>0</v>
      </c>
      <c r="K166" s="49"/>
      <c r="L166" s="100">
        <f t="shared" si="3"/>
        <v>0</v>
      </c>
      <c r="M166" s="103"/>
      <c r="N166" s="14" t="str">
        <f ca="1">IF(NOZZLES[[#This Row],[ID]] &lt;&gt; "", IF(A166 = "000", A166 &amp; " | None", A166 &amp; " | " &amp; C166 &amp; " | " &amp; D166 &amp; " | " &amp; F166 &amp; "mm"), "")</f>
        <v/>
      </c>
    </row>
    <row r="167" spans="1:14" ht="22.5" customHeight="1">
      <c r="A167" s="111" t="str">
        <f ca="1">IF(NOZZLES[[#This Row],[PRODUCT]] &lt;&gt; "", IF(ROW() = 2, "000", TEXT(INDIRECT("A" &amp; ROW() - 1) + 1, "000")), "")</f>
        <v/>
      </c>
      <c r="B167" s="102"/>
      <c r="C167" s="17"/>
      <c r="D167" s="102"/>
      <c r="E167" s="48"/>
      <c r="F167" s="48"/>
      <c r="G167" s="49"/>
      <c r="H167" s="49"/>
      <c r="I167" s="49"/>
      <c r="J167" s="100">
        <f>I167 * salesTaxPct</f>
        <v>0</v>
      </c>
      <c r="K167" s="49"/>
      <c r="L167" s="100">
        <f t="shared" si="3"/>
        <v>0</v>
      </c>
      <c r="M167" s="103"/>
      <c r="N167" s="14" t="str">
        <f ca="1">IF(NOZZLES[[#This Row],[ID]] &lt;&gt; "", IF(A167 = "000", A167 &amp; " | None", A167 &amp; " | " &amp; C167 &amp; " | " &amp; D167 &amp; " | " &amp; F167 &amp; "mm"), "")</f>
        <v/>
      </c>
    </row>
    <row r="168" spans="1:14" ht="22.5" customHeight="1">
      <c r="A168" s="111" t="str">
        <f ca="1">IF(NOZZLES[[#This Row],[PRODUCT]] &lt;&gt; "", IF(ROW() = 2, "000", TEXT(INDIRECT("A" &amp; ROW() - 1) + 1, "000")), "")</f>
        <v/>
      </c>
      <c r="B168" s="102"/>
      <c r="C168" s="17"/>
      <c r="D168" s="102"/>
      <c r="E168" s="48"/>
      <c r="F168" s="48"/>
      <c r="G168" s="49"/>
      <c r="H168" s="49"/>
      <c r="I168" s="49"/>
      <c r="J168" s="100">
        <f>I168 * salesTaxPct</f>
        <v>0</v>
      </c>
      <c r="K168" s="49"/>
      <c r="L168" s="100">
        <f t="shared" si="3"/>
        <v>0</v>
      </c>
      <c r="M168" s="103"/>
      <c r="N168" s="14" t="str">
        <f ca="1">IF(NOZZLES[[#This Row],[ID]] &lt;&gt; "", IF(A168 = "000", A168 &amp; " | None", A168 &amp; " | " &amp; C168 &amp; " | " &amp; D168 &amp; " | " &amp; F168 &amp; "mm"), "")</f>
        <v/>
      </c>
    </row>
    <row r="169" spans="1:14" ht="22.5" customHeight="1">
      <c r="A169" s="111" t="str">
        <f ca="1">IF(NOZZLES[[#This Row],[PRODUCT]] &lt;&gt; "", IF(ROW() = 2, "000", TEXT(INDIRECT("A" &amp; ROW() - 1) + 1, "000")), "")</f>
        <v/>
      </c>
      <c r="B169" s="102"/>
      <c r="C169" s="17"/>
      <c r="D169" s="102"/>
      <c r="E169" s="48"/>
      <c r="F169" s="48"/>
      <c r="G169" s="49"/>
      <c r="H169" s="49"/>
      <c r="I169" s="49"/>
      <c r="J169" s="100">
        <f>I169 * salesTaxPct</f>
        <v>0</v>
      </c>
      <c r="K169" s="49"/>
      <c r="L169" s="100">
        <f t="shared" si="3"/>
        <v>0</v>
      </c>
      <c r="M169" s="103"/>
      <c r="N169" s="14" t="str">
        <f ca="1">IF(NOZZLES[[#This Row],[ID]] &lt;&gt; "", IF(A169 = "000", A169 &amp; " | None", A169 &amp; " | " &amp; C169 &amp; " | " &amp; D169 &amp; " | " &amp; F169 &amp; "mm"), "")</f>
        <v/>
      </c>
    </row>
    <row r="170" spans="1:14" ht="22.5" customHeight="1">
      <c r="A170" s="111" t="str">
        <f ca="1">IF(NOZZLES[[#This Row],[PRODUCT]] &lt;&gt; "", IF(ROW() = 2, "000", TEXT(INDIRECT("A" &amp; ROW() - 1) + 1, "000")), "")</f>
        <v/>
      </c>
      <c r="B170" s="102"/>
      <c r="C170" s="17"/>
      <c r="D170" s="102"/>
      <c r="E170" s="48"/>
      <c r="F170" s="48"/>
      <c r="G170" s="49"/>
      <c r="H170" s="49"/>
      <c r="I170" s="49"/>
      <c r="J170" s="100">
        <f>I170 * salesTaxPct</f>
        <v>0</v>
      </c>
      <c r="K170" s="49"/>
      <c r="L170" s="100">
        <f t="shared" si="3"/>
        <v>0</v>
      </c>
      <c r="M170" s="103"/>
      <c r="N170" s="14" t="str">
        <f ca="1">IF(NOZZLES[[#This Row],[ID]] &lt;&gt; "", IF(A170 = "000", A170 &amp; " | None", A170 &amp; " | " &amp; C170 &amp; " | " &amp; D170 &amp; " | " &amp; F170 &amp; "mm"), "")</f>
        <v/>
      </c>
    </row>
    <row r="171" spans="1:14" ht="22.5" customHeight="1">
      <c r="A171" s="111" t="str">
        <f ca="1">IF(NOZZLES[[#This Row],[PRODUCT]] &lt;&gt; "", IF(ROW() = 2, "000", TEXT(INDIRECT("A" &amp; ROW() - 1) + 1, "000")), "")</f>
        <v/>
      </c>
      <c r="B171" s="102"/>
      <c r="C171" s="17"/>
      <c r="D171" s="102"/>
      <c r="E171" s="48"/>
      <c r="F171" s="48"/>
      <c r="G171" s="49"/>
      <c r="H171" s="49"/>
      <c r="I171" s="49"/>
      <c r="J171" s="100">
        <f>I171 * salesTaxPct</f>
        <v>0</v>
      </c>
      <c r="K171" s="49"/>
      <c r="L171" s="100">
        <f t="shared" si="3"/>
        <v>0</v>
      </c>
      <c r="M171" s="103"/>
      <c r="N171" s="14" t="str">
        <f ca="1">IF(NOZZLES[[#This Row],[ID]] &lt;&gt; "", IF(A171 = "000", A171 &amp; " | None", A171 &amp; " | " &amp; C171 &amp; " | " &amp; D171 &amp; " | " &amp; F171 &amp; "mm"), "")</f>
        <v/>
      </c>
    </row>
    <row r="172" spans="1:14" ht="22.5" customHeight="1">
      <c r="A172" s="111" t="str">
        <f ca="1">IF(NOZZLES[[#This Row],[PRODUCT]] &lt;&gt; "", IF(ROW() = 2, "000", TEXT(INDIRECT("A" &amp; ROW() - 1) + 1, "000")), "")</f>
        <v/>
      </c>
      <c r="B172" s="102"/>
      <c r="C172" s="17"/>
      <c r="D172" s="102"/>
      <c r="E172" s="48"/>
      <c r="F172" s="48"/>
      <c r="G172" s="49"/>
      <c r="H172" s="49"/>
      <c r="I172" s="49"/>
      <c r="J172" s="100">
        <f>I172 * salesTaxPct</f>
        <v>0</v>
      </c>
      <c r="K172" s="49"/>
      <c r="L172" s="100">
        <f t="shared" si="3"/>
        <v>0</v>
      </c>
      <c r="M172" s="103"/>
      <c r="N172" s="14" t="str">
        <f ca="1">IF(NOZZLES[[#This Row],[ID]] &lt;&gt; "", IF(A172 = "000", A172 &amp; " | None", A172 &amp; " | " &amp; C172 &amp; " | " &amp; D172 &amp; " | " &amp; F172 &amp; "mm"), "")</f>
        <v/>
      </c>
    </row>
    <row r="173" spans="1:14" ht="22.5" customHeight="1">
      <c r="A173" s="111" t="str">
        <f ca="1">IF(NOZZLES[[#This Row],[PRODUCT]] &lt;&gt; "", IF(ROW() = 2, "000", TEXT(INDIRECT("A" &amp; ROW() - 1) + 1, "000")), "")</f>
        <v/>
      </c>
      <c r="B173" s="102"/>
      <c r="C173" s="17"/>
      <c r="D173" s="102"/>
      <c r="E173" s="48"/>
      <c r="F173" s="48"/>
      <c r="G173" s="49"/>
      <c r="H173" s="49"/>
      <c r="I173" s="49"/>
      <c r="J173" s="100">
        <f>I173 * salesTaxPct</f>
        <v>0</v>
      </c>
      <c r="K173" s="49"/>
      <c r="L173" s="100">
        <f t="shared" si="3"/>
        <v>0</v>
      </c>
      <c r="M173" s="103"/>
      <c r="N173" s="14" t="str">
        <f ca="1">IF(NOZZLES[[#This Row],[ID]] &lt;&gt; "", IF(A173 = "000", A173 &amp; " | None", A173 &amp; " | " &amp; C173 &amp; " | " &amp; D173 &amp; " | " &amp; F173 &amp; "mm"), "")</f>
        <v/>
      </c>
    </row>
    <row r="174" spans="1:14" ht="22.5" customHeight="1">
      <c r="A174" s="111" t="str">
        <f ca="1">IF(NOZZLES[[#This Row],[PRODUCT]] &lt;&gt; "", IF(ROW() = 2, "000", TEXT(INDIRECT("A" &amp; ROW() - 1) + 1, "000")), "")</f>
        <v/>
      </c>
      <c r="B174" s="102"/>
      <c r="C174" s="17"/>
      <c r="D174" s="102"/>
      <c r="E174" s="48"/>
      <c r="F174" s="48"/>
      <c r="G174" s="49"/>
      <c r="H174" s="49"/>
      <c r="I174" s="49"/>
      <c r="J174" s="100">
        <f>I174 * salesTaxPct</f>
        <v>0</v>
      </c>
      <c r="K174" s="49"/>
      <c r="L174" s="100">
        <f t="shared" si="3"/>
        <v>0</v>
      </c>
      <c r="M174" s="103"/>
      <c r="N174" s="14" t="str">
        <f ca="1">IF(NOZZLES[[#This Row],[ID]] &lt;&gt; "", IF(A174 = "000", A174 &amp; " | None", A174 &amp; " | " &amp; C174 &amp; " | " &amp; D174 &amp; " | " &amp; F174 &amp; "mm"), "")</f>
        <v/>
      </c>
    </row>
    <row r="175" spans="1:14" ht="22.5" customHeight="1">
      <c r="A175" s="111" t="str">
        <f ca="1">IF(NOZZLES[[#This Row],[PRODUCT]] &lt;&gt; "", IF(ROW() = 2, "000", TEXT(INDIRECT("A" &amp; ROW() - 1) + 1, "000")), "")</f>
        <v/>
      </c>
      <c r="B175" s="102"/>
      <c r="C175" s="17"/>
      <c r="D175" s="102"/>
      <c r="E175" s="48"/>
      <c r="F175" s="48"/>
      <c r="G175" s="49"/>
      <c r="H175" s="49"/>
      <c r="I175" s="49"/>
      <c r="J175" s="100">
        <f>I175 * salesTaxPct</f>
        <v>0</v>
      </c>
      <c r="K175" s="49"/>
      <c r="L175" s="100">
        <f t="shared" si="3"/>
        <v>0</v>
      </c>
      <c r="M175" s="103"/>
      <c r="N175" s="14" t="str">
        <f ca="1">IF(NOZZLES[[#This Row],[ID]] &lt;&gt; "", IF(A175 = "000", A175 &amp; " | None", A175 &amp; " | " &amp; C175 &amp; " | " &amp; D175 &amp; " | " &amp; F175 &amp; "mm"), "")</f>
        <v/>
      </c>
    </row>
    <row r="176" spans="1:14" ht="22.5" customHeight="1">
      <c r="A176" s="111" t="str">
        <f ca="1">IF(NOZZLES[[#This Row],[PRODUCT]] &lt;&gt; "", IF(ROW() = 2, "000", TEXT(INDIRECT("A" &amp; ROW() - 1) + 1, "000")), "")</f>
        <v/>
      </c>
      <c r="B176" s="102"/>
      <c r="C176" s="17"/>
      <c r="D176" s="102"/>
      <c r="E176" s="48"/>
      <c r="F176" s="48"/>
      <c r="G176" s="49"/>
      <c r="H176" s="49"/>
      <c r="I176" s="49"/>
      <c r="J176" s="100">
        <f>I176 * salesTaxPct</f>
        <v>0</v>
      </c>
      <c r="K176" s="49"/>
      <c r="L176" s="100">
        <f t="shared" si="3"/>
        <v>0</v>
      </c>
      <c r="M176" s="103"/>
      <c r="N176" s="14" t="str">
        <f ca="1">IF(NOZZLES[[#This Row],[ID]] &lt;&gt; "", IF(A176 = "000", A176 &amp; " | None", A176 &amp; " | " &amp; C176 &amp; " | " &amp; D176 &amp; " | " &amp; F176 &amp; "mm"), "")</f>
        <v/>
      </c>
    </row>
    <row r="177" spans="1:14" ht="22.5" customHeight="1">
      <c r="A177" s="111" t="str">
        <f ca="1">IF(NOZZLES[[#This Row],[PRODUCT]] &lt;&gt; "", IF(ROW() = 2, "000", TEXT(INDIRECT("A" &amp; ROW() - 1) + 1, "000")), "")</f>
        <v/>
      </c>
      <c r="B177" s="102"/>
      <c r="C177" s="17"/>
      <c r="D177" s="102"/>
      <c r="E177" s="48"/>
      <c r="F177" s="48"/>
      <c r="G177" s="49"/>
      <c r="H177" s="49"/>
      <c r="I177" s="49"/>
      <c r="J177" s="100">
        <f>I177 * salesTaxPct</f>
        <v>0</v>
      </c>
      <c r="K177" s="49"/>
      <c r="L177" s="100">
        <f t="shared" si="3"/>
        <v>0</v>
      </c>
      <c r="M177" s="103"/>
      <c r="N177" s="14" t="str">
        <f ca="1">IF(NOZZLES[[#This Row],[ID]] &lt;&gt; "", IF(A177 = "000", A177 &amp; " | None", A177 &amp; " | " &amp; C177 &amp; " | " &amp; D177 &amp; " | " &amp; F177 &amp; "mm"), "")</f>
        <v/>
      </c>
    </row>
    <row r="178" spans="1:14" ht="22.5" customHeight="1">
      <c r="A178" s="111" t="str">
        <f ca="1">IF(NOZZLES[[#This Row],[PRODUCT]] &lt;&gt; "", IF(ROW() = 2, "000", TEXT(INDIRECT("A" &amp; ROW() - 1) + 1, "000")), "")</f>
        <v/>
      </c>
      <c r="B178" s="102"/>
      <c r="C178" s="17"/>
      <c r="D178" s="102"/>
      <c r="E178" s="48"/>
      <c r="F178" s="48"/>
      <c r="G178" s="49"/>
      <c r="H178" s="49"/>
      <c r="I178" s="49"/>
      <c r="J178" s="100">
        <f>I178 * salesTaxPct</f>
        <v>0</v>
      </c>
      <c r="K178" s="49"/>
      <c r="L178" s="100">
        <f t="shared" si="3"/>
        <v>0</v>
      </c>
      <c r="M178" s="103"/>
      <c r="N178" s="14" t="str">
        <f ca="1">IF(NOZZLES[[#This Row],[ID]] &lt;&gt; "", IF(A178 = "000", A178 &amp; " | None", A178 &amp; " | " &amp; C178 &amp; " | " &amp; D178 &amp; " | " &amp; F178 &amp; "mm"), "")</f>
        <v/>
      </c>
    </row>
    <row r="179" spans="1:14" ht="22.5" customHeight="1">
      <c r="A179" s="111" t="str">
        <f ca="1">IF(NOZZLES[[#This Row],[PRODUCT]] &lt;&gt; "", IF(ROW() = 2, "000", TEXT(INDIRECT("A" &amp; ROW() - 1) + 1, "000")), "")</f>
        <v/>
      </c>
      <c r="B179" s="102"/>
      <c r="C179" s="17"/>
      <c r="D179" s="102"/>
      <c r="E179" s="48"/>
      <c r="F179" s="48"/>
      <c r="G179" s="49"/>
      <c r="H179" s="49"/>
      <c r="I179" s="49"/>
      <c r="J179" s="100">
        <f>I179 * salesTaxPct</f>
        <v>0</v>
      </c>
      <c r="K179" s="49"/>
      <c r="L179" s="100">
        <f t="shared" si="3"/>
        <v>0</v>
      </c>
      <c r="M179" s="103"/>
      <c r="N179" s="14" t="str">
        <f ca="1">IF(NOZZLES[[#This Row],[ID]] &lt;&gt; "", IF(A179 = "000", A179 &amp; " | None", A179 &amp; " | " &amp; C179 &amp; " | " &amp; D179 &amp; " | " &amp; F179 &amp; "mm"), "")</f>
        <v/>
      </c>
    </row>
    <row r="180" spans="1:14" ht="22.5" customHeight="1">
      <c r="A180" s="111" t="str">
        <f ca="1">IF(NOZZLES[[#This Row],[PRODUCT]] &lt;&gt; "", IF(ROW() = 2, "000", TEXT(INDIRECT("A" &amp; ROW() - 1) + 1, "000")), "")</f>
        <v/>
      </c>
      <c r="B180" s="102"/>
      <c r="C180" s="17"/>
      <c r="D180" s="102"/>
      <c r="E180" s="48"/>
      <c r="F180" s="48"/>
      <c r="G180" s="49"/>
      <c r="H180" s="49"/>
      <c r="I180" s="49"/>
      <c r="J180" s="100">
        <f>I180 * salesTaxPct</f>
        <v>0</v>
      </c>
      <c r="K180" s="49"/>
      <c r="L180" s="100">
        <f t="shared" si="3"/>
        <v>0</v>
      </c>
      <c r="M180" s="103"/>
      <c r="N180" s="14" t="str">
        <f ca="1">IF(NOZZLES[[#This Row],[ID]] &lt;&gt; "", IF(A180 = "000", A180 &amp; " | None", A180 &amp; " | " &amp; C180 &amp; " | " &amp; D180 &amp; " | " &amp; F180 &amp; "mm"), "")</f>
        <v/>
      </c>
    </row>
    <row r="181" spans="1:14" ht="22.5" customHeight="1">
      <c r="A181" s="111" t="str">
        <f ca="1">IF(NOZZLES[[#This Row],[PRODUCT]] &lt;&gt; "", IF(ROW() = 2, "000", TEXT(INDIRECT("A" &amp; ROW() - 1) + 1, "000")), "")</f>
        <v/>
      </c>
      <c r="B181" s="102"/>
      <c r="C181" s="17"/>
      <c r="D181" s="102"/>
      <c r="E181" s="48"/>
      <c r="F181" s="48"/>
      <c r="G181" s="49"/>
      <c r="H181" s="49"/>
      <c r="I181" s="49"/>
      <c r="J181" s="100">
        <f>I181 * salesTaxPct</f>
        <v>0</v>
      </c>
      <c r="K181" s="49"/>
      <c r="L181" s="100">
        <f t="shared" si="3"/>
        <v>0</v>
      </c>
      <c r="M181" s="103"/>
      <c r="N181" s="14" t="str">
        <f ca="1">IF(NOZZLES[[#This Row],[ID]] &lt;&gt; "", IF(A181 = "000", A181 &amp; " | None", A181 &amp; " | " &amp; C181 &amp; " | " &amp; D181 &amp; " | " &amp; F181 &amp; "mm"), "")</f>
        <v/>
      </c>
    </row>
    <row r="182" spans="1:14" ht="22.5" customHeight="1">
      <c r="A182" s="111" t="str">
        <f ca="1">IF(NOZZLES[[#This Row],[PRODUCT]] &lt;&gt; "", IF(ROW() = 2, "000", TEXT(INDIRECT("A" &amp; ROW() - 1) + 1, "000")), "")</f>
        <v/>
      </c>
      <c r="B182" s="102"/>
      <c r="C182" s="17"/>
      <c r="D182" s="102"/>
      <c r="E182" s="48"/>
      <c r="F182" s="48"/>
      <c r="G182" s="49"/>
      <c r="H182" s="49"/>
      <c r="I182" s="49"/>
      <c r="J182" s="100">
        <f>I182 * salesTaxPct</f>
        <v>0</v>
      </c>
      <c r="K182" s="49"/>
      <c r="L182" s="100">
        <f t="shared" si="3"/>
        <v>0</v>
      </c>
      <c r="M182" s="103"/>
      <c r="N182" s="14" t="str">
        <f ca="1">IF(NOZZLES[[#This Row],[ID]] &lt;&gt; "", IF(A182 = "000", A182 &amp; " | None", A182 &amp; " | " &amp; C182 &amp; " | " &amp; D182 &amp; " | " &amp; F182 &amp; "mm"), "")</f>
        <v/>
      </c>
    </row>
    <row r="183" spans="1:14" ht="22.5" customHeight="1">
      <c r="A183" s="111" t="str">
        <f ca="1">IF(NOZZLES[[#This Row],[PRODUCT]] &lt;&gt; "", IF(ROW() = 2, "000", TEXT(INDIRECT("A" &amp; ROW() - 1) + 1, "000")), "")</f>
        <v/>
      </c>
      <c r="B183" s="102"/>
      <c r="C183" s="17"/>
      <c r="D183" s="102"/>
      <c r="E183" s="48"/>
      <c r="F183" s="48"/>
      <c r="G183" s="49"/>
      <c r="H183" s="49"/>
      <c r="I183" s="49"/>
      <c r="J183" s="100">
        <f>I183 * salesTaxPct</f>
        <v>0</v>
      </c>
      <c r="K183" s="49"/>
      <c r="L183" s="100">
        <f t="shared" si="3"/>
        <v>0</v>
      </c>
      <c r="M183" s="103"/>
      <c r="N183" s="14" t="str">
        <f ca="1">IF(NOZZLES[[#This Row],[ID]] &lt;&gt; "", IF(A183 = "000", A183 &amp; " | None", A183 &amp; " | " &amp; C183 &amp; " | " &amp; D183 &amp; " | " &amp; F183 &amp; "mm"), "")</f>
        <v/>
      </c>
    </row>
    <row r="184" spans="1:14" ht="22.5" customHeight="1">
      <c r="A184" s="111" t="str">
        <f ca="1">IF(NOZZLES[[#This Row],[PRODUCT]] &lt;&gt; "", IF(ROW() = 2, "000", TEXT(INDIRECT("A" &amp; ROW() - 1) + 1, "000")), "")</f>
        <v/>
      </c>
      <c r="B184" s="102"/>
      <c r="C184" s="17"/>
      <c r="D184" s="102"/>
      <c r="E184" s="48"/>
      <c r="F184" s="48"/>
      <c r="G184" s="49"/>
      <c r="H184" s="49"/>
      <c r="I184" s="49"/>
      <c r="J184" s="100">
        <f>I184 * salesTaxPct</f>
        <v>0</v>
      </c>
      <c r="K184" s="49"/>
      <c r="L184" s="100">
        <f t="shared" si="3"/>
        <v>0</v>
      </c>
      <c r="M184" s="103"/>
      <c r="N184" s="14" t="str">
        <f ca="1">IF(NOZZLES[[#This Row],[ID]] &lt;&gt; "", IF(A184 = "000", A184 &amp; " | None", A184 &amp; " | " &amp; C184 &amp; " | " &amp; D184 &amp; " | " &amp; F184 &amp; "mm"), "")</f>
        <v/>
      </c>
    </row>
    <row r="185" spans="1:14" ht="22.5" customHeight="1">
      <c r="A185" s="111" t="str">
        <f ca="1">IF(NOZZLES[[#This Row],[PRODUCT]] &lt;&gt; "", IF(ROW() = 2, "000", TEXT(INDIRECT("A" &amp; ROW() - 1) + 1, "000")), "")</f>
        <v/>
      </c>
      <c r="B185" s="102"/>
      <c r="C185" s="17"/>
      <c r="D185" s="102"/>
      <c r="E185" s="48"/>
      <c r="F185" s="48"/>
      <c r="G185" s="49"/>
      <c r="H185" s="49"/>
      <c r="I185" s="49"/>
      <c r="J185" s="100">
        <f>I185 * salesTaxPct</f>
        <v>0</v>
      </c>
      <c r="K185" s="49"/>
      <c r="L185" s="100">
        <f t="shared" si="3"/>
        <v>0</v>
      </c>
      <c r="M185" s="103"/>
      <c r="N185" s="14" t="str">
        <f ca="1">IF(NOZZLES[[#This Row],[ID]] &lt;&gt; "", IF(A185 = "000", A185 &amp; " | None", A185 &amp; " | " &amp; C185 &amp; " | " &amp; D185 &amp; " | " &amp; F185 &amp; "mm"), "")</f>
        <v/>
      </c>
    </row>
    <row r="186" spans="1:14" ht="22.5" customHeight="1">
      <c r="A186" s="111" t="str">
        <f ca="1">IF(NOZZLES[[#This Row],[PRODUCT]] &lt;&gt; "", IF(ROW() = 2, "000", TEXT(INDIRECT("A" &amp; ROW() - 1) + 1, "000")), "")</f>
        <v/>
      </c>
      <c r="B186" s="102"/>
      <c r="C186" s="17"/>
      <c r="D186" s="102"/>
      <c r="E186" s="48"/>
      <c r="F186" s="48"/>
      <c r="G186" s="49"/>
      <c r="H186" s="49"/>
      <c r="I186" s="49"/>
      <c r="J186" s="100">
        <f>I186 * salesTaxPct</f>
        <v>0</v>
      </c>
      <c r="K186" s="49"/>
      <c r="L186" s="100">
        <f t="shared" si="3"/>
        <v>0</v>
      </c>
      <c r="M186" s="103"/>
      <c r="N186" s="14" t="str">
        <f ca="1">IF(NOZZLES[[#This Row],[ID]] &lt;&gt; "", IF(A186 = "000", A186 &amp; " | None", A186 &amp; " | " &amp; C186 &amp; " | " &amp; D186 &amp; " | " &amp; F186 &amp; "mm"), "")</f>
        <v/>
      </c>
    </row>
    <row r="187" spans="1:14" ht="22.5" customHeight="1">
      <c r="A187" s="111" t="str">
        <f ca="1">IF(NOZZLES[[#This Row],[PRODUCT]] &lt;&gt; "", IF(ROW() = 2, "000", TEXT(INDIRECT("A" &amp; ROW() - 1) + 1, "000")), "")</f>
        <v/>
      </c>
      <c r="B187" s="102"/>
      <c r="C187" s="17"/>
      <c r="D187" s="102"/>
      <c r="E187" s="48"/>
      <c r="F187" s="48"/>
      <c r="G187" s="49"/>
      <c r="H187" s="49"/>
      <c r="I187" s="49"/>
      <c r="J187" s="100">
        <f>I187 * salesTaxPct</f>
        <v>0</v>
      </c>
      <c r="K187" s="49"/>
      <c r="L187" s="100">
        <f t="shared" si="3"/>
        <v>0</v>
      </c>
      <c r="M187" s="103"/>
      <c r="N187" s="14" t="str">
        <f ca="1">IF(NOZZLES[[#This Row],[ID]] &lt;&gt; "", IF(A187 = "000", A187 &amp; " | None", A187 &amp; " | " &amp; C187 &amp; " | " &amp; D187 &amp; " | " &amp; F187 &amp; "mm"), "")</f>
        <v/>
      </c>
    </row>
    <row r="188" spans="1:14" ht="22.5" customHeight="1">
      <c r="A188" s="111" t="str">
        <f ca="1">IF(NOZZLES[[#This Row],[PRODUCT]] &lt;&gt; "", IF(ROW() = 2, "000", TEXT(INDIRECT("A" &amp; ROW() - 1) + 1, "000")), "")</f>
        <v/>
      </c>
      <c r="B188" s="102"/>
      <c r="C188" s="17"/>
      <c r="D188" s="102"/>
      <c r="E188" s="48"/>
      <c r="F188" s="48"/>
      <c r="G188" s="49"/>
      <c r="H188" s="49"/>
      <c r="I188" s="49"/>
      <c r="J188" s="100">
        <f>I188 * salesTaxPct</f>
        <v>0</v>
      </c>
      <c r="K188" s="49"/>
      <c r="L188" s="100">
        <f t="shared" si="3"/>
        <v>0</v>
      </c>
      <c r="M188" s="103"/>
      <c r="N188" s="14" t="str">
        <f ca="1">IF(NOZZLES[[#This Row],[ID]] &lt;&gt; "", IF(A188 = "000", A188 &amp; " | None", A188 &amp; " | " &amp; C188 &amp; " | " &amp; D188 &amp; " | " &amp; F188 &amp; "mm"), "")</f>
        <v/>
      </c>
    </row>
    <row r="189" spans="1:14" ht="22.5" customHeight="1">
      <c r="A189" s="111" t="str">
        <f ca="1">IF(NOZZLES[[#This Row],[PRODUCT]] &lt;&gt; "", IF(ROW() = 2, "000", TEXT(INDIRECT("A" &amp; ROW() - 1) + 1, "000")), "")</f>
        <v/>
      </c>
      <c r="B189" s="102"/>
      <c r="C189" s="17"/>
      <c r="D189" s="102"/>
      <c r="E189" s="48"/>
      <c r="F189" s="48"/>
      <c r="G189" s="49"/>
      <c r="H189" s="49"/>
      <c r="I189" s="49"/>
      <c r="J189" s="100">
        <f>I189 * salesTaxPct</f>
        <v>0</v>
      </c>
      <c r="K189" s="49"/>
      <c r="L189" s="100">
        <f t="shared" si="3"/>
        <v>0</v>
      </c>
      <c r="M189" s="103"/>
      <c r="N189" s="14" t="str">
        <f ca="1">IF(NOZZLES[[#This Row],[ID]] &lt;&gt; "", IF(A189 = "000", A189 &amp; " | None", A189 &amp; " | " &amp; C189 &amp; " | " &amp; D189 &amp; " | " &amp; F189 &amp; "mm"), "")</f>
        <v/>
      </c>
    </row>
    <row r="190" spans="1:14" ht="22.5" customHeight="1">
      <c r="A190" s="111" t="str">
        <f ca="1">IF(NOZZLES[[#This Row],[PRODUCT]] &lt;&gt; "", IF(ROW() = 2, "000", TEXT(INDIRECT("A" &amp; ROW() - 1) + 1, "000")), "")</f>
        <v/>
      </c>
      <c r="B190" s="102"/>
      <c r="C190" s="17"/>
      <c r="D190" s="102"/>
      <c r="E190" s="48"/>
      <c r="F190" s="48"/>
      <c r="G190" s="49"/>
      <c r="H190" s="49"/>
      <c r="I190" s="49"/>
      <c r="J190" s="100">
        <f>I190 * salesTaxPct</f>
        <v>0</v>
      </c>
      <c r="K190" s="49"/>
      <c r="L190" s="100">
        <f t="shared" si="3"/>
        <v>0</v>
      </c>
      <c r="M190" s="103"/>
      <c r="N190" s="14" t="str">
        <f ca="1">IF(NOZZLES[[#This Row],[ID]] &lt;&gt; "", IF(A190 = "000", A190 &amp; " | None", A190 &amp; " | " &amp; C190 &amp; " | " &amp; D190 &amp; " | " &amp; F190 &amp; "mm"), "")</f>
        <v/>
      </c>
    </row>
    <row r="191" spans="1:14" ht="22.5" customHeight="1">
      <c r="A191" s="111" t="str">
        <f ca="1">IF(NOZZLES[[#This Row],[PRODUCT]] &lt;&gt; "", IF(ROW() = 2, "000", TEXT(INDIRECT("A" &amp; ROW() - 1) + 1, "000")), "")</f>
        <v/>
      </c>
      <c r="B191" s="102"/>
      <c r="C191" s="17"/>
      <c r="D191" s="102"/>
      <c r="E191" s="48"/>
      <c r="F191" s="48"/>
      <c r="G191" s="49"/>
      <c r="H191" s="49"/>
      <c r="I191" s="49"/>
      <c r="J191" s="100">
        <f>I191 * salesTaxPct</f>
        <v>0</v>
      </c>
      <c r="K191" s="49"/>
      <c r="L191" s="100">
        <f t="shared" si="3"/>
        <v>0</v>
      </c>
      <c r="M191" s="103"/>
      <c r="N191" s="14" t="str">
        <f ca="1">IF(NOZZLES[[#This Row],[ID]] &lt;&gt; "", IF(A191 = "000", A191 &amp; " | None", A191 &amp; " | " &amp; C191 &amp; " | " &amp; D191 &amp; " | " &amp; F191 &amp; "mm"), "")</f>
        <v/>
      </c>
    </row>
    <row r="192" spans="1:14" ht="22.5" customHeight="1">
      <c r="A192" s="111" t="str">
        <f ca="1">IF(NOZZLES[[#This Row],[PRODUCT]] &lt;&gt; "", IF(ROW() = 2, "000", TEXT(INDIRECT("A" &amp; ROW() - 1) + 1, "000")), "")</f>
        <v/>
      </c>
      <c r="B192" s="102"/>
      <c r="C192" s="17"/>
      <c r="D192" s="102"/>
      <c r="E192" s="48"/>
      <c r="F192" s="48"/>
      <c r="G192" s="49"/>
      <c r="H192" s="49"/>
      <c r="I192" s="49"/>
      <c r="J192" s="100">
        <f>I192 * salesTaxPct</f>
        <v>0</v>
      </c>
      <c r="K192" s="49"/>
      <c r="L192" s="100">
        <f t="shared" si="3"/>
        <v>0</v>
      </c>
      <c r="M192" s="103"/>
      <c r="N192" s="14" t="str">
        <f ca="1">IF(NOZZLES[[#This Row],[ID]] &lt;&gt; "", IF(A192 = "000", A192 &amp; " | None", A192 &amp; " | " &amp; C192 &amp; " | " &amp; D192 &amp; " | " &amp; F192 &amp; "mm"), "")</f>
        <v/>
      </c>
    </row>
    <row r="193" spans="1:14" ht="22.5" customHeight="1">
      <c r="A193" s="111" t="str">
        <f ca="1">IF(NOZZLES[[#This Row],[PRODUCT]] &lt;&gt; "", IF(ROW() = 2, "000", TEXT(INDIRECT("A" &amp; ROW() - 1) + 1, "000")), "")</f>
        <v/>
      </c>
      <c r="B193" s="102"/>
      <c r="C193" s="17"/>
      <c r="D193" s="102"/>
      <c r="E193" s="48"/>
      <c r="F193" s="48"/>
      <c r="G193" s="49"/>
      <c r="H193" s="49"/>
      <c r="I193" s="49"/>
      <c r="J193" s="100">
        <f>I193 * salesTaxPct</f>
        <v>0</v>
      </c>
      <c r="K193" s="49"/>
      <c r="L193" s="100">
        <f t="shared" si="3"/>
        <v>0</v>
      </c>
      <c r="M193" s="103"/>
      <c r="N193" s="14" t="str">
        <f ca="1">IF(NOZZLES[[#This Row],[ID]] &lt;&gt; "", IF(A193 = "000", A193 &amp; " | None", A193 &amp; " | " &amp; C193 &amp; " | " &amp; D193 &amp; " | " &amp; F193 &amp; "mm"), "")</f>
        <v/>
      </c>
    </row>
    <row r="194" spans="1:14" ht="22.5" customHeight="1">
      <c r="A194" s="111" t="str">
        <f ca="1">IF(NOZZLES[[#This Row],[PRODUCT]] &lt;&gt; "", IF(ROW() = 2, "000", TEXT(INDIRECT("A" &amp; ROW() - 1) + 1, "000")), "")</f>
        <v/>
      </c>
      <c r="B194" s="102"/>
      <c r="C194" s="17"/>
      <c r="D194" s="102"/>
      <c r="E194" s="48"/>
      <c r="F194" s="48"/>
      <c r="G194" s="49"/>
      <c r="H194" s="49"/>
      <c r="I194" s="49"/>
      <c r="J194" s="100">
        <f>I194 * salesTaxPct</f>
        <v>0</v>
      </c>
      <c r="K194" s="49"/>
      <c r="L194" s="100">
        <f t="shared" ref="L194:L257" si="4">I194 + J194 + K194</f>
        <v>0</v>
      </c>
      <c r="M194" s="103"/>
      <c r="N194" s="14" t="str">
        <f ca="1">IF(NOZZLES[[#This Row],[ID]] &lt;&gt; "", IF(A194 = "000", A194 &amp; " | None", A194 &amp; " | " &amp; C194 &amp; " | " &amp; D194 &amp; " | " &amp; F194 &amp; "mm"), "")</f>
        <v/>
      </c>
    </row>
    <row r="195" spans="1:14" ht="22.5" customHeight="1">
      <c r="A195" s="111" t="str">
        <f ca="1">IF(NOZZLES[[#This Row],[PRODUCT]] &lt;&gt; "", IF(ROW() = 2, "000", TEXT(INDIRECT("A" &amp; ROW() - 1) + 1, "000")), "")</f>
        <v/>
      </c>
      <c r="B195" s="102"/>
      <c r="C195" s="17"/>
      <c r="D195" s="102"/>
      <c r="E195" s="48"/>
      <c r="F195" s="48"/>
      <c r="G195" s="49"/>
      <c r="H195" s="49"/>
      <c r="I195" s="49"/>
      <c r="J195" s="100">
        <f>I195 * salesTaxPct</f>
        <v>0</v>
      </c>
      <c r="K195" s="49"/>
      <c r="L195" s="100">
        <f t="shared" si="4"/>
        <v>0</v>
      </c>
      <c r="M195" s="103"/>
      <c r="N195" s="14" t="str">
        <f ca="1">IF(NOZZLES[[#This Row],[ID]] &lt;&gt; "", IF(A195 = "000", A195 &amp; " | None", A195 &amp; " | " &amp; C195 &amp; " | " &amp; D195 &amp; " | " &amp; F195 &amp; "mm"), "")</f>
        <v/>
      </c>
    </row>
    <row r="196" spans="1:14" ht="22.5" customHeight="1">
      <c r="A196" s="111" t="str">
        <f ca="1">IF(NOZZLES[[#This Row],[PRODUCT]] &lt;&gt; "", IF(ROW() = 2, "000", TEXT(INDIRECT("A" &amp; ROW() - 1) + 1, "000")), "")</f>
        <v/>
      </c>
      <c r="B196" s="102"/>
      <c r="C196" s="17"/>
      <c r="D196" s="102"/>
      <c r="E196" s="48"/>
      <c r="F196" s="48"/>
      <c r="G196" s="49"/>
      <c r="H196" s="49"/>
      <c r="I196" s="49"/>
      <c r="J196" s="100">
        <f>I196 * salesTaxPct</f>
        <v>0</v>
      </c>
      <c r="K196" s="49"/>
      <c r="L196" s="100">
        <f t="shared" si="4"/>
        <v>0</v>
      </c>
      <c r="M196" s="103"/>
      <c r="N196" s="14" t="str">
        <f ca="1">IF(NOZZLES[[#This Row],[ID]] &lt;&gt; "", IF(A196 = "000", A196 &amp; " | None", A196 &amp; " | " &amp; C196 &amp; " | " &amp; D196 &amp; " | " &amp; F196 &amp; "mm"), "")</f>
        <v/>
      </c>
    </row>
    <row r="197" spans="1:14" ht="22.5" customHeight="1">
      <c r="A197" s="111" t="str">
        <f ca="1">IF(NOZZLES[[#This Row],[PRODUCT]] &lt;&gt; "", IF(ROW() = 2, "000", TEXT(INDIRECT("A" &amp; ROW() - 1) + 1, "000")), "")</f>
        <v/>
      </c>
      <c r="B197" s="102"/>
      <c r="C197" s="17"/>
      <c r="D197" s="102"/>
      <c r="E197" s="48"/>
      <c r="F197" s="48"/>
      <c r="G197" s="49"/>
      <c r="H197" s="49"/>
      <c r="I197" s="49"/>
      <c r="J197" s="100">
        <f>I197 * salesTaxPct</f>
        <v>0</v>
      </c>
      <c r="K197" s="49"/>
      <c r="L197" s="100">
        <f t="shared" si="4"/>
        <v>0</v>
      </c>
      <c r="M197" s="103"/>
      <c r="N197" s="14" t="str">
        <f ca="1">IF(NOZZLES[[#This Row],[ID]] &lt;&gt; "", IF(A197 = "000", A197 &amp; " | None", A197 &amp; " | " &amp; C197 &amp; " | " &amp; D197 &amp; " | " &amp; F197 &amp; "mm"), "")</f>
        <v/>
      </c>
    </row>
    <row r="198" spans="1:14" ht="22.5" customHeight="1">
      <c r="A198" s="111" t="str">
        <f ca="1">IF(NOZZLES[[#This Row],[PRODUCT]] &lt;&gt; "", IF(ROW() = 2, "000", TEXT(INDIRECT("A" &amp; ROW() - 1) + 1, "000")), "")</f>
        <v/>
      </c>
      <c r="B198" s="102"/>
      <c r="C198" s="17"/>
      <c r="D198" s="102"/>
      <c r="E198" s="48"/>
      <c r="F198" s="48"/>
      <c r="G198" s="49"/>
      <c r="H198" s="49"/>
      <c r="I198" s="49"/>
      <c r="J198" s="100">
        <f>I198 * salesTaxPct</f>
        <v>0</v>
      </c>
      <c r="K198" s="49"/>
      <c r="L198" s="100">
        <f t="shared" si="4"/>
        <v>0</v>
      </c>
      <c r="M198" s="103"/>
      <c r="N198" s="14" t="str">
        <f ca="1">IF(NOZZLES[[#This Row],[ID]] &lt;&gt; "", IF(A198 = "000", A198 &amp; " | None", A198 &amp; " | " &amp; C198 &amp; " | " &amp; D198 &amp; " | " &amp; F198 &amp; "mm"), "")</f>
        <v/>
      </c>
    </row>
    <row r="199" spans="1:14" ht="22.5" customHeight="1">
      <c r="A199" s="111" t="str">
        <f ca="1">IF(NOZZLES[[#This Row],[PRODUCT]] &lt;&gt; "", IF(ROW() = 2, "000", TEXT(INDIRECT("A" &amp; ROW() - 1) + 1, "000")), "")</f>
        <v/>
      </c>
      <c r="B199" s="102"/>
      <c r="C199" s="17"/>
      <c r="D199" s="102"/>
      <c r="E199" s="48"/>
      <c r="F199" s="48"/>
      <c r="G199" s="49"/>
      <c r="H199" s="49"/>
      <c r="I199" s="49"/>
      <c r="J199" s="100">
        <f>I199 * salesTaxPct</f>
        <v>0</v>
      </c>
      <c r="K199" s="49"/>
      <c r="L199" s="100">
        <f t="shared" si="4"/>
        <v>0</v>
      </c>
      <c r="M199" s="103"/>
      <c r="N199" s="14" t="str">
        <f ca="1">IF(NOZZLES[[#This Row],[ID]] &lt;&gt; "", IF(A199 = "000", A199 &amp; " | None", A199 &amp; " | " &amp; C199 &amp; " | " &amp; D199 &amp; " | " &amp; F199 &amp; "mm"), "")</f>
        <v/>
      </c>
    </row>
    <row r="200" spans="1:14" ht="22.5" customHeight="1">
      <c r="A200" s="111" t="str">
        <f ca="1">IF(NOZZLES[[#This Row],[PRODUCT]] &lt;&gt; "", IF(ROW() = 2, "000", TEXT(INDIRECT("A" &amp; ROW() - 1) + 1, "000")), "")</f>
        <v/>
      </c>
      <c r="B200" s="102"/>
      <c r="C200" s="17"/>
      <c r="D200" s="102"/>
      <c r="E200" s="48"/>
      <c r="F200" s="48"/>
      <c r="G200" s="49"/>
      <c r="H200" s="49"/>
      <c r="I200" s="49"/>
      <c r="J200" s="100">
        <f>I200 * salesTaxPct</f>
        <v>0</v>
      </c>
      <c r="K200" s="49"/>
      <c r="L200" s="100">
        <f t="shared" si="4"/>
        <v>0</v>
      </c>
      <c r="M200" s="103"/>
      <c r="N200" s="14" t="str">
        <f ca="1">IF(NOZZLES[[#This Row],[ID]] &lt;&gt; "", IF(A200 = "000", A200 &amp; " | None", A200 &amp; " | " &amp; C200 &amp; " | " &amp; D200 &amp; " | " &amp; F200 &amp; "mm"), "")</f>
        <v/>
      </c>
    </row>
    <row r="201" spans="1:14" ht="22.5" customHeight="1">
      <c r="A201" s="111" t="str">
        <f ca="1">IF(NOZZLES[[#This Row],[PRODUCT]] &lt;&gt; "", IF(ROW() = 2, "000", TEXT(INDIRECT("A" &amp; ROW() - 1) + 1, "000")), "")</f>
        <v/>
      </c>
      <c r="B201" s="102"/>
      <c r="C201" s="17"/>
      <c r="D201" s="102"/>
      <c r="E201" s="48"/>
      <c r="F201" s="48"/>
      <c r="G201" s="49"/>
      <c r="H201" s="49"/>
      <c r="I201" s="49"/>
      <c r="J201" s="100">
        <f>I201 * salesTaxPct</f>
        <v>0</v>
      </c>
      <c r="K201" s="49"/>
      <c r="L201" s="100">
        <f t="shared" si="4"/>
        <v>0</v>
      </c>
      <c r="M201" s="103"/>
      <c r="N201" s="14" t="str">
        <f ca="1">IF(NOZZLES[[#This Row],[ID]] &lt;&gt; "", IF(A201 = "000", A201 &amp; " | None", A201 &amp; " | " &amp; C201 &amp; " | " &amp; D201 &amp; " | " &amp; F201 &amp; "mm"), "")</f>
        <v/>
      </c>
    </row>
    <row r="202" spans="1:14" ht="22.5" customHeight="1">
      <c r="A202" s="111" t="str">
        <f ca="1">IF(NOZZLES[[#This Row],[PRODUCT]] &lt;&gt; "", IF(ROW() = 2, "000", TEXT(INDIRECT("A" &amp; ROW() - 1) + 1, "000")), "")</f>
        <v/>
      </c>
      <c r="B202" s="102"/>
      <c r="C202" s="17"/>
      <c r="D202" s="102"/>
      <c r="E202" s="48"/>
      <c r="F202" s="48"/>
      <c r="G202" s="49"/>
      <c r="H202" s="49"/>
      <c r="I202" s="49"/>
      <c r="J202" s="100">
        <f>I202 * salesTaxPct</f>
        <v>0</v>
      </c>
      <c r="K202" s="49"/>
      <c r="L202" s="100">
        <f t="shared" si="4"/>
        <v>0</v>
      </c>
      <c r="M202" s="103"/>
      <c r="N202" s="14" t="str">
        <f ca="1">IF(NOZZLES[[#This Row],[ID]] &lt;&gt; "", IF(A202 = "000", A202 &amp; " | None", A202 &amp; " | " &amp; C202 &amp; " | " &amp; D202 &amp; " | " &amp; F202 &amp; "mm"), "")</f>
        <v/>
      </c>
    </row>
    <row r="203" spans="1:14" ht="22.5" customHeight="1">
      <c r="A203" s="111" t="str">
        <f ca="1">IF(NOZZLES[[#This Row],[PRODUCT]] &lt;&gt; "", IF(ROW() = 2, "000", TEXT(INDIRECT("A" &amp; ROW() - 1) + 1, "000")), "")</f>
        <v/>
      </c>
      <c r="B203" s="102"/>
      <c r="C203" s="17"/>
      <c r="D203" s="102"/>
      <c r="E203" s="48"/>
      <c r="F203" s="48"/>
      <c r="G203" s="49"/>
      <c r="H203" s="49"/>
      <c r="I203" s="49"/>
      <c r="J203" s="100">
        <f>I203 * salesTaxPct</f>
        <v>0</v>
      </c>
      <c r="K203" s="49"/>
      <c r="L203" s="100">
        <f t="shared" si="4"/>
        <v>0</v>
      </c>
      <c r="M203" s="103"/>
      <c r="N203" s="14" t="str">
        <f ca="1">IF(NOZZLES[[#This Row],[ID]] &lt;&gt; "", IF(A203 = "000", A203 &amp; " | None", A203 &amp; " | " &amp; C203 &amp; " | " &amp; D203 &amp; " | " &amp; F203 &amp; "mm"), "")</f>
        <v/>
      </c>
    </row>
    <row r="204" spans="1:14" ht="22.5" customHeight="1">
      <c r="A204" s="111" t="str">
        <f ca="1">IF(NOZZLES[[#This Row],[PRODUCT]] &lt;&gt; "", IF(ROW() = 2, "000", TEXT(INDIRECT("A" &amp; ROW() - 1) + 1, "000")), "")</f>
        <v/>
      </c>
      <c r="B204" s="102"/>
      <c r="C204" s="17"/>
      <c r="D204" s="102"/>
      <c r="E204" s="48"/>
      <c r="F204" s="48"/>
      <c r="G204" s="49"/>
      <c r="H204" s="49"/>
      <c r="I204" s="49"/>
      <c r="J204" s="100">
        <f>I204 * salesTaxPct</f>
        <v>0</v>
      </c>
      <c r="K204" s="49"/>
      <c r="L204" s="100">
        <f t="shared" si="4"/>
        <v>0</v>
      </c>
      <c r="M204" s="103"/>
      <c r="N204" s="14" t="str">
        <f ca="1">IF(NOZZLES[[#This Row],[ID]] &lt;&gt; "", IF(A204 = "000", A204 &amp; " | None", A204 &amp; " | " &amp; C204 &amp; " | " &amp; D204 &amp; " | " &amp; F204 &amp; "mm"), "")</f>
        <v/>
      </c>
    </row>
    <row r="205" spans="1:14" ht="22.5" customHeight="1">
      <c r="A205" s="111" t="str">
        <f ca="1">IF(NOZZLES[[#This Row],[PRODUCT]] &lt;&gt; "", IF(ROW() = 2, "000", TEXT(INDIRECT("A" &amp; ROW() - 1) + 1, "000")), "")</f>
        <v/>
      </c>
      <c r="B205" s="102"/>
      <c r="C205" s="17"/>
      <c r="D205" s="102"/>
      <c r="E205" s="48"/>
      <c r="F205" s="48"/>
      <c r="G205" s="49"/>
      <c r="H205" s="49"/>
      <c r="I205" s="49"/>
      <c r="J205" s="100">
        <f>I205 * salesTaxPct</f>
        <v>0</v>
      </c>
      <c r="K205" s="49"/>
      <c r="L205" s="100">
        <f t="shared" si="4"/>
        <v>0</v>
      </c>
      <c r="M205" s="103"/>
      <c r="N205" s="14" t="str">
        <f ca="1">IF(NOZZLES[[#This Row],[ID]] &lt;&gt; "", IF(A205 = "000", A205 &amp; " | None", A205 &amp; " | " &amp; C205 &amp; " | " &amp; D205 &amp; " | " &amp; F205 &amp; "mm"), "")</f>
        <v/>
      </c>
    </row>
    <row r="206" spans="1:14" ht="22.5" customHeight="1">
      <c r="A206" s="111" t="str">
        <f ca="1">IF(NOZZLES[[#This Row],[PRODUCT]] &lt;&gt; "", IF(ROW() = 2, "000", TEXT(INDIRECT("A" &amp; ROW() - 1) + 1, "000")), "")</f>
        <v/>
      </c>
      <c r="B206" s="102"/>
      <c r="C206" s="17"/>
      <c r="D206" s="102"/>
      <c r="E206" s="48"/>
      <c r="F206" s="48"/>
      <c r="G206" s="49"/>
      <c r="H206" s="49"/>
      <c r="I206" s="49"/>
      <c r="J206" s="100">
        <f>I206 * salesTaxPct</f>
        <v>0</v>
      </c>
      <c r="K206" s="49"/>
      <c r="L206" s="100">
        <f t="shared" si="4"/>
        <v>0</v>
      </c>
      <c r="M206" s="103"/>
      <c r="N206" s="14" t="str">
        <f ca="1">IF(NOZZLES[[#This Row],[ID]] &lt;&gt; "", IF(A206 = "000", A206 &amp; " | None", A206 &amp; " | " &amp; C206 &amp; " | " &amp; D206 &amp; " | " &amp; F206 &amp; "mm"), "")</f>
        <v/>
      </c>
    </row>
    <row r="207" spans="1:14" ht="22.5" customHeight="1">
      <c r="A207" s="111" t="str">
        <f ca="1">IF(NOZZLES[[#This Row],[PRODUCT]] &lt;&gt; "", IF(ROW() = 2, "000", TEXT(INDIRECT("A" &amp; ROW() - 1) + 1, "000")), "")</f>
        <v/>
      </c>
      <c r="B207" s="102"/>
      <c r="C207" s="17"/>
      <c r="D207" s="102"/>
      <c r="E207" s="48"/>
      <c r="F207" s="48"/>
      <c r="G207" s="49"/>
      <c r="H207" s="49"/>
      <c r="I207" s="49"/>
      <c r="J207" s="100">
        <f>I207 * salesTaxPct</f>
        <v>0</v>
      </c>
      <c r="K207" s="49"/>
      <c r="L207" s="100">
        <f t="shared" si="4"/>
        <v>0</v>
      </c>
      <c r="M207" s="103"/>
      <c r="N207" s="14" t="str">
        <f ca="1">IF(NOZZLES[[#This Row],[ID]] &lt;&gt; "", IF(A207 = "000", A207 &amp; " | None", A207 &amp; " | " &amp; C207 &amp; " | " &amp; D207 &amp; " | " &amp; F207 &amp; "mm"), "")</f>
        <v/>
      </c>
    </row>
    <row r="208" spans="1:14" ht="22.5" customHeight="1">
      <c r="A208" s="111" t="str">
        <f ca="1">IF(NOZZLES[[#This Row],[PRODUCT]] &lt;&gt; "", IF(ROW() = 2, "000", TEXT(INDIRECT("A" &amp; ROW() - 1) + 1, "000")), "")</f>
        <v/>
      </c>
      <c r="B208" s="102"/>
      <c r="C208" s="17"/>
      <c r="D208" s="102"/>
      <c r="E208" s="48"/>
      <c r="F208" s="48"/>
      <c r="G208" s="49"/>
      <c r="H208" s="49"/>
      <c r="I208" s="49"/>
      <c r="J208" s="100">
        <f>I208 * salesTaxPct</f>
        <v>0</v>
      </c>
      <c r="K208" s="49"/>
      <c r="L208" s="100">
        <f t="shared" si="4"/>
        <v>0</v>
      </c>
      <c r="M208" s="103"/>
      <c r="N208" s="14" t="str">
        <f ca="1">IF(NOZZLES[[#This Row],[ID]] &lt;&gt; "", IF(A208 = "000", A208 &amp; " | None", A208 &amp; " | " &amp; C208 &amp; " | " &amp; D208 &amp; " | " &amp; F208 &amp; "mm"), "")</f>
        <v/>
      </c>
    </row>
    <row r="209" spans="1:14" ht="22.5" customHeight="1">
      <c r="A209" s="111" t="str">
        <f ca="1">IF(NOZZLES[[#This Row],[PRODUCT]] &lt;&gt; "", IF(ROW() = 2, "000", TEXT(INDIRECT("A" &amp; ROW() - 1) + 1, "000")), "")</f>
        <v/>
      </c>
      <c r="B209" s="102"/>
      <c r="C209" s="17"/>
      <c r="D209" s="102"/>
      <c r="E209" s="48"/>
      <c r="F209" s="48"/>
      <c r="G209" s="49"/>
      <c r="H209" s="49"/>
      <c r="I209" s="49"/>
      <c r="J209" s="100">
        <f>I209 * salesTaxPct</f>
        <v>0</v>
      </c>
      <c r="K209" s="49"/>
      <c r="L209" s="100">
        <f t="shared" si="4"/>
        <v>0</v>
      </c>
      <c r="M209" s="103"/>
      <c r="N209" s="14" t="str">
        <f ca="1">IF(NOZZLES[[#This Row],[ID]] &lt;&gt; "", IF(A209 = "000", A209 &amp; " | None", A209 &amp; " | " &amp; C209 &amp; " | " &amp; D209 &amp; " | " &amp; F209 &amp; "mm"), "")</f>
        <v/>
      </c>
    </row>
    <row r="210" spans="1:14" ht="22.5" customHeight="1">
      <c r="A210" s="111" t="str">
        <f ca="1">IF(NOZZLES[[#This Row],[PRODUCT]] &lt;&gt; "", IF(ROW() = 2, "000", TEXT(INDIRECT("A" &amp; ROW() - 1) + 1, "000")), "")</f>
        <v/>
      </c>
      <c r="B210" s="102"/>
      <c r="C210" s="17"/>
      <c r="D210" s="102"/>
      <c r="E210" s="48"/>
      <c r="F210" s="48"/>
      <c r="G210" s="49"/>
      <c r="H210" s="49"/>
      <c r="I210" s="49"/>
      <c r="J210" s="100">
        <f>I210 * salesTaxPct</f>
        <v>0</v>
      </c>
      <c r="K210" s="49"/>
      <c r="L210" s="100">
        <f t="shared" si="4"/>
        <v>0</v>
      </c>
      <c r="M210" s="103"/>
      <c r="N210" s="14" t="str">
        <f ca="1">IF(NOZZLES[[#This Row],[ID]] &lt;&gt; "", IF(A210 = "000", A210 &amp; " | None", A210 &amp; " | " &amp; C210 &amp; " | " &amp; D210 &amp; " | " &amp; F210 &amp; "mm"), "")</f>
        <v/>
      </c>
    </row>
    <row r="211" spans="1:14" ht="22.5" customHeight="1">
      <c r="A211" s="111" t="str">
        <f ca="1">IF(NOZZLES[[#This Row],[PRODUCT]] &lt;&gt; "", IF(ROW() = 2, "000", TEXT(INDIRECT("A" &amp; ROW() - 1) + 1, "000")), "")</f>
        <v/>
      </c>
      <c r="B211" s="102"/>
      <c r="C211" s="17"/>
      <c r="D211" s="102"/>
      <c r="E211" s="48"/>
      <c r="F211" s="48"/>
      <c r="G211" s="49"/>
      <c r="H211" s="49"/>
      <c r="I211" s="49"/>
      <c r="J211" s="100">
        <f>I211 * salesTaxPct</f>
        <v>0</v>
      </c>
      <c r="K211" s="49"/>
      <c r="L211" s="100">
        <f t="shared" si="4"/>
        <v>0</v>
      </c>
      <c r="M211" s="103"/>
      <c r="N211" s="14" t="str">
        <f ca="1">IF(NOZZLES[[#This Row],[ID]] &lt;&gt; "", IF(A211 = "000", A211 &amp; " | None", A211 &amp; " | " &amp; C211 &amp; " | " &amp; D211 &amp; " | " &amp; F211 &amp; "mm"), "")</f>
        <v/>
      </c>
    </row>
    <row r="212" spans="1:14" ht="22.5" customHeight="1">
      <c r="A212" s="111" t="str">
        <f ca="1">IF(NOZZLES[[#This Row],[PRODUCT]] &lt;&gt; "", IF(ROW() = 2, "000", TEXT(INDIRECT("A" &amp; ROW() - 1) + 1, "000")), "")</f>
        <v/>
      </c>
      <c r="B212" s="102"/>
      <c r="C212" s="17"/>
      <c r="D212" s="102"/>
      <c r="E212" s="48"/>
      <c r="F212" s="48"/>
      <c r="G212" s="49"/>
      <c r="H212" s="49"/>
      <c r="I212" s="49"/>
      <c r="J212" s="100">
        <f>I212 * salesTaxPct</f>
        <v>0</v>
      </c>
      <c r="K212" s="49"/>
      <c r="L212" s="100">
        <f t="shared" si="4"/>
        <v>0</v>
      </c>
      <c r="M212" s="103"/>
      <c r="N212" s="14" t="str">
        <f ca="1">IF(NOZZLES[[#This Row],[ID]] &lt;&gt; "", IF(A212 = "000", A212 &amp; " | None", A212 &amp; " | " &amp; C212 &amp; " | " &amp; D212 &amp; " | " &amp; F212 &amp; "mm"), "")</f>
        <v/>
      </c>
    </row>
    <row r="213" spans="1:14" ht="22.5" customHeight="1">
      <c r="A213" s="111" t="str">
        <f ca="1">IF(NOZZLES[[#This Row],[PRODUCT]] &lt;&gt; "", IF(ROW() = 2, "000", TEXT(INDIRECT("A" &amp; ROW() - 1) + 1, "000")), "")</f>
        <v/>
      </c>
      <c r="B213" s="102"/>
      <c r="C213" s="17"/>
      <c r="D213" s="102"/>
      <c r="E213" s="48"/>
      <c r="F213" s="48"/>
      <c r="G213" s="49"/>
      <c r="H213" s="49"/>
      <c r="I213" s="49"/>
      <c r="J213" s="100">
        <f>I213 * salesTaxPct</f>
        <v>0</v>
      </c>
      <c r="K213" s="49"/>
      <c r="L213" s="100">
        <f t="shared" si="4"/>
        <v>0</v>
      </c>
      <c r="M213" s="103"/>
      <c r="N213" s="14" t="str">
        <f ca="1">IF(NOZZLES[[#This Row],[ID]] &lt;&gt; "", IF(A213 = "000", A213 &amp; " | None", A213 &amp; " | " &amp; C213 &amp; " | " &amp; D213 &amp; " | " &amp; F213 &amp; "mm"), "")</f>
        <v/>
      </c>
    </row>
    <row r="214" spans="1:14" ht="22.5" customHeight="1">
      <c r="A214" s="111" t="str">
        <f ca="1">IF(NOZZLES[[#This Row],[PRODUCT]] &lt;&gt; "", IF(ROW() = 2, "000", TEXT(INDIRECT("A" &amp; ROW() - 1) + 1, "000")), "")</f>
        <v/>
      </c>
      <c r="B214" s="102"/>
      <c r="C214" s="17"/>
      <c r="D214" s="102"/>
      <c r="E214" s="48"/>
      <c r="F214" s="48"/>
      <c r="G214" s="49"/>
      <c r="H214" s="49"/>
      <c r="I214" s="49"/>
      <c r="J214" s="100">
        <f>I214 * salesTaxPct</f>
        <v>0</v>
      </c>
      <c r="K214" s="49"/>
      <c r="L214" s="100">
        <f t="shared" si="4"/>
        <v>0</v>
      </c>
      <c r="M214" s="103"/>
      <c r="N214" s="14" t="str">
        <f ca="1">IF(NOZZLES[[#This Row],[ID]] &lt;&gt; "", IF(A214 = "000", A214 &amp; " | None", A214 &amp; " | " &amp; C214 &amp; " | " &amp; D214 &amp; " | " &amp; F214 &amp; "mm"), "")</f>
        <v/>
      </c>
    </row>
    <row r="215" spans="1:14" ht="22.5" customHeight="1">
      <c r="A215" s="111" t="str">
        <f ca="1">IF(NOZZLES[[#This Row],[PRODUCT]] &lt;&gt; "", IF(ROW() = 2, "000", TEXT(INDIRECT("A" &amp; ROW() - 1) + 1, "000")), "")</f>
        <v/>
      </c>
      <c r="B215" s="102"/>
      <c r="C215" s="17"/>
      <c r="D215" s="102"/>
      <c r="E215" s="48"/>
      <c r="F215" s="48"/>
      <c r="G215" s="49"/>
      <c r="H215" s="49"/>
      <c r="I215" s="49"/>
      <c r="J215" s="100">
        <f>I215 * salesTaxPct</f>
        <v>0</v>
      </c>
      <c r="K215" s="49"/>
      <c r="L215" s="100">
        <f t="shared" si="4"/>
        <v>0</v>
      </c>
      <c r="M215" s="103"/>
      <c r="N215" s="14" t="str">
        <f ca="1">IF(NOZZLES[[#This Row],[ID]] &lt;&gt; "", IF(A215 = "000", A215 &amp; " | None", A215 &amp; " | " &amp; C215 &amp; " | " &amp; D215 &amp; " | " &amp; F215 &amp; "mm"), "")</f>
        <v/>
      </c>
    </row>
    <row r="216" spans="1:14" ht="22.5" customHeight="1">
      <c r="A216" s="111" t="str">
        <f ca="1">IF(NOZZLES[[#This Row],[PRODUCT]] &lt;&gt; "", IF(ROW() = 2, "000", TEXT(INDIRECT("A" &amp; ROW() - 1) + 1, "000")), "")</f>
        <v/>
      </c>
      <c r="B216" s="102"/>
      <c r="C216" s="17"/>
      <c r="D216" s="102"/>
      <c r="E216" s="48"/>
      <c r="F216" s="48"/>
      <c r="G216" s="49"/>
      <c r="H216" s="49"/>
      <c r="I216" s="49"/>
      <c r="J216" s="100">
        <f>I216 * salesTaxPct</f>
        <v>0</v>
      </c>
      <c r="K216" s="49"/>
      <c r="L216" s="100">
        <f t="shared" si="4"/>
        <v>0</v>
      </c>
      <c r="M216" s="103"/>
      <c r="N216" s="14" t="str">
        <f ca="1">IF(NOZZLES[[#This Row],[ID]] &lt;&gt; "", IF(A216 = "000", A216 &amp; " | None", A216 &amp; " | " &amp; C216 &amp; " | " &amp; D216 &amp; " | " &amp; F216 &amp; "mm"), "")</f>
        <v/>
      </c>
    </row>
    <row r="217" spans="1:14" ht="22.5" customHeight="1">
      <c r="A217" s="111" t="str">
        <f ca="1">IF(NOZZLES[[#This Row],[PRODUCT]] &lt;&gt; "", IF(ROW() = 2, "000", TEXT(INDIRECT("A" &amp; ROW() - 1) + 1, "000")), "")</f>
        <v/>
      </c>
      <c r="B217" s="102"/>
      <c r="C217" s="17"/>
      <c r="D217" s="102"/>
      <c r="E217" s="48"/>
      <c r="F217" s="48"/>
      <c r="G217" s="49"/>
      <c r="H217" s="49"/>
      <c r="I217" s="49"/>
      <c r="J217" s="100">
        <f>I217 * salesTaxPct</f>
        <v>0</v>
      </c>
      <c r="K217" s="49"/>
      <c r="L217" s="100">
        <f t="shared" si="4"/>
        <v>0</v>
      </c>
      <c r="M217" s="103"/>
      <c r="N217" s="14" t="str">
        <f ca="1">IF(NOZZLES[[#This Row],[ID]] &lt;&gt; "", IF(A217 = "000", A217 &amp; " | None", A217 &amp; " | " &amp; C217 &amp; " | " &amp; D217 &amp; " | " &amp; F217 &amp; "mm"), "")</f>
        <v/>
      </c>
    </row>
    <row r="218" spans="1:14" ht="22.5" customHeight="1">
      <c r="A218" s="111" t="str">
        <f ca="1">IF(NOZZLES[[#This Row],[PRODUCT]] &lt;&gt; "", IF(ROW() = 2, "000", TEXT(INDIRECT("A" &amp; ROW() - 1) + 1, "000")), "")</f>
        <v/>
      </c>
      <c r="B218" s="102"/>
      <c r="C218" s="17"/>
      <c r="D218" s="102"/>
      <c r="E218" s="48"/>
      <c r="F218" s="48"/>
      <c r="G218" s="49"/>
      <c r="H218" s="49"/>
      <c r="I218" s="49"/>
      <c r="J218" s="100">
        <f>I218 * salesTaxPct</f>
        <v>0</v>
      </c>
      <c r="K218" s="49"/>
      <c r="L218" s="100">
        <f t="shared" si="4"/>
        <v>0</v>
      </c>
      <c r="M218" s="103"/>
      <c r="N218" s="14" t="str">
        <f ca="1">IF(NOZZLES[[#This Row],[ID]] &lt;&gt; "", IF(A218 = "000", A218 &amp; " | None", A218 &amp; " | " &amp; C218 &amp; " | " &amp; D218 &amp; " | " &amp; F218 &amp; "mm"), "")</f>
        <v/>
      </c>
    </row>
    <row r="219" spans="1:14" ht="22.5" customHeight="1">
      <c r="A219" s="111" t="str">
        <f ca="1">IF(NOZZLES[[#This Row],[PRODUCT]] &lt;&gt; "", IF(ROW() = 2, "000", TEXT(INDIRECT("A" &amp; ROW() - 1) + 1, "000")), "")</f>
        <v/>
      </c>
      <c r="B219" s="102"/>
      <c r="C219" s="17"/>
      <c r="D219" s="102"/>
      <c r="E219" s="48"/>
      <c r="F219" s="48"/>
      <c r="G219" s="49"/>
      <c r="H219" s="49"/>
      <c r="I219" s="49"/>
      <c r="J219" s="100">
        <f>I219 * salesTaxPct</f>
        <v>0</v>
      </c>
      <c r="K219" s="49"/>
      <c r="L219" s="100">
        <f t="shared" si="4"/>
        <v>0</v>
      </c>
      <c r="M219" s="103"/>
      <c r="N219" s="14" t="str">
        <f ca="1">IF(NOZZLES[[#This Row],[ID]] &lt;&gt; "", IF(A219 = "000", A219 &amp; " | None", A219 &amp; " | " &amp; C219 &amp; " | " &amp; D219 &amp; " | " &amp; F219 &amp; "mm"), "")</f>
        <v/>
      </c>
    </row>
    <row r="220" spans="1:14" ht="22.5" customHeight="1">
      <c r="A220" s="111" t="str">
        <f ca="1">IF(NOZZLES[[#This Row],[PRODUCT]] &lt;&gt; "", IF(ROW() = 2, "000", TEXT(INDIRECT("A" &amp; ROW() - 1) + 1, "000")), "")</f>
        <v/>
      </c>
      <c r="B220" s="102"/>
      <c r="C220" s="17"/>
      <c r="D220" s="102"/>
      <c r="E220" s="48"/>
      <c r="F220" s="48"/>
      <c r="G220" s="49"/>
      <c r="H220" s="49"/>
      <c r="I220" s="49"/>
      <c r="J220" s="100">
        <f>I220 * salesTaxPct</f>
        <v>0</v>
      </c>
      <c r="K220" s="49"/>
      <c r="L220" s="100">
        <f t="shared" si="4"/>
        <v>0</v>
      </c>
      <c r="M220" s="103"/>
      <c r="N220" s="14" t="str">
        <f ca="1">IF(NOZZLES[[#This Row],[ID]] &lt;&gt; "", IF(A220 = "000", A220 &amp; " | None", A220 &amp; " | " &amp; C220 &amp; " | " &amp; D220 &amp; " | " &amp; F220 &amp; "mm"), "")</f>
        <v/>
      </c>
    </row>
    <row r="221" spans="1:14" ht="22.5" customHeight="1">
      <c r="A221" s="111" t="str">
        <f ca="1">IF(NOZZLES[[#This Row],[PRODUCT]] &lt;&gt; "", IF(ROW() = 2, "000", TEXT(INDIRECT("A" &amp; ROW() - 1) + 1, "000")), "")</f>
        <v/>
      </c>
      <c r="B221" s="102"/>
      <c r="C221" s="17"/>
      <c r="D221" s="102"/>
      <c r="E221" s="48"/>
      <c r="F221" s="48"/>
      <c r="G221" s="49"/>
      <c r="H221" s="49"/>
      <c r="I221" s="49"/>
      <c r="J221" s="100">
        <f>I221 * salesTaxPct</f>
        <v>0</v>
      </c>
      <c r="K221" s="49"/>
      <c r="L221" s="100">
        <f t="shared" si="4"/>
        <v>0</v>
      </c>
      <c r="M221" s="103"/>
      <c r="N221" s="14" t="str">
        <f ca="1">IF(NOZZLES[[#This Row],[ID]] &lt;&gt; "", IF(A221 = "000", A221 &amp; " | None", A221 &amp; " | " &amp; C221 &amp; " | " &amp; D221 &amp; " | " &amp; F221 &amp; "mm"), "")</f>
        <v/>
      </c>
    </row>
    <row r="222" spans="1:14" ht="22.5" customHeight="1">
      <c r="A222" s="111" t="str">
        <f ca="1">IF(NOZZLES[[#This Row],[PRODUCT]] &lt;&gt; "", IF(ROW() = 2, "000", TEXT(INDIRECT("A" &amp; ROW() - 1) + 1, "000")), "")</f>
        <v/>
      </c>
      <c r="B222" s="102"/>
      <c r="C222" s="17"/>
      <c r="D222" s="102"/>
      <c r="E222" s="48"/>
      <c r="F222" s="48"/>
      <c r="G222" s="49"/>
      <c r="H222" s="49"/>
      <c r="I222" s="49"/>
      <c r="J222" s="100">
        <f>I222 * salesTaxPct</f>
        <v>0</v>
      </c>
      <c r="K222" s="49"/>
      <c r="L222" s="100">
        <f t="shared" si="4"/>
        <v>0</v>
      </c>
      <c r="M222" s="103"/>
      <c r="N222" s="14" t="str">
        <f ca="1">IF(NOZZLES[[#This Row],[ID]] &lt;&gt; "", IF(A222 = "000", A222 &amp; " | None", A222 &amp; " | " &amp; C222 &amp; " | " &amp; D222 &amp; " | " &amp; F222 &amp; "mm"), "")</f>
        <v/>
      </c>
    </row>
    <row r="223" spans="1:14" ht="22.5" customHeight="1">
      <c r="A223" s="111" t="str">
        <f ca="1">IF(NOZZLES[[#This Row],[PRODUCT]] &lt;&gt; "", IF(ROW() = 2, "000", TEXT(INDIRECT("A" &amp; ROW() - 1) + 1, "000")), "")</f>
        <v/>
      </c>
      <c r="B223" s="102"/>
      <c r="C223" s="17"/>
      <c r="D223" s="102"/>
      <c r="E223" s="48"/>
      <c r="F223" s="48"/>
      <c r="G223" s="49"/>
      <c r="H223" s="49"/>
      <c r="I223" s="49"/>
      <c r="J223" s="100">
        <f>I223 * salesTaxPct</f>
        <v>0</v>
      </c>
      <c r="K223" s="49"/>
      <c r="L223" s="100">
        <f t="shared" si="4"/>
        <v>0</v>
      </c>
      <c r="M223" s="103"/>
      <c r="N223" s="14" t="str">
        <f ca="1">IF(NOZZLES[[#This Row],[ID]] &lt;&gt; "", IF(A223 = "000", A223 &amp; " | None", A223 &amp; " | " &amp; C223 &amp; " | " &amp; D223 &amp; " | " &amp; F223 &amp; "mm"), "")</f>
        <v/>
      </c>
    </row>
    <row r="224" spans="1:14" ht="22.5" customHeight="1">
      <c r="A224" s="111" t="str">
        <f ca="1">IF(NOZZLES[[#This Row],[PRODUCT]] &lt;&gt; "", IF(ROW() = 2, "000", TEXT(INDIRECT("A" &amp; ROW() - 1) + 1, "000")), "")</f>
        <v/>
      </c>
      <c r="B224" s="102"/>
      <c r="C224" s="17"/>
      <c r="D224" s="102"/>
      <c r="E224" s="48"/>
      <c r="F224" s="48"/>
      <c r="G224" s="49"/>
      <c r="H224" s="49"/>
      <c r="I224" s="49"/>
      <c r="J224" s="100">
        <f>I224 * salesTaxPct</f>
        <v>0</v>
      </c>
      <c r="K224" s="49"/>
      <c r="L224" s="100">
        <f t="shared" si="4"/>
        <v>0</v>
      </c>
      <c r="M224" s="103"/>
      <c r="N224" s="14" t="str">
        <f ca="1">IF(NOZZLES[[#This Row],[ID]] &lt;&gt; "", IF(A224 = "000", A224 &amp; " | None", A224 &amp; " | " &amp; C224 &amp; " | " &amp; D224 &amp; " | " &amp; F224 &amp; "mm"), "")</f>
        <v/>
      </c>
    </row>
    <row r="225" spans="1:14" ht="22.5" customHeight="1">
      <c r="A225" s="111" t="str">
        <f ca="1">IF(NOZZLES[[#This Row],[PRODUCT]] &lt;&gt; "", IF(ROW() = 2, "000", TEXT(INDIRECT("A" &amp; ROW() - 1) + 1, "000")), "")</f>
        <v/>
      </c>
      <c r="B225" s="102"/>
      <c r="C225" s="17"/>
      <c r="D225" s="102"/>
      <c r="E225" s="48"/>
      <c r="F225" s="48"/>
      <c r="G225" s="49"/>
      <c r="H225" s="49"/>
      <c r="I225" s="49"/>
      <c r="J225" s="100">
        <f>I225 * salesTaxPct</f>
        <v>0</v>
      </c>
      <c r="K225" s="49"/>
      <c r="L225" s="100">
        <f t="shared" si="4"/>
        <v>0</v>
      </c>
      <c r="M225" s="103"/>
      <c r="N225" s="14" t="str">
        <f ca="1">IF(NOZZLES[[#This Row],[ID]] &lt;&gt; "", IF(A225 = "000", A225 &amp; " | None", A225 &amp; " | " &amp; C225 &amp; " | " &amp; D225 &amp; " | " &amp; F225 &amp; "mm"), "")</f>
        <v/>
      </c>
    </row>
    <row r="226" spans="1:14" ht="22.5" customHeight="1">
      <c r="A226" s="111" t="str">
        <f ca="1">IF(NOZZLES[[#This Row],[PRODUCT]] &lt;&gt; "", IF(ROW() = 2, "000", TEXT(INDIRECT("A" &amp; ROW() - 1) + 1, "000")), "")</f>
        <v/>
      </c>
      <c r="B226" s="102"/>
      <c r="C226" s="17"/>
      <c r="D226" s="102"/>
      <c r="E226" s="48"/>
      <c r="F226" s="48"/>
      <c r="G226" s="49"/>
      <c r="H226" s="49"/>
      <c r="I226" s="49"/>
      <c r="J226" s="100">
        <f>I226 * salesTaxPct</f>
        <v>0</v>
      </c>
      <c r="K226" s="49"/>
      <c r="L226" s="100">
        <f t="shared" si="4"/>
        <v>0</v>
      </c>
      <c r="M226" s="103"/>
      <c r="N226" s="14" t="str">
        <f ca="1">IF(NOZZLES[[#This Row],[ID]] &lt;&gt; "", IF(A226 = "000", A226 &amp; " | None", A226 &amp; " | " &amp; C226 &amp; " | " &amp; D226 &amp; " | " &amp; F226 &amp; "mm"), "")</f>
        <v/>
      </c>
    </row>
    <row r="227" spans="1:14" ht="22.5" customHeight="1">
      <c r="A227" s="111" t="str">
        <f ca="1">IF(NOZZLES[[#This Row],[PRODUCT]] &lt;&gt; "", IF(ROW() = 2, "000", TEXT(INDIRECT("A" &amp; ROW() - 1) + 1, "000")), "")</f>
        <v/>
      </c>
      <c r="B227" s="102"/>
      <c r="C227" s="17"/>
      <c r="D227" s="102"/>
      <c r="E227" s="48"/>
      <c r="F227" s="48"/>
      <c r="G227" s="49"/>
      <c r="H227" s="49"/>
      <c r="I227" s="49"/>
      <c r="J227" s="100">
        <f>I227 * salesTaxPct</f>
        <v>0</v>
      </c>
      <c r="K227" s="49"/>
      <c r="L227" s="100">
        <f t="shared" si="4"/>
        <v>0</v>
      </c>
      <c r="M227" s="103"/>
      <c r="N227" s="14" t="str">
        <f ca="1">IF(NOZZLES[[#This Row],[ID]] &lt;&gt; "", IF(A227 = "000", A227 &amp; " | None", A227 &amp; " | " &amp; C227 &amp; " | " &amp; D227 &amp; " | " &amp; F227 &amp; "mm"), "")</f>
        <v/>
      </c>
    </row>
    <row r="228" spans="1:14" ht="22.5" customHeight="1">
      <c r="A228" s="111" t="str">
        <f ca="1">IF(NOZZLES[[#This Row],[PRODUCT]] &lt;&gt; "", IF(ROW() = 2, "000", TEXT(INDIRECT("A" &amp; ROW() - 1) + 1, "000")), "")</f>
        <v/>
      </c>
      <c r="B228" s="102"/>
      <c r="C228" s="17"/>
      <c r="D228" s="102"/>
      <c r="E228" s="48"/>
      <c r="F228" s="48"/>
      <c r="G228" s="49"/>
      <c r="H228" s="49"/>
      <c r="I228" s="49"/>
      <c r="J228" s="100">
        <f>I228 * salesTaxPct</f>
        <v>0</v>
      </c>
      <c r="K228" s="49"/>
      <c r="L228" s="100">
        <f t="shared" si="4"/>
        <v>0</v>
      </c>
      <c r="M228" s="103"/>
      <c r="N228" s="14" t="str">
        <f ca="1">IF(NOZZLES[[#This Row],[ID]] &lt;&gt; "", IF(A228 = "000", A228 &amp; " | None", A228 &amp; " | " &amp; C228 &amp; " | " &amp; D228 &amp; " | " &amp; F228 &amp; "mm"), "")</f>
        <v/>
      </c>
    </row>
    <row r="229" spans="1:14" ht="22.5" customHeight="1">
      <c r="A229" s="111" t="str">
        <f ca="1">IF(NOZZLES[[#This Row],[PRODUCT]] &lt;&gt; "", IF(ROW() = 2, "000", TEXT(INDIRECT("A" &amp; ROW() - 1) + 1, "000")), "")</f>
        <v/>
      </c>
      <c r="B229" s="102"/>
      <c r="C229" s="17"/>
      <c r="D229" s="102"/>
      <c r="E229" s="48"/>
      <c r="F229" s="48"/>
      <c r="G229" s="49"/>
      <c r="H229" s="49"/>
      <c r="I229" s="49"/>
      <c r="J229" s="100">
        <f>I229 * salesTaxPct</f>
        <v>0</v>
      </c>
      <c r="K229" s="49"/>
      <c r="L229" s="100">
        <f t="shared" si="4"/>
        <v>0</v>
      </c>
      <c r="M229" s="103"/>
      <c r="N229" s="14" t="str">
        <f ca="1">IF(NOZZLES[[#This Row],[ID]] &lt;&gt; "", IF(A229 = "000", A229 &amp; " | None", A229 &amp; " | " &amp; C229 &amp; " | " &amp; D229 &amp; " | " &amp; F229 &amp; "mm"), "")</f>
        <v/>
      </c>
    </row>
    <row r="230" spans="1:14" ht="22.5" customHeight="1">
      <c r="A230" s="111" t="str">
        <f ca="1">IF(NOZZLES[[#This Row],[PRODUCT]] &lt;&gt; "", IF(ROW() = 2, "000", TEXT(INDIRECT("A" &amp; ROW() - 1) + 1, "000")), "")</f>
        <v/>
      </c>
      <c r="B230" s="102"/>
      <c r="C230" s="17"/>
      <c r="D230" s="102"/>
      <c r="E230" s="48"/>
      <c r="F230" s="48"/>
      <c r="G230" s="49"/>
      <c r="H230" s="49"/>
      <c r="I230" s="49"/>
      <c r="J230" s="100">
        <f>I230 * salesTaxPct</f>
        <v>0</v>
      </c>
      <c r="K230" s="49"/>
      <c r="L230" s="100">
        <f t="shared" si="4"/>
        <v>0</v>
      </c>
      <c r="M230" s="103"/>
      <c r="N230" s="14" t="str">
        <f ca="1">IF(NOZZLES[[#This Row],[ID]] &lt;&gt; "", IF(A230 = "000", A230 &amp; " | None", A230 &amp; " | " &amp; C230 &amp; " | " &amp; D230 &amp; " | " &amp; F230 &amp; "mm"), "")</f>
        <v/>
      </c>
    </row>
    <row r="231" spans="1:14" ht="22.5" customHeight="1">
      <c r="A231" s="111" t="str">
        <f ca="1">IF(NOZZLES[[#This Row],[PRODUCT]] &lt;&gt; "", IF(ROW() = 2, "000", TEXT(INDIRECT("A" &amp; ROW() - 1) + 1, "000")), "")</f>
        <v/>
      </c>
      <c r="B231" s="102"/>
      <c r="C231" s="17"/>
      <c r="D231" s="102"/>
      <c r="E231" s="48"/>
      <c r="F231" s="48"/>
      <c r="G231" s="49"/>
      <c r="H231" s="49"/>
      <c r="I231" s="49"/>
      <c r="J231" s="100">
        <f>I231 * salesTaxPct</f>
        <v>0</v>
      </c>
      <c r="K231" s="49"/>
      <c r="L231" s="100">
        <f t="shared" si="4"/>
        <v>0</v>
      </c>
      <c r="M231" s="103"/>
      <c r="N231" s="14" t="str">
        <f ca="1">IF(NOZZLES[[#This Row],[ID]] &lt;&gt; "", IF(A231 = "000", A231 &amp; " | None", A231 &amp; " | " &amp; C231 &amp; " | " &amp; D231 &amp; " | " &amp; F231 &amp; "mm"), "")</f>
        <v/>
      </c>
    </row>
    <row r="232" spans="1:14" ht="22.5" customHeight="1">
      <c r="A232" s="111" t="str">
        <f ca="1">IF(NOZZLES[[#This Row],[PRODUCT]] &lt;&gt; "", IF(ROW() = 2, "000", TEXT(INDIRECT("A" &amp; ROW() - 1) + 1, "000")), "")</f>
        <v/>
      </c>
      <c r="B232" s="102"/>
      <c r="C232" s="17"/>
      <c r="D232" s="102"/>
      <c r="E232" s="48"/>
      <c r="F232" s="48"/>
      <c r="G232" s="49"/>
      <c r="H232" s="49"/>
      <c r="I232" s="49"/>
      <c r="J232" s="100">
        <f>I232 * salesTaxPct</f>
        <v>0</v>
      </c>
      <c r="K232" s="49"/>
      <c r="L232" s="100">
        <f t="shared" si="4"/>
        <v>0</v>
      </c>
      <c r="M232" s="103"/>
      <c r="N232" s="14" t="str">
        <f ca="1">IF(NOZZLES[[#This Row],[ID]] &lt;&gt; "", IF(A232 = "000", A232 &amp; " | None", A232 &amp; " | " &amp; C232 &amp; " | " &amp; D232 &amp; " | " &amp; F232 &amp; "mm"), "")</f>
        <v/>
      </c>
    </row>
    <row r="233" spans="1:14" ht="22.5" customHeight="1">
      <c r="A233" s="111" t="str">
        <f ca="1">IF(NOZZLES[[#This Row],[PRODUCT]] &lt;&gt; "", IF(ROW() = 2, "000", TEXT(INDIRECT("A" &amp; ROW() - 1) + 1, "000")), "")</f>
        <v/>
      </c>
      <c r="B233" s="102"/>
      <c r="C233" s="17"/>
      <c r="D233" s="102"/>
      <c r="E233" s="48"/>
      <c r="F233" s="48"/>
      <c r="G233" s="49"/>
      <c r="H233" s="49"/>
      <c r="I233" s="49"/>
      <c r="J233" s="100">
        <f>I233 * salesTaxPct</f>
        <v>0</v>
      </c>
      <c r="K233" s="49"/>
      <c r="L233" s="100">
        <f t="shared" si="4"/>
        <v>0</v>
      </c>
      <c r="M233" s="103"/>
      <c r="N233" s="14" t="str">
        <f ca="1">IF(NOZZLES[[#This Row],[ID]] &lt;&gt; "", IF(A233 = "000", A233 &amp; " | None", A233 &amp; " | " &amp; C233 &amp; " | " &amp; D233 &amp; " | " &amp; F233 &amp; "mm"), "")</f>
        <v/>
      </c>
    </row>
    <row r="234" spans="1:14" ht="22.5" customHeight="1">
      <c r="A234" s="111" t="str">
        <f ca="1">IF(NOZZLES[[#This Row],[PRODUCT]] &lt;&gt; "", IF(ROW() = 2, "000", TEXT(INDIRECT("A" &amp; ROW() - 1) + 1, "000")), "")</f>
        <v/>
      </c>
      <c r="B234" s="102"/>
      <c r="C234" s="17"/>
      <c r="D234" s="102"/>
      <c r="E234" s="48"/>
      <c r="F234" s="48"/>
      <c r="G234" s="49"/>
      <c r="H234" s="49"/>
      <c r="I234" s="49"/>
      <c r="J234" s="100">
        <f>I234 * salesTaxPct</f>
        <v>0</v>
      </c>
      <c r="K234" s="49"/>
      <c r="L234" s="100">
        <f t="shared" si="4"/>
        <v>0</v>
      </c>
      <c r="M234" s="103"/>
      <c r="N234" s="14" t="str">
        <f ca="1">IF(NOZZLES[[#This Row],[ID]] &lt;&gt; "", IF(A234 = "000", A234 &amp; " | None", A234 &amp; " | " &amp; C234 &amp; " | " &amp; D234 &amp; " | " &amp; F234 &amp; "mm"), "")</f>
        <v/>
      </c>
    </row>
    <row r="235" spans="1:14" ht="22.5" customHeight="1">
      <c r="A235" s="111" t="str">
        <f ca="1">IF(NOZZLES[[#This Row],[PRODUCT]] &lt;&gt; "", IF(ROW() = 2, "000", TEXT(INDIRECT("A" &amp; ROW() - 1) + 1, "000")), "")</f>
        <v/>
      </c>
      <c r="B235" s="102"/>
      <c r="C235" s="17"/>
      <c r="D235" s="102"/>
      <c r="E235" s="48"/>
      <c r="F235" s="48"/>
      <c r="G235" s="49"/>
      <c r="H235" s="49"/>
      <c r="I235" s="49"/>
      <c r="J235" s="100">
        <f>I235 * salesTaxPct</f>
        <v>0</v>
      </c>
      <c r="K235" s="49"/>
      <c r="L235" s="100">
        <f t="shared" si="4"/>
        <v>0</v>
      </c>
      <c r="M235" s="103"/>
      <c r="N235" s="14" t="str">
        <f ca="1">IF(NOZZLES[[#This Row],[ID]] &lt;&gt; "", IF(A235 = "000", A235 &amp; " | None", A235 &amp; " | " &amp; C235 &amp; " | " &amp; D235 &amp; " | " &amp; F235 &amp; "mm"), "")</f>
        <v/>
      </c>
    </row>
    <row r="236" spans="1:14" ht="22.5" customHeight="1">
      <c r="A236" s="111" t="str">
        <f ca="1">IF(NOZZLES[[#This Row],[PRODUCT]] &lt;&gt; "", IF(ROW() = 2, "000", TEXT(INDIRECT("A" &amp; ROW() - 1) + 1, "000")), "")</f>
        <v/>
      </c>
      <c r="B236" s="102"/>
      <c r="C236" s="17"/>
      <c r="D236" s="102"/>
      <c r="E236" s="48"/>
      <c r="F236" s="48"/>
      <c r="G236" s="49"/>
      <c r="H236" s="49"/>
      <c r="I236" s="49"/>
      <c r="J236" s="100">
        <f>I236 * salesTaxPct</f>
        <v>0</v>
      </c>
      <c r="K236" s="49"/>
      <c r="L236" s="100">
        <f t="shared" si="4"/>
        <v>0</v>
      </c>
      <c r="M236" s="103"/>
      <c r="N236" s="14" t="str">
        <f ca="1">IF(NOZZLES[[#This Row],[ID]] &lt;&gt; "", IF(A236 = "000", A236 &amp; " | None", A236 &amp; " | " &amp; C236 &amp; " | " &amp; D236 &amp; " | " &amp; F236 &amp; "mm"), "")</f>
        <v/>
      </c>
    </row>
    <row r="237" spans="1:14" ht="22.5" customHeight="1">
      <c r="A237" s="111" t="str">
        <f ca="1">IF(NOZZLES[[#This Row],[PRODUCT]] &lt;&gt; "", IF(ROW() = 2, "000", TEXT(INDIRECT("A" &amp; ROW() - 1) + 1, "000")), "")</f>
        <v/>
      </c>
      <c r="B237" s="102"/>
      <c r="C237" s="17"/>
      <c r="D237" s="102"/>
      <c r="E237" s="48"/>
      <c r="F237" s="48"/>
      <c r="G237" s="49"/>
      <c r="H237" s="49"/>
      <c r="I237" s="49"/>
      <c r="J237" s="100">
        <f>I237 * salesTaxPct</f>
        <v>0</v>
      </c>
      <c r="K237" s="49"/>
      <c r="L237" s="100">
        <f t="shared" si="4"/>
        <v>0</v>
      </c>
      <c r="M237" s="103"/>
      <c r="N237" s="14" t="str">
        <f ca="1">IF(NOZZLES[[#This Row],[ID]] &lt;&gt; "", IF(A237 = "000", A237 &amp; " | None", A237 &amp; " | " &amp; C237 &amp; " | " &amp; D237 &amp; " | " &amp; F237 &amp; "mm"), "")</f>
        <v/>
      </c>
    </row>
    <row r="238" spans="1:14" ht="22.5" customHeight="1">
      <c r="A238" s="111" t="str">
        <f ca="1">IF(NOZZLES[[#This Row],[PRODUCT]] &lt;&gt; "", IF(ROW() = 2, "000", TEXT(INDIRECT("A" &amp; ROW() - 1) + 1, "000")), "")</f>
        <v/>
      </c>
      <c r="B238" s="102"/>
      <c r="C238" s="17"/>
      <c r="D238" s="102"/>
      <c r="E238" s="48"/>
      <c r="F238" s="48"/>
      <c r="G238" s="49"/>
      <c r="H238" s="49"/>
      <c r="I238" s="49"/>
      <c r="J238" s="100">
        <f>I238 * salesTaxPct</f>
        <v>0</v>
      </c>
      <c r="K238" s="49"/>
      <c r="L238" s="100">
        <f t="shared" si="4"/>
        <v>0</v>
      </c>
      <c r="M238" s="103"/>
      <c r="N238" s="14" t="str">
        <f ca="1">IF(NOZZLES[[#This Row],[ID]] &lt;&gt; "", IF(A238 = "000", A238 &amp; " | None", A238 &amp; " | " &amp; C238 &amp; " | " &amp; D238 &amp; " | " &amp; F238 &amp; "mm"), "")</f>
        <v/>
      </c>
    </row>
    <row r="239" spans="1:14" ht="22.5" customHeight="1">
      <c r="A239" s="111" t="str">
        <f ca="1">IF(NOZZLES[[#This Row],[PRODUCT]] &lt;&gt; "", IF(ROW() = 2, "000", TEXT(INDIRECT("A" &amp; ROW() - 1) + 1, "000")), "")</f>
        <v/>
      </c>
      <c r="B239" s="102"/>
      <c r="C239" s="17"/>
      <c r="D239" s="102"/>
      <c r="E239" s="48"/>
      <c r="F239" s="48"/>
      <c r="G239" s="49"/>
      <c r="H239" s="49"/>
      <c r="I239" s="49"/>
      <c r="J239" s="100">
        <f>I239 * salesTaxPct</f>
        <v>0</v>
      </c>
      <c r="K239" s="49"/>
      <c r="L239" s="100">
        <f t="shared" si="4"/>
        <v>0</v>
      </c>
      <c r="M239" s="103"/>
      <c r="N239" s="14" t="str">
        <f ca="1">IF(NOZZLES[[#This Row],[ID]] &lt;&gt; "", IF(A239 = "000", A239 &amp; " | None", A239 &amp; " | " &amp; C239 &amp; " | " &amp; D239 &amp; " | " &amp; F239 &amp; "mm"), "")</f>
        <v/>
      </c>
    </row>
    <row r="240" spans="1:14" ht="22.5" customHeight="1">
      <c r="A240" s="111" t="str">
        <f ca="1">IF(NOZZLES[[#This Row],[PRODUCT]] &lt;&gt; "", IF(ROW() = 2, "000", TEXT(INDIRECT("A" &amp; ROW() - 1) + 1, "000")), "")</f>
        <v/>
      </c>
      <c r="B240" s="102"/>
      <c r="C240" s="17"/>
      <c r="D240" s="102"/>
      <c r="E240" s="48"/>
      <c r="F240" s="48"/>
      <c r="G240" s="49"/>
      <c r="H240" s="49"/>
      <c r="I240" s="49"/>
      <c r="J240" s="100">
        <f>I240 * salesTaxPct</f>
        <v>0</v>
      </c>
      <c r="K240" s="49"/>
      <c r="L240" s="100">
        <f t="shared" si="4"/>
        <v>0</v>
      </c>
      <c r="M240" s="103"/>
      <c r="N240" s="14" t="str">
        <f ca="1">IF(NOZZLES[[#This Row],[ID]] &lt;&gt; "", IF(A240 = "000", A240 &amp; " | None", A240 &amp; " | " &amp; C240 &amp; " | " &amp; D240 &amp; " | " &amp; F240 &amp; "mm"), "")</f>
        <v/>
      </c>
    </row>
    <row r="241" spans="1:14" ht="22.5" customHeight="1">
      <c r="A241" s="111" t="str">
        <f ca="1">IF(NOZZLES[[#This Row],[PRODUCT]] &lt;&gt; "", IF(ROW() = 2, "000", TEXT(INDIRECT("A" &amp; ROW() - 1) + 1, "000")), "")</f>
        <v/>
      </c>
      <c r="B241" s="102"/>
      <c r="C241" s="17"/>
      <c r="D241" s="102"/>
      <c r="E241" s="48"/>
      <c r="F241" s="48"/>
      <c r="G241" s="49"/>
      <c r="H241" s="49"/>
      <c r="I241" s="49"/>
      <c r="J241" s="100">
        <f>I241 * salesTaxPct</f>
        <v>0</v>
      </c>
      <c r="K241" s="49"/>
      <c r="L241" s="100">
        <f t="shared" si="4"/>
        <v>0</v>
      </c>
      <c r="M241" s="103"/>
      <c r="N241" s="14" t="str">
        <f ca="1">IF(NOZZLES[[#This Row],[ID]] &lt;&gt; "", IF(A241 = "000", A241 &amp; " | None", A241 &amp; " | " &amp; C241 &amp; " | " &amp; D241 &amp; " | " &amp; F241 &amp; "mm"), "")</f>
        <v/>
      </c>
    </row>
    <row r="242" spans="1:14" ht="22.5" customHeight="1">
      <c r="A242" s="111" t="str">
        <f ca="1">IF(NOZZLES[[#This Row],[PRODUCT]] &lt;&gt; "", IF(ROW() = 2, "000", TEXT(INDIRECT("A" &amp; ROW() - 1) + 1, "000")), "")</f>
        <v/>
      </c>
      <c r="B242" s="102"/>
      <c r="C242" s="17"/>
      <c r="D242" s="102"/>
      <c r="E242" s="48"/>
      <c r="F242" s="48"/>
      <c r="G242" s="49"/>
      <c r="H242" s="49"/>
      <c r="I242" s="49"/>
      <c r="J242" s="100">
        <f>I242 * salesTaxPct</f>
        <v>0</v>
      </c>
      <c r="K242" s="49"/>
      <c r="L242" s="100">
        <f t="shared" si="4"/>
        <v>0</v>
      </c>
      <c r="M242" s="103"/>
      <c r="N242" s="14" t="str">
        <f ca="1">IF(NOZZLES[[#This Row],[ID]] &lt;&gt; "", IF(A242 = "000", A242 &amp; " | None", A242 &amp; " | " &amp; C242 &amp; " | " &amp; D242 &amp; " | " &amp; F242 &amp; "mm"), "")</f>
        <v/>
      </c>
    </row>
    <row r="243" spans="1:14" ht="22.5" customHeight="1">
      <c r="A243" s="111" t="str">
        <f ca="1">IF(NOZZLES[[#This Row],[PRODUCT]] &lt;&gt; "", IF(ROW() = 2, "000", TEXT(INDIRECT("A" &amp; ROW() - 1) + 1, "000")), "")</f>
        <v/>
      </c>
      <c r="B243" s="102"/>
      <c r="C243" s="17"/>
      <c r="D243" s="102"/>
      <c r="E243" s="48"/>
      <c r="F243" s="48"/>
      <c r="G243" s="49"/>
      <c r="H243" s="49"/>
      <c r="I243" s="49"/>
      <c r="J243" s="100">
        <f>I243 * salesTaxPct</f>
        <v>0</v>
      </c>
      <c r="K243" s="49"/>
      <c r="L243" s="100">
        <f t="shared" si="4"/>
        <v>0</v>
      </c>
      <c r="M243" s="103"/>
      <c r="N243" s="14" t="str">
        <f ca="1">IF(NOZZLES[[#This Row],[ID]] &lt;&gt; "", IF(A243 = "000", A243 &amp; " | None", A243 &amp; " | " &amp; C243 &amp; " | " &amp; D243 &amp; " | " &amp; F243 &amp; "mm"), "")</f>
        <v/>
      </c>
    </row>
    <row r="244" spans="1:14" ht="22.5" customHeight="1">
      <c r="A244" s="111" t="str">
        <f ca="1">IF(NOZZLES[[#This Row],[PRODUCT]] &lt;&gt; "", IF(ROW() = 2, "000", TEXT(INDIRECT("A" &amp; ROW() - 1) + 1, "000")), "")</f>
        <v/>
      </c>
      <c r="B244" s="102"/>
      <c r="C244" s="17"/>
      <c r="D244" s="102"/>
      <c r="E244" s="48"/>
      <c r="F244" s="48"/>
      <c r="G244" s="49"/>
      <c r="H244" s="49"/>
      <c r="I244" s="49"/>
      <c r="J244" s="100">
        <f>I244 * salesTaxPct</f>
        <v>0</v>
      </c>
      <c r="K244" s="49"/>
      <c r="L244" s="100">
        <f t="shared" si="4"/>
        <v>0</v>
      </c>
      <c r="M244" s="103"/>
      <c r="N244" s="14" t="str">
        <f ca="1">IF(NOZZLES[[#This Row],[ID]] &lt;&gt; "", IF(A244 = "000", A244 &amp; " | None", A244 &amp; " | " &amp; C244 &amp; " | " &amp; D244 &amp; " | " &amp; F244 &amp; "mm"), "")</f>
        <v/>
      </c>
    </row>
    <row r="245" spans="1:14" ht="22.5" customHeight="1">
      <c r="A245" s="111" t="str">
        <f ca="1">IF(NOZZLES[[#This Row],[PRODUCT]] &lt;&gt; "", IF(ROW() = 2, "000", TEXT(INDIRECT("A" &amp; ROW() - 1) + 1, "000")), "")</f>
        <v/>
      </c>
      <c r="B245" s="102"/>
      <c r="C245" s="17"/>
      <c r="D245" s="102"/>
      <c r="E245" s="48"/>
      <c r="F245" s="48"/>
      <c r="G245" s="49"/>
      <c r="H245" s="49"/>
      <c r="I245" s="49"/>
      <c r="J245" s="100">
        <f>I245 * salesTaxPct</f>
        <v>0</v>
      </c>
      <c r="K245" s="49"/>
      <c r="L245" s="100">
        <f t="shared" si="4"/>
        <v>0</v>
      </c>
      <c r="M245" s="103"/>
      <c r="N245" s="14" t="str">
        <f ca="1">IF(NOZZLES[[#This Row],[ID]] &lt;&gt; "", IF(A245 = "000", A245 &amp; " | None", A245 &amp; " | " &amp; C245 &amp; " | " &amp; D245 &amp; " | " &amp; F245 &amp; "mm"), "")</f>
        <v/>
      </c>
    </row>
    <row r="246" spans="1:14" ht="22.5" customHeight="1">
      <c r="A246" s="111" t="str">
        <f ca="1">IF(NOZZLES[[#This Row],[PRODUCT]] &lt;&gt; "", IF(ROW() = 2, "000", TEXT(INDIRECT("A" &amp; ROW() - 1) + 1, "000")), "")</f>
        <v/>
      </c>
      <c r="B246" s="102"/>
      <c r="C246" s="17"/>
      <c r="D246" s="102"/>
      <c r="E246" s="48"/>
      <c r="F246" s="48"/>
      <c r="G246" s="49"/>
      <c r="H246" s="49"/>
      <c r="I246" s="49"/>
      <c r="J246" s="100">
        <f>I246 * salesTaxPct</f>
        <v>0</v>
      </c>
      <c r="K246" s="49"/>
      <c r="L246" s="100">
        <f t="shared" si="4"/>
        <v>0</v>
      </c>
      <c r="M246" s="103"/>
      <c r="N246" s="14" t="str">
        <f ca="1">IF(NOZZLES[[#This Row],[ID]] &lt;&gt; "", IF(A246 = "000", A246 &amp; " | None", A246 &amp; " | " &amp; C246 &amp; " | " &amp; D246 &amp; " | " &amp; F246 &amp; "mm"), "")</f>
        <v/>
      </c>
    </row>
    <row r="247" spans="1:14" ht="22.5" customHeight="1">
      <c r="A247" s="111" t="str">
        <f ca="1">IF(NOZZLES[[#This Row],[PRODUCT]] &lt;&gt; "", IF(ROW() = 2, "000", TEXT(INDIRECT("A" &amp; ROW() - 1) + 1, "000")), "")</f>
        <v/>
      </c>
      <c r="B247" s="102"/>
      <c r="C247" s="17"/>
      <c r="D247" s="102"/>
      <c r="E247" s="48"/>
      <c r="F247" s="48"/>
      <c r="G247" s="49"/>
      <c r="H247" s="49"/>
      <c r="I247" s="49"/>
      <c r="J247" s="100">
        <f>I247 * salesTaxPct</f>
        <v>0</v>
      </c>
      <c r="K247" s="49"/>
      <c r="L247" s="100">
        <f t="shared" si="4"/>
        <v>0</v>
      </c>
      <c r="M247" s="103"/>
      <c r="N247" s="14" t="str">
        <f ca="1">IF(NOZZLES[[#This Row],[ID]] &lt;&gt; "", IF(A247 = "000", A247 &amp; " | None", A247 &amp; " | " &amp; C247 &amp; " | " &amp; D247 &amp; " | " &amp; F247 &amp; "mm"), "")</f>
        <v/>
      </c>
    </row>
    <row r="248" spans="1:14" ht="22.5" customHeight="1">
      <c r="A248" s="111" t="str">
        <f ca="1">IF(NOZZLES[[#This Row],[PRODUCT]] &lt;&gt; "", IF(ROW() = 2, "000", TEXT(INDIRECT("A" &amp; ROW() - 1) + 1, "000")), "")</f>
        <v/>
      </c>
      <c r="B248" s="102"/>
      <c r="C248" s="17"/>
      <c r="D248" s="102"/>
      <c r="E248" s="48"/>
      <c r="F248" s="48"/>
      <c r="G248" s="49"/>
      <c r="H248" s="49"/>
      <c r="I248" s="49"/>
      <c r="J248" s="100">
        <f>I248 * salesTaxPct</f>
        <v>0</v>
      </c>
      <c r="K248" s="49"/>
      <c r="L248" s="100">
        <f t="shared" si="4"/>
        <v>0</v>
      </c>
      <c r="M248" s="103"/>
      <c r="N248" s="14" t="str">
        <f ca="1">IF(NOZZLES[[#This Row],[ID]] &lt;&gt; "", IF(A248 = "000", A248 &amp; " | None", A248 &amp; " | " &amp; C248 &amp; " | " &amp; D248 &amp; " | " &amp; F248 &amp; "mm"), "")</f>
        <v/>
      </c>
    </row>
    <row r="249" spans="1:14" ht="22.5" customHeight="1">
      <c r="A249" s="111" t="str">
        <f ca="1">IF(NOZZLES[[#This Row],[PRODUCT]] &lt;&gt; "", IF(ROW() = 2, "000", TEXT(INDIRECT("A" &amp; ROW() - 1) + 1, "000")), "")</f>
        <v/>
      </c>
      <c r="B249" s="102"/>
      <c r="C249" s="17"/>
      <c r="D249" s="102"/>
      <c r="E249" s="48"/>
      <c r="F249" s="48"/>
      <c r="G249" s="49"/>
      <c r="H249" s="49"/>
      <c r="I249" s="49"/>
      <c r="J249" s="100">
        <f>I249 * salesTaxPct</f>
        <v>0</v>
      </c>
      <c r="K249" s="49"/>
      <c r="L249" s="100">
        <f t="shared" si="4"/>
        <v>0</v>
      </c>
      <c r="M249" s="103"/>
      <c r="N249" s="14" t="str">
        <f ca="1">IF(NOZZLES[[#This Row],[ID]] &lt;&gt; "", IF(A249 = "000", A249 &amp; " | None", A249 &amp; " | " &amp; C249 &amp; " | " &amp; D249 &amp; " | " &amp; F249 &amp; "mm"), "")</f>
        <v/>
      </c>
    </row>
    <row r="250" spans="1:14" ht="22.5" customHeight="1">
      <c r="A250" s="111" t="str">
        <f ca="1">IF(NOZZLES[[#This Row],[PRODUCT]] &lt;&gt; "", IF(ROW() = 2, "000", TEXT(INDIRECT("A" &amp; ROW() - 1) + 1, "000")), "")</f>
        <v/>
      </c>
      <c r="B250" s="102"/>
      <c r="C250" s="17"/>
      <c r="D250" s="102"/>
      <c r="E250" s="48"/>
      <c r="F250" s="48"/>
      <c r="G250" s="49"/>
      <c r="H250" s="49"/>
      <c r="I250" s="49"/>
      <c r="J250" s="100">
        <f>I250 * salesTaxPct</f>
        <v>0</v>
      </c>
      <c r="K250" s="49"/>
      <c r="L250" s="100">
        <f t="shared" si="4"/>
        <v>0</v>
      </c>
      <c r="M250" s="103"/>
      <c r="N250" s="14" t="str">
        <f ca="1">IF(NOZZLES[[#This Row],[ID]] &lt;&gt; "", IF(A250 = "000", A250 &amp; " | None", A250 &amp; " | " &amp; C250 &amp; " | " &amp; D250 &amp; " | " &amp; F250 &amp; "mm"), "")</f>
        <v/>
      </c>
    </row>
    <row r="251" spans="1:14" ht="22.5" customHeight="1">
      <c r="A251" s="111" t="str">
        <f ca="1">IF(NOZZLES[[#This Row],[PRODUCT]] &lt;&gt; "", IF(ROW() = 2, "000", TEXT(INDIRECT("A" &amp; ROW() - 1) + 1, "000")), "")</f>
        <v/>
      </c>
      <c r="B251" s="102"/>
      <c r="C251" s="17"/>
      <c r="D251" s="102"/>
      <c r="E251" s="48"/>
      <c r="F251" s="48"/>
      <c r="G251" s="49"/>
      <c r="H251" s="49"/>
      <c r="I251" s="49"/>
      <c r="J251" s="100">
        <f>I251 * salesTaxPct</f>
        <v>0</v>
      </c>
      <c r="K251" s="49"/>
      <c r="L251" s="100">
        <f t="shared" si="4"/>
        <v>0</v>
      </c>
      <c r="M251" s="103"/>
      <c r="N251" s="14" t="str">
        <f ca="1">IF(NOZZLES[[#This Row],[ID]] &lt;&gt; "", IF(A251 = "000", A251 &amp; " | None", A251 &amp; " | " &amp; C251 &amp; " | " &amp; D251 &amp; " | " &amp; F251 &amp; "mm"), "")</f>
        <v/>
      </c>
    </row>
    <row r="252" spans="1:14" ht="22.5" customHeight="1">
      <c r="A252" s="111" t="str">
        <f ca="1">IF(NOZZLES[[#This Row],[PRODUCT]] &lt;&gt; "", IF(ROW() = 2, "000", TEXT(INDIRECT("A" &amp; ROW() - 1) + 1, "000")), "")</f>
        <v/>
      </c>
      <c r="B252" s="102"/>
      <c r="C252" s="17"/>
      <c r="D252" s="102"/>
      <c r="E252" s="48"/>
      <c r="F252" s="48"/>
      <c r="G252" s="49"/>
      <c r="H252" s="49"/>
      <c r="I252" s="49"/>
      <c r="J252" s="100">
        <f>I252 * salesTaxPct</f>
        <v>0</v>
      </c>
      <c r="K252" s="49"/>
      <c r="L252" s="100">
        <f t="shared" si="4"/>
        <v>0</v>
      </c>
      <c r="M252" s="103"/>
      <c r="N252" s="14" t="str">
        <f ca="1">IF(NOZZLES[[#This Row],[ID]] &lt;&gt; "", IF(A252 = "000", A252 &amp; " | None", A252 &amp; " | " &amp; C252 &amp; " | " &amp; D252 &amp; " | " &amp; F252 &amp; "mm"), "")</f>
        <v/>
      </c>
    </row>
    <row r="253" spans="1:14" ht="22.5" customHeight="1">
      <c r="A253" s="111" t="str">
        <f ca="1">IF(NOZZLES[[#This Row],[PRODUCT]] &lt;&gt; "", IF(ROW() = 2, "000", TEXT(INDIRECT("A" &amp; ROW() - 1) + 1, "000")), "")</f>
        <v/>
      </c>
      <c r="B253" s="102"/>
      <c r="C253" s="17"/>
      <c r="D253" s="102"/>
      <c r="E253" s="48"/>
      <c r="F253" s="48"/>
      <c r="G253" s="49"/>
      <c r="H253" s="49"/>
      <c r="I253" s="49"/>
      <c r="J253" s="100">
        <f>I253 * salesTaxPct</f>
        <v>0</v>
      </c>
      <c r="K253" s="49"/>
      <c r="L253" s="100">
        <f t="shared" si="4"/>
        <v>0</v>
      </c>
      <c r="M253" s="103"/>
      <c r="N253" s="14" t="str">
        <f ca="1">IF(NOZZLES[[#This Row],[ID]] &lt;&gt; "", IF(A253 = "000", A253 &amp; " | None", A253 &amp; " | " &amp; C253 &amp; " | " &amp; D253 &amp; " | " &amp; F253 &amp; "mm"), "")</f>
        <v/>
      </c>
    </row>
    <row r="254" spans="1:14" ht="22.5" customHeight="1">
      <c r="A254" s="111" t="str">
        <f ca="1">IF(NOZZLES[[#This Row],[PRODUCT]] &lt;&gt; "", IF(ROW() = 2, "000", TEXT(INDIRECT("A" &amp; ROW() - 1) + 1, "000")), "")</f>
        <v/>
      </c>
      <c r="B254" s="102"/>
      <c r="C254" s="17"/>
      <c r="D254" s="102"/>
      <c r="E254" s="48"/>
      <c r="F254" s="48"/>
      <c r="G254" s="49"/>
      <c r="H254" s="49"/>
      <c r="I254" s="49"/>
      <c r="J254" s="100">
        <f>I254 * salesTaxPct</f>
        <v>0</v>
      </c>
      <c r="K254" s="49"/>
      <c r="L254" s="100">
        <f t="shared" si="4"/>
        <v>0</v>
      </c>
      <c r="M254" s="103"/>
      <c r="N254" s="14" t="str">
        <f ca="1">IF(NOZZLES[[#This Row],[ID]] &lt;&gt; "", IF(A254 = "000", A254 &amp; " | None", A254 &amp; " | " &amp; C254 &amp; " | " &amp; D254 &amp; " | " &amp; F254 &amp; "mm"), "")</f>
        <v/>
      </c>
    </row>
    <row r="255" spans="1:14" ht="22.5" customHeight="1">
      <c r="A255" s="111" t="str">
        <f ca="1">IF(NOZZLES[[#This Row],[PRODUCT]] &lt;&gt; "", IF(ROW() = 2, "000", TEXT(INDIRECT("A" &amp; ROW() - 1) + 1, "000")), "")</f>
        <v/>
      </c>
      <c r="B255" s="102"/>
      <c r="C255" s="17"/>
      <c r="D255" s="102"/>
      <c r="E255" s="48"/>
      <c r="F255" s="48"/>
      <c r="G255" s="49"/>
      <c r="H255" s="49"/>
      <c r="I255" s="49"/>
      <c r="J255" s="100">
        <f>I255 * salesTaxPct</f>
        <v>0</v>
      </c>
      <c r="K255" s="49"/>
      <c r="L255" s="100">
        <f t="shared" si="4"/>
        <v>0</v>
      </c>
      <c r="M255" s="103"/>
      <c r="N255" s="14" t="str">
        <f ca="1">IF(NOZZLES[[#This Row],[ID]] &lt;&gt; "", IF(A255 = "000", A255 &amp; " | None", A255 &amp; " | " &amp; C255 &amp; " | " &amp; D255 &amp; " | " &amp; F255 &amp; "mm"), "")</f>
        <v/>
      </c>
    </row>
    <row r="256" spans="1:14" ht="22.5" customHeight="1">
      <c r="A256" s="111" t="str">
        <f ca="1">IF(NOZZLES[[#This Row],[PRODUCT]] &lt;&gt; "", IF(ROW() = 2, "000", TEXT(INDIRECT("A" &amp; ROW() - 1) + 1, "000")), "")</f>
        <v/>
      </c>
      <c r="B256" s="102"/>
      <c r="C256" s="17"/>
      <c r="D256" s="102"/>
      <c r="E256" s="48"/>
      <c r="F256" s="48"/>
      <c r="G256" s="49"/>
      <c r="H256" s="49"/>
      <c r="I256" s="49"/>
      <c r="J256" s="100">
        <f>I256 * salesTaxPct</f>
        <v>0</v>
      </c>
      <c r="K256" s="49"/>
      <c r="L256" s="100">
        <f t="shared" si="4"/>
        <v>0</v>
      </c>
      <c r="M256" s="103"/>
      <c r="N256" s="14" t="str">
        <f ca="1">IF(NOZZLES[[#This Row],[ID]] &lt;&gt; "", IF(A256 = "000", A256 &amp; " | None", A256 &amp; " | " &amp; C256 &amp; " | " &amp; D256 &amp; " | " &amp; F256 &amp; "mm"), "")</f>
        <v/>
      </c>
    </row>
    <row r="257" spans="1:14" ht="22.5" customHeight="1">
      <c r="A257" s="111" t="str">
        <f ca="1">IF(NOZZLES[[#This Row],[PRODUCT]] &lt;&gt; "", IF(ROW() = 2, "000", TEXT(INDIRECT("A" &amp; ROW() - 1) + 1, "000")), "")</f>
        <v/>
      </c>
      <c r="B257" s="102"/>
      <c r="C257" s="17"/>
      <c r="D257" s="102"/>
      <c r="E257" s="48"/>
      <c r="F257" s="48"/>
      <c r="G257" s="49"/>
      <c r="H257" s="49"/>
      <c r="I257" s="49"/>
      <c r="J257" s="100">
        <f>I257 * salesTaxPct</f>
        <v>0</v>
      </c>
      <c r="K257" s="49"/>
      <c r="L257" s="100">
        <f t="shared" si="4"/>
        <v>0</v>
      </c>
      <c r="M257" s="103"/>
      <c r="N257" s="14" t="str">
        <f ca="1">IF(NOZZLES[[#This Row],[ID]] &lt;&gt; "", IF(A257 = "000", A257 &amp; " | None", A257 &amp; " | " &amp; C257 &amp; " | " &amp; D257 &amp; " | " &amp; F257 &amp; "mm"), "")</f>
        <v/>
      </c>
    </row>
    <row r="258" spans="1:14" ht="22.5" customHeight="1">
      <c r="A258" s="111" t="str">
        <f ca="1">IF(NOZZLES[[#This Row],[PRODUCT]] &lt;&gt; "", IF(ROW() = 2, "000", TEXT(INDIRECT("A" &amp; ROW() - 1) + 1, "000")), "")</f>
        <v/>
      </c>
      <c r="B258" s="102"/>
      <c r="C258" s="17"/>
      <c r="D258" s="102"/>
      <c r="E258" s="48"/>
      <c r="F258" s="48"/>
      <c r="G258" s="49"/>
      <c r="H258" s="49"/>
      <c r="I258" s="49"/>
      <c r="J258" s="100">
        <f>I258 * salesTaxPct</f>
        <v>0</v>
      </c>
      <c r="K258" s="49"/>
      <c r="L258" s="100">
        <f t="shared" ref="L258:L301" si="5">I258 + J258 + K258</f>
        <v>0</v>
      </c>
      <c r="M258" s="103"/>
      <c r="N258" s="14" t="str">
        <f ca="1">IF(NOZZLES[[#This Row],[ID]] &lt;&gt; "", IF(A258 = "000", A258 &amp; " | None", A258 &amp; " | " &amp; C258 &amp; " | " &amp; D258 &amp; " | " &amp; F258 &amp; "mm"), "")</f>
        <v/>
      </c>
    </row>
    <row r="259" spans="1:14" ht="22.5" customHeight="1">
      <c r="A259" s="111" t="str">
        <f ca="1">IF(NOZZLES[[#This Row],[PRODUCT]] &lt;&gt; "", IF(ROW() = 2, "000", TEXT(INDIRECT("A" &amp; ROW() - 1) + 1, "000")), "")</f>
        <v/>
      </c>
      <c r="B259" s="102"/>
      <c r="C259" s="17"/>
      <c r="D259" s="102"/>
      <c r="E259" s="48"/>
      <c r="F259" s="48"/>
      <c r="G259" s="49"/>
      <c r="H259" s="49"/>
      <c r="I259" s="49"/>
      <c r="J259" s="100">
        <f>I259 * salesTaxPct</f>
        <v>0</v>
      </c>
      <c r="K259" s="49"/>
      <c r="L259" s="100">
        <f t="shared" si="5"/>
        <v>0</v>
      </c>
      <c r="M259" s="103"/>
      <c r="N259" s="14" t="str">
        <f ca="1">IF(NOZZLES[[#This Row],[ID]] &lt;&gt; "", IF(A259 = "000", A259 &amp; " | None", A259 &amp; " | " &amp; C259 &amp; " | " &amp; D259 &amp; " | " &amp; F259 &amp; "mm"), "")</f>
        <v/>
      </c>
    </row>
    <row r="260" spans="1:14" ht="22.5" customHeight="1">
      <c r="A260" s="111" t="str">
        <f ca="1">IF(NOZZLES[[#This Row],[PRODUCT]] &lt;&gt; "", IF(ROW() = 2, "000", TEXT(INDIRECT("A" &amp; ROW() - 1) + 1, "000")), "")</f>
        <v/>
      </c>
      <c r="B260" s="102"/>
      <c r="C260" s="17"/>
      <c r="D260" s="102"/>
      <c r="E260" s="48"/>
      <c r="F260" s="48"/>
      <c r="G260" s="49"/>
      <c r="H260" s="49"/>
      <c r="I260" s="49"/>
      <c r="J260" s="100">
        <f>I260 * salesTaxPct</f>
        <v>0</v>
      </c>
      <c r="K260" s="49"/>
      <c r="L260" s="100">
        <f t="shared" si="5"/>
        <v>0</v>
      </c>
      <c r="M260" s="103"/>
      <c r="N260" s="14" t="str">
        <f ca="1">IF(NOZZLES[[#This Row],[ID]] &lt;&gt; "", IF(A260 = "000", A260 &amp; " | None", A260 &amp; " | " &amp; C260 &amp; " | " &amp; D260 &amp; " | " &amp; F260 &amp; "mm"), "")</f>
        <v/>
      </c>
    </row>
    <row r="261" spans="1:14" ht="22.5" customHeight="1">
      <c r="A261" s="111" t="str">
        <f ca="1">IF(NOZZLES[[#This Row],[PRODUCT]] &lt;&gt; "", IF(ROW() = 2, "000", TEXT(INDIRECT("A" &amp; ROW() - 1) + 1, "000")), "")</f>
        <v/>
      </c>
      <c r="B261" s="102"/>
      <c r="C261" s="17"/>
      <c r="D261" s="102"/>
      <c r="E261" s="48"/>
      <c r="F261" s="48"/>
      <c r="G261" s="49"/>
      <c r="H261" s="49"/>
      <c r="I261" s="49"/>
      <c r="J261" s="100">
        <f>I261 * salesTaxPct</f>
        <v>0</v>
      </c>
      <c r="K261" s="49"/>
      <c r="L261" s="100">
        <f t="shared" si="5"/>
        <v>0</v>
      </c>
      <c r="M261" s="103"/>
      <c r="N261" s="14" t="str">
        <f ca="1">IF(NOZZLES[[#This Row],[ID]] &lt;&gt; "", IF(A261 = "000", A261 &amp; " | None", A261 &amp; " | " &amp; C261 &amp; " | " &amp; D261 &amp; " | " &amp; F261 &amp; "mm"), "")</f>
        <v/>
      </c>
    </row>
    <row r="262" spans="1:14" ht="22.5" customHeight="1">
      <c r="A262" s="111" t="str">
        <f ca="1">IF(NOZZLES[[#This Row],[PRODUCT]] &lt;&gt; "", IF(ROW() = 2, "000", TEXT(INDIRECT("A" &amp; ROW() - 1) + 1, "000")), "")</f>
        <v/>
      </c>
      <c r="B262" s="102"/>
      <c r="C262" s="17"/>
      <c r="D262" s="102"/>
      <c r="E262" s="48"/>
      <c r="F262" s="48"/>
      <c r="G262" s="49"/>
      <c r="H262" s="49"/>
      <c r="I262" s="49"/>
      <c r="J262" s="100">
        <f>I262 * salesTaxPct</f>
        <v>0</v>
      </c>
      <c r="K262" s="49"/>
      <c r="L262" s="100">
        <f t="shared" si="5"/>
        <v>0</v>
      </c>
      <c r="M262" s="103"/>
      <c r="N262" s="14" t="str">
        <f ca="1">IF(NOZZLES[[#This Row],[ID]] &lt;&gt; "", IF(A262 = "000", A262 &amp; " | None", A262 &amp; " | " &amp; C262 &amp; " | " &amp; D262 &amp; " | " &amp; F262 &amp; "mm"), "")</f>
        <v/>
      </c>
    </row>
    <row r="263" spans="1:14" ht="22.5" customHeight="1">
      <c r="A263" s="111" t="str">
        <f ca="1">IF(NOZZLES[[#This Row],[PRODUCT]] &lt;&gt; "", IF(ROW() = 2, "000", TEXT(INDIRECT("A" &amp; ROW() - 1) + 1, "000")), "")</f>
        <v/>
      </c>
      <c r="B263" s="102"/>
      <c r="C263" s="17"/>
      <c r="D263" s="102"/>
      <c r="E263" s="48"/>
      <c r="F263" s="48"/>
      <c r="G263" s="49"/>
      <c r="H263" s="49"/>
      <c r="I263" s="49"/>
      <c r="J263" s="100">
        <f>I263 * salesTaxPct</f>
        <v>0</v>
      </c>
      <c r="K263" s="49"/>
      <c r="L263" s="100">
        <f t="shared" si="5"/>
        <v>0</v>
      </c>
      <c r="M263" s="103"/>
      <c r="N263" s="14" t="str">
        <f ca="1">IF(NOZZLES[[#This Row],[ID]] &lt;&gt; "", IF(A263 = "000", A263 &amp; " | None", A263 &amp; " | " &amp; C263 &amp; " | " &amp; D263 &amp; " | " &amp; F263 &amp; "mm"), "")</f>
        <v/>
      </c>
    </row>
    <row r="264" spans="1:14" ht="22.5" customHeight="1">
      <c r="A264" s="111" t="str">
        <f ca="1">IF(NOZZLES[[#This Row],[PRODUCT]] &lt;&gt; "", IF(ROW() = 2, "000", TEXT(INDIRECT("A" &amp; ROW() - 1) + 1, "000")), "")</f>
        <v/>
      </c>
      <c r="B264" s="102"/>
      <c r="C264" s="17"/>
      <c r="D264" s="102"/>
      <c r="E264" s="48"/>
      <c r="F264" s="48"/>
      <c r="G264" s="49"/>
      <c r="H264" s="49"/>
      <c r="I264" s="49"/>
      <c r="J264" s="100">
        <f>I264 * salesTaxPct</f>
        <v>0</v>
      </c>
      <c r="K264" s="49"/>
      <c r="L264" s="100">
        <f t="shared" si="5"/>
        <v>0</v>
      </c>
      <c r="M264" s="103"/>
      <c r="N264" s="14" t="str">
        <f ca="1">IF(NOZZLES[[#This Row],[ID]] &lt;&gt; "", IF(A264 = "000", A264 &amp; " | None", A264 &amp; " | " &amp; C264 &amp; " | " &amp; D264 &amp; " | " &amp; F264 &amp; "mm"), "")</f>
        <v/>
      </c>
    </row>
    <row r="265" spans="1:14" ht="22.5" customHeight="1">
      <c r="A265" s="111" t="str">
        <f ca="1">IF(NOZZLES[[#This Row],[PRODUCT]] &lt;&gt; "", IF(ROW() = 2, "000", TEXT(INDIRECT("A" &amp; ROW() - 1) + 1, "000")), "")</f>
        <v/>
      </c>
      <c r="B265" s="102"/>
      <c r="C265" s="17"/>
      <c r="D265" s="102"/>
      <c r="E265" s="48"/>
      <c r="F265" s="48"/>
      <c r="G265" s="49"/>
      <c r="H265" s="49"/>
      <c r="I265" s="49"/>
      <c r="J265" s="100">
        <f>I265 * salesTaxPct</f>
        <v>0</v>
      </c>
      <c r="K265" s="49"/>
      <c r="L265" s="100">
        <f t="shared" si="5"/>
        <v>0</v>
      </c>
      <c r="M265" s="103"/>
      <c r="N265" s="14" t="str">
        <f ca="1">IF(NOZZLES[[#This Row],[ID]] &lt;&gt; "", IF(A265 = "000", A265 &amp; " | None", A265 &amp; " | " &amp; C265 &amp; " | " &amp; D265 &amp; " | " &amp; F265 &amp; "mm"), "")</f>
        <v/>
      </c>
    </row>
    <row r="266" spans="1:14" ht="22.5" customHeight="1">
      <c r="A266" s="111" t="str">
        <f ca="1">IF(NOZZLES[[#This Row],[PRODUCT]] &lt;&gt; "", IF(ROW() = 2, "000", TEXT(INDIRECT("A" &amp; ROW() - 1) + 1, "000")), "")</f>
        <v/>
      </c>
      <c r="B266" s="102"/>
      <c r="C266" s="17"/>
      <c r="D266" s="102"/>
      <c r="E266" s="48"/>
      <c r="F266" s="48"/>
      <c r="G266" s="49"/>
      <c r="H266" s="49"/>
      <c r="I266" s="49"/>
      <c r="J266" s="100">
        <f>I266 * salesTaxPct</f>
        <v>0</v>
      </c>
      <c r="K266" s="49"/>
      <c r="L266" s="100">
        <f t="shared" si="5"/>
        <v>0</v>
      </c>
      <c r="M266" s="103"/>
      <c r="N266" s="14" t="str">
        <f ca="1">IF(NOZZLES[[#This Row],[ID]] &lt;&gt; "", IF(A266 = "000", A266 &amp; " | None", A266 &amp; " | " &amp; C266 &amp; " | " &amp; D266 &amp; " | " &amp; F266 &amp; "mm"), "")</f>
        <v/>
      </c>
    </row>
    <row r="267" spans="1:14" ht="22.5" customHeight="1">
      <c r="A267" s="111" t="str">
        <f ca="1">IF(NOZZLES[[#This Row],[PRODUCT]] &lt;&gt; "", IF(ROW() = 2, "000", TEXT(INDIRECT("A" &amp; ROW() - 1) + 1, "000")), "")</f>
        <v/>
      </c>
      <c r="B267" s="102"/>
      <c r="C267" s="17"/>
      <c r="D267" s="102"/>
      <c r="E267" s="48"/>
      <c r="F267" s="48"/>
      <c r="G267" s="49"/>
      <c r="H267" s="49"/>
      <c r="I267" s="49"/>
      <c r="J267" s="100">
        <f>I267 * salesTaxPct</f>
        <v>0</v>
      </c>
      <c r="K267" s="49"/>
      <c r="L267" s="100">
        <f t="shared" si="5"/>
        <v>0</v>
      </c>
      <c r="M267" s="103"/>
      <c r="N267" s="14" t="str">
        <f ca="1">IF(NOZZLES[[#This Row],[ID]] &lt;&gt; "", IF(A267 = "000", A267 &amp; " | None", A267 &amp; " | " &amp; C267 &amp; " | " &amp; D267 &amp; " | " &amp; F267 &amp; "mm"), "")</f>
        <v/>
      </c>
    </row>
    <row r="268" spans="1:14" ht="22.5" customHeight="1">
      <c r="A268" s="111" t="str">
        <f ca="1">IF(NOZZLES[[#This Row],[PRODUCT]] &lt;&gt; "", IF(ROW() = 2, "000", TEXT(INDIRECT("A" &amp; ROW() - 1) + 1, "000")), "")</f>
        <v/>
      </c>
      <c r="B268" s="102"/>
      <c r="C268" s="17"/>
      <c r="D268" s="102"/>
      <c r="E268" s="48"/>
      <c r="F268" s="48"/>
      <c r="G268" s="49"/>
      <c r="H268" s="49"/>
      <c r="I268" s="49"/>
      <c r="J268" s="100">
        <f>I268 * salesTaxPct</f>
        <v>0</v>
      </c>
      <c r="K268" s="49"/>
      <c r="L268" s="100">
        <f t="shared" si="5"/>
        <v>0</v>
      </c>
      <c r="M268" s="103"/>
      <c r="N268" s="14" t="str">
        <f ca="1">IF(NOZZLES[[#This Row],[ID]] &lt;&gt; "", IF(A268 = "000", A268 &amp; " | None", A268 &amp; " | " &amp; C268 &amp; " | " &amp; D268 &amp; " | " &amp; F268 &amp; "mm"), "")</f>
        <v/>
      </c>
    </row>
    <row r="269" spans="1:14" ht="22.5" customHeight="1">
      <c r="A269" s="111" t="str">
        <f ca="1">IF(NOZZLES[[#This Row],[PRODUCT]] &lt;&gt; "", IF(ROW() = 2, "000", TEXT(INDIRECT("A" &amp; ROW() - 1) + 1, "000")), "")</f>
        <v/>
      </c>
      <c r="B269" s="102"/>
      <c r="C269" s="17"/>
      <c r="D269" s="102"/>
      <c r="E269" s="48"/>
      <c r="F269" s="48"/>
      <c r="G269" s="49"/>
      <c r="H269" s="49"/>
      <c r="I269" s="49"/>
      <c r="J269" s="100">
        <f>I269 * salesTaxPct</f>
        <v>0</v>
      </c>
      <c r="K269" s="49"/>
      <c r="L269" s="100">
        <f t="shared" si="5"/>
        <v>0</v>
      </c>
      <c r="M269" s="103"/>
      <c r="N269" s="14" t="str">
        <f ca="1">IF(NOZZLES[[#This Row],[ID]] &lt;&gt; "", IF(A269 = "000", A269 &amp; " | None", A269 &amp; " | " &amp; C269 &amp; " | " &amp; D269 &amp; " | " &amp; F269 &amp; "mm"), "")</f>
        <v/>
      </c>
    </row>
    <row r="270" spans="1:14" ht="22.5" customHeight="1">
      <c r="A270" s="111" t="str">
        <f ca="1">IF(NOZZLES[[#This Row],[PRODUCT]] &lt;&gt; "", IF(ROW() = 2, "000", TEXT(INDIRECT("A" &amp; ROW() - 1) + 1, "000")), "")</f>
        <v/>
      </c>
      <c r="B270" s="102"/>
      <c r="C270" s="17"/>
      <c r="D270" s="102"/>
      <c r="E270" s="48"/>
      <c r="F270" s="48"/>
      <c r="G270" s="49"/>
      <c r="H270" s="49"/>
      <c r="I270" s="49"/>
      <c r="J270" s="100">
        <f>I270 * salesTaxPct</f>
        <v>0</v>
      </c>
      <c r="K270" s="49"/>
      <c r="L270" s="100">
        <f t="shared" si="5"/>
        <v>0</v>
      </c>
      <c r="M270" s="103"/>
      <c r="N270" s="14" t="str">
        <f ca="1">IF(NOZZLES[[#This Row],[ID]] &lt;&gt; "", IF(A270 = "000", A270 &amp; " | None", A270 &amp; " | " &amp; C270 &amp; " | " &amp; D270 &amp; " | " &amp; F270 &amp; "mm"), "")</f>
        <v/>
      </c>
    </row>
    <row r="271" spans="1:14" ht="22.5" customHeight="1">
      <c r="A271" s="111" t="str">
        <f ca="1">IF(NOZZLES[[#This Row],[PRODUCT]] &lt;&gt; "", IF(ROW() = 2, "000", TEXT(INDIRECT("A" &amp; ROW() - 1) + 1, "000")), "")</f>
        <v/>
      </c>
      <c r="B271" s="102"/>
      <c r="C271" s="17"/>
      <c r="D271" s="102"/>
      <c r="E271" s="48"/>
      <c r="F271" s="48"/>
      <c r="G271" s="49"/>
      <c r="H271" s="49"/>
      <c r="I271" s="49"/>
      <c r="J271" s="100">
        <f>I271 * salesTaxPct</f>
        <v>0</v>
      </c>
      <c r="K271" s="49"/>
      <c r="L271" s="100">
        <f t="shared" si="5"/>
        <v>0</v>
      </c>
      <c r="M271" s="103"/>
      <c r="N271" s="14" t="str">
        <f ca="1">IF(NOZZLES[[#This Row],[ID]] &lt;&gt; "", IF(A271 = "000", A271 &amp; " | None", A271 &amp; " | " &amp; C271 &amp; " | " &amp; D271 &amp; " | " &amp; F271 &amp; "mm"), "")</f>
        <v/>
      </c>
    </row>
    <row r="272" spans="1:14" ht="22.5" customHeight="1">
      <c r="A272" s="111" t="str">
        <f ca="1">IF(NOZZLES[[#This Row],[PRODUCT]] &lt;&gt; "", IF(ROW() = 2, "000", TEXT(INDIRECT("A" &amp; ROW() - 1) + 1, "000")), "")</f>
        <v/>
      </c>
      <c r="B272" s="102"/>
      <c r="C272" s="17"/>
      <c r="D272" s="102"/>
      <c r="E272" s="48"/>
      <c r="F272" s="48"/>
      <c r="G272" s="49"/>
      <c r="H272" s="49"/>
      <c r="I272" s="49"/>
      <c r="J272" s="100">
        <f>I272 * salesTaxPct</f>
        <v>0</v>
      </c>
      <c r="K272" s="49"/>
      <c r="L272" s="100">
        <f t="shared" si="5"/>
        <v>0</v>
      </c>
      <c r="M272" s="103"/>
      <c r="N272" s="14" t="str">
        <f ca="1">IF(NOZZLES[[#This Row],[ID]] &lt;&gt; "", IF(A272 = "000", A272 &amp; " | None", A272 &amp; " | " &amp; C272 &amp; " | " &amp; D272 &amp; " | " &amp; F272 &amp; "mm"), "")</f>
        <v/>
      </c>
    </row>
    <row r="273" spans="1:14" ht="22.5" customHeight="1">
      <c r="A273" s="111" t="str">
        <f ca="1">IF(NOZZLES[[#This Row],[PRODUCT]] &lt;&gt; "", IF(ROW() = 2, "000", TEXT(INDIRECT("A" &amp; ROW() - 1) + 1, "000")), "")</f>
        <v/>
      </c>
      <c r="B273" s="102"/>
      <c r="C273" s="17"/>
      <c r="D273" s="102"/>
      <c r="E273" s="48"/>
      <c r="F273" s="48"/>
      <c r="G273" s="49"/>
      <c r="H273" s="49"/>
      <c r="I273" s="49"/>
      <c r="J273" s="100">
        <f>I273 * salesTaxPct</f>
        <v>0</v>
      </c>
      <c r="K273" s="49"/>
      <c r="L273" s="100">
        <f t="shared" si="5"/>
        <v>0</v>
      </c>
      <c r="M273" s="103"/>
      <c r="N273" s="14" t="str">
        <f ca="1">IF(NOZZLES[[#This Row],[ID]] &lt;&gt; "", IF(A273 = "000", A273 &amp; " | None", A273 &amp; " | " &amp; C273 &amp; " | " &amp; D273 &amp; " | " &amp; F273 &amp; "mm"), "")</f>
        <v/>
      </c>
    </row>
    <row r="274" spans="1:14" ht="22.5" customHeight="1">
      <c r="A274" s="111" t="str">
        <f ca="1">IF(NOZZLES[[#This Row],[PRODUCT]] &lt;&gt; "", IF(ROW() = 2, "000", TEXT(INDIRECT("A" &amp; ROW() - 1) + 1, "000")), "")</f>
        <v/>
      </c>
      <c r="B274" s="102"/>
      <c r="C274" s="17"/>
      <c r="D274" s="102"/>
      <c r="E274" s="48"/>
      <c r="F274" s="48"/>
      <c r="G274" s="49"/>
      <c r="H274" s="49"/>
      <c r="I274" s="49"/>
      <c r="J274" s="100">
        <f>I274 * salesTaxPct</f>
        <v>0</v>
      </c>
      <c r="K274" s="49"/>
      <c r="L274" s="100">
        <f t="shared" si="5"/>
        <v>0</v>
      </c>
      <c r="M274" s="103"/>
      <c r="N274" s="14" t="str">
        <f ca="1">IF(NOZZLES[[#This Row],[ID]] &lt;&gt; "", IF(A274 = "000", A274 &amp; " | None", A274 &amp; " | " &amp; C274 &amp; " | " &amp; D274 &amp; " | " &amp; F274 &amp; "mm"), "")</f>
        <v/>
      </c>
    </row>
    <row r="275" spans="1:14" ht="22.5" customHeight="1">
      <c r="A275" s="111" t="str">
        <f ca="1">IF(NOZZLES[[#This Row],[PRODUCT]] &lt;&gt; "", IF(ROW() = 2, "000", TEXT(INDIRECT("A" &amp; ROW() - 1) + 1, "000")), "")</f>
        <v/>
      </c>
      <c r="B275" s="102"/>
      <c r="C275" s="17"/>
      <c r="D275" s="102"/>
      <c r="E275" s="48"/>
      <c r="F275" s="48"/>
      <c r="G275" s="49"/>
      <c r="H275" s="49"/>
      <c r="I275" s="49"/>
      <c r="J275" s="100">
        <f>I275 * salesTaxPct</f>
        <v>0</v>
      </c>
      <c r="K275" s="49"/>
      <c r="L275" s="100">
        <f t="shared" si="5"/>
        <v>0</v>
      </c>
      <c r="M275" s="103"/>
      <c r="N275" s="14" t="str">
        <f ca="1">IF(NOZZLES[[#This Row],[ID]] &lt;&gt; "", IF(A275 = "000", A275 &amp; " | None", A275 &amp; " | " &amp; C275 &amp; " | " &amp; D275 &amp; " | " &amp; F275 &amp; "mm"), "")</f>
        <v/>
      </c>
    </row>
    <row r="276" spans="1:14" ht="22.5" customHeight="1">
      <c r="A276" s="111" t="str">
        <f ca="1">IF(NOZZLES[[#This Row],[PRODUCT]] &lt;&gt; "", IF(ROW() = 2, "000", TEXT(INDIRECT("A" &amp; ROW() - 1) + 1, "000")), "")</f>
        <v/>
      </c>
      <c r="B276" s="102"/>
      <c r="C276" s="17"/>
      <c r="D276" s="102"/>
      <c r="E276" s="48"/>
      <c r="F276" s="48"/>
      <c r="G276" s="49"/>
      <c r="H276" s="49"/>
      <c r="I276" s="49"/>
      <c r="J276" s="100">
        <f>I276 * salesTaxPct</f>
        <v>0</v>
      </c>
      <c r="K276" s="49"/>
      <c r="L276" s="100">
        <f t="shared" si="5"/>
        <v>0</v>
      </c>
      <c r="M276" s="103"/>
      <c r="N276" s="14" t="str">
        <f ca="1">IF(NOZZLES[[#This Row],[ID]] &lt;&gt; "", IF(A276 = "000", A276 &amp; " | None", A276 &amp; " | " &amp; C276 &amp; " | " &amp; D276 &amp; " | " &amp; F276 &amp; "mm"), "")</f>
        <v/>
      </c>
    </row>
    <row r="277" spans="1:14" ht="22.5" customHeight="1">
      <c r="A277" s="111" t="str">
        <f ca="1">IF(NOZZLES[[#This Row],[PRODUCT]] &lt;&gt; "", IF(ROW() = 2, "000", TEXT(INDIRECT("A" &amp; ROW() - 1) + 1, "000")), "")</f>
        <v/>
      </c>
      <c r="B277" s="102"/>
      <c r="C277" s="17"/>
      <c r="D277" s="102"/>
      <c r="E277" s="48"/>
      <c r="F277" s="48"/>
      <c r="G277" s="49"/>
      <c r="H277" s="49"/>
      <c r="I277" s="49"/>
      <c r="J277" s="100">
        <f>I277 * salesTaxPct</f>
        <v>0</v>
      </c>
      <c r="K277" s="49"/>
      <c r="L277" s="100">
        <f t="shared" si="5"/>
        <v>0</v>
      </c>
      <c r="M277" s="103"/>
      <c r="N277" s="14" t="str">
        <f ca="1">IF(NOZZLES[[#This Row],[ID]] &lt;&gt; "", IF(A277 = "000", A277 &amp; " | None", A277 &amp; " | " &amp; C277 &amp; " | " &amp; D277 &amp; " | " &amp; F277 &amp; "mm"), "")</f>
        <v/>
      </c>
    </row>
    <row r="278" spans="1:14" ht="22.5" customHeight="1">
      <c r="A278" s="111" t="str">
        <f ca="1">IF(NOZZLES[[#This Row],[PRODUCT]] &lt;&gt; "", IF(ROW() = 2, "000", TEXT(INDIRECT("A" &amp; ROW() - 1) + 1, "000")), "")</f>
        <v/>
      </c>
      <c r="B278" s="102"/>
      <c r="C278" s="17"/>
      <c r="D278" s="102"/>
      <c r="E278" s="48"/>
      <c r="F278" s="48"/>
      <c r="G278" s="49"/>
      <c r="H278" s="49"/>
      <c r="I278" s="49"/>
      <c r="J278" s="100">
        <f>I278 * salesTaxPct</f>
        <v>0</v>
      </c>
      <c r="K278" s="49"/>
      <c r="L278" s="100">
        <f t="shared" si="5"/>
        <v>0</v>
      </c>
      <c r="M278" s="103"/>
      <c r="N278" s="14" t="str">
        <f ca="1">IF(NOZZLES[[#This Row],[ID]] &lt;&gt; "", IF(A278 = "000", A278 &amp; " | None", A278 &amp; " | " &amp; C278 &amp; " | " &amp; D278 &amp; " | " &amp; F278 &amp; "mm"), "")</f>
        <v/>
      </c>
    </row>
    <row r="279" spans="1:14" ht="22.5" customHeight="1">
      <c r="A279" s="111" t="str">
        <f ca="1">IF(NOZZLES[[#This Row],[PRODUCT]] &lt;&gt; "", IF(ROW() = 2, "000", TEXT(INDIRECT("A" &amp; ROW() - 1) + 1, "000")), "")</f>
        <v/>
      </c>
      <c r="B279" s="102"/>
      <c r="C279" s="17"/>
      <c r="D279" s="102"/>
      <c r="E279" s="48"/>
      <c r="F279" s="48"/>
      <c r="G279" s="49"/>
      <c r="H279" s="49"/>
      <c r="I279" s="49"/>
      <c r="J279" s="100">
        <f>I279 * salesTaxPct</f>
        <v>0</v>
      </c>
      <c r="K279" s="49"/>
      <c r="L279" s="100">
        <f t="shared" si="5"/>
        <v>0</v>
      </c>
      <c r="M279" s="103"/>
      <c r="N279" s="14" t="str">
        <f ca="1">IF(NOZZLES[[#This Row],[ID]] &lt;&gt; "", IF(A279 = "000", A279 &amp; " | None", A279 &amp; " | " &amp; C279 &amp; " | " &amp; D279 &amp; " | " &amp; F279 &amp; "mm"), "")</f>
        <v/>
      </c>
    </row>
    <row r="280" spans="1:14" ht="22.5" customHeight="1">
      <c r="A280" s="111" t="str">
        <f ca="1">IF(NOZZLES[[#This Row],[PRODUCT]] &lt;&gt; "", IF(ROW() = 2, "000", TEXT(INDIRECT("A" &amp; ROW() - 1) + 1, "000")), "")</f>
        <v/>
      </c>
      <c r="B280" s="102"/>
      <c r="C280" s="17"/>
      <c r="D280" s="102"/>
      <c r="E280" s="48"/>
      <c r="F280" s="48"/>
      <c r="G280" s="49"/>
      <c r="H280" s="49"/>
      <c r="I280" s="49"/>
      <c r="J280" s="100">
        <f>I280 * salesTaxPct</f>
        <v>0</v>
      </c>
      <c r="K280" s="49"/>
      <c r="L280" s="100">
        <f t="shared" si="5"/>
        <v>0</v>
      </c>
      <c r="M280" s="103"/>
      <c r="N280" s="14" t="str">
        <f ca="1">IF(NOZZLES[[#This Row],[ID]] &lt;&gt; "", IF(A280 = "000", A280 &amp; " | None", A280 &amp; " | " &amp; C280 &amp; " | " &amp; D280 &amp; " | " &amp; F280 &amp; "mm"), "")</f>
        <v/>
      </c>
    </row>
    <row r="281" spans="1:14" ht="22.5" customHeight="1">
      <c r="A281" s="111" t="str">
        <f ca="1">IF(NOZZLES[[#This Row],[PRODUCT]] &lt;&gt; "", IF(ROW() = 2, "000", TEXT(INDIRECT("A" &amp; ROW() - 1) + 1, "000")), "")</f>
        <v/>
      </c>
      <c r="B281" s="102"/>
      <c r="C281" s="17"/>
      <c r="D281" s="102"/>
      <c r="E281" s="48"/>
      <c r="F281" s="48"/>
      <c r="G281" s="49"/>
      <c r="H281" s="49"/>
      <c r="I281" s="49"/>
      <c r="J281" s="100">
        <f>I281 * salesTaxPct</f>
        <v>0</v>
      </c>
      <c r="K281" s="49"/>
      <c r="L281" s="100">
        <f t="shared" si="5"/>
        <v>0</v>
      </c>
      <c r="M281" s="103"/>
      <c r="N281" s="14" t="str">
        <f ca="1">IF(NOZZLES[[#This Row],[ID]] &lt;&gt; "", IF(A281 = "000", A281 &amp; " | None", A281 &amp; " | " &amp; C281 &amp; " | " &amp; D281 &amp; " | " &amp; F281 &amp; "mm"), "")</f>
        <v/>
      </c>
    </row>
    <row r="282" spans="1:14" ht="22.5" customHeight="1">
      <c r="A282" s="111" t="str">
        <f ca="1">IF(NOZZLES[[#This Row],[PRODUCT]] &lt;&gt; "", IF(ROW() = 2, "000", TEXT(INDIRECT("A" &amp; ROW() - 1) + 1, "000")), "")</f>
        <v/>
      </c>
      <c r="B282" s="102"/>
      <c r="C282" s="17"/>
      <c r="D282" s="102"/>
      <c r="E282" s="48"/>
      <c r="F282" s="48"/>
      <c r="G282" s="49"/>
      <c r="H282" s="49"/>
      <c r="I282" s="49"/>
      <c r="J282" s="100">
        <f>I282 * salesTaxPct</f>
        <v>0</v>
      </c>
      <c r="K282" s="49"/>
      <c r="L282" s="100">
        <f t="shared" si="5"/>
        <v>0</v>
      </c>
      <c r="M282" s="103"/>
      <c r="N282" s="14" t="str">
        <f ca="1">IF(NOZZLES[[#This Row],[ID]] &lt;&gt; "", IF(A282 = "000", A282 &amp; " | None", A282 &amp; " | " &amp; C282 &amp; " | " &amp; D282 &amp; " | " &amp; F282 &amp; "mm"), "")</f>
        <v/>
      </c>
    </row>
    <row r="283" spans="1:14" ht="22.5" customHeight="1">
      <c r="A283" s="111" t="str">
        <f ca="1">IF(NOZZLES[[#This Row],[PRODUCT]] &lt;&gt; "", IF(ROW() = 2, "000", TEXT(INDIRECT("A" &amp; ROW() - 1) + 1, "000")), "")</f>
        <v/>
      </c>
      <c r="B283" s="102"/>
      <c r="C283" s="17"/>
      <c r="D283" s="102"/>
      <c r="E283" s="48"/>
      <c r="F283" s="48"/>
      <c r="G283" s="49"/>
      <c r="H283" s="49"/>
      <c r="I283" s="49"/>
      <c r="J283" s="100">
        <f>I283 * salesTaxPct</f>
        <v>0</v>
      </c>
      <c r="K283" s="49"/>
      <c r="L283" s="100">
        <f t="shared" si="5"/>
        <v>0</v>
      </c>
      <c r="M283" s="103"/>
      <c r="N283" s="14" t="str">
        <f ca="1">IF(NOZZLES[[#This Row],[ID]] &lt;&gt; "", IF(A283 = "000", A283 &amp; " | None", A283 &amp; " | " &amp; C283 &amp; " | " &amp; D283 &amp; " | " &amp; F283 &amp; "mm"), "")</f>
        <v/>
      </c>
    </row>
    <row r="284" spans="1:14" ht="22.5" customHeight="1">
      <c r="A284" s="111" t="str">
        <f ca="1">IF(NOZZLES[[#This Row],[PRODUCT]] &lt;&gt; "", IF(ROW() = 2, "000", TEXT(INDIRECT("A" &amp; ROW() - 1) + 1, "000")), "")</f>
        <v/>
      </c>
      <c r="B284" s="102"/>
      <c r="C284" s="17"/>
      <c r="D284" s="102"/>
      <c r="E284" s="48"/>
      <c r="F284" s="48"/>
      <c r="G284" s="49"/>
      <c r="H284" s="49"/>
      <c r="I284" s="49"/>
      <c r="J284" s="100">
        <f>I284 * salesTaxPct</f>
        <v>0</v>
      </c>
      <c r="K284" s="49"/>
      <c r="L284" s="100">
        <f t="shared" si="5"/>
        <v>0</v>
      </c>
      <c r="M284" s="103"/>
      <c r="N284" s="14" t="str">
        <f ca="1">IF(NOZZLES[[#This Row],[ID]] &lt;&gt; "", IF(A284 = "000", A284 &amp; " | None", A284 &amp; " | " &amp; C284 &amp; " | " &amp; D284 &amp; " | " &amp; F284 &amp; "mm"), "")</f>
        <v/>
      </c>
    </row>
    <row r="285" spans="1:14" ht="22.5" customHeight="1">
      <c r="A285" s="111" t="str">
        <f ca="1">IF(NOZZLES[[#This Row],[PRODUCT]] &lt;&gt; "", IF(ROW() = 2, "000", TEXT(INDIRECT("A" &amp; ROW() - 1) + 1, "000")), "")</f>
        <v/>
      </c>
      <c r="B285" s="102"/>
      <c r="C285" s="17"/>
      <c r="D285" s="102"/>
      <c r="E285" s="48"/>
      <c r="F285" s="48"/>
      <c r="G285" s="49"/>
      <c r="H285" s="49"/>
      <c r="I285" s="49"/>
      <c r="J285" s="100">
        <f>I285 * salesTaxPct</f>
        <v>0</v>
      </c>
      <c r="K285" s="49"/>
      <c r="L285" s="100">
        <f t="shared" si="5"/>
        <v>0</v>
      </c>
      <c r="M285" s="103"/>
      <c r="N285" s="14" t="str">
        <f ca="1">IF(NOZZLES[[#This Row],[ID]] &lt;&gt; "", IF(A285 = "000", A285 &amp; " | None", A285 &amp; " | " &amp; C285 &amp; " | " &amp; D285 &amp; " | " &amp; F285 &amp; "mm"), "")</f>
        <v/>
      </c>
    </row>
    <row r="286" spans="1:14" ht="22.5" customHeight="1">
      <c r="A286" s="111" t="str">
        <f ca="1">IF(NOZZLES[[#This Row],[PRODUCT]] &lt;&gt; "", IF(ROW() = 2, "000", TEXT(INDIRECT("A" &amp; ROW() - 1) + 1, "000")), "")</f>
        <v/>
      </c>
      <c r="B286" s="102"/>
      <c r="C286" s="17"/>
      <c r="D286" s="102"/>
      <c r="E286" s="48"/>
      <c r="F286" s="48"/>
      <c r="G286" s="49"/>
      <c r="H286" s="49"/>
      <c r="I286" s="49"/>
      <c r="J286" s="100">
        <f>I286 * salesTaxPct</f>
        <v>0</v>
      </c>
      <c r="K286" s="49"/>
      <c r="L286" s="100">
        <f t="shared" si="5"/>
        <v>0</v>
      </c>
      <c r="M286" s="103"/>
      <c r="N286" s="14" t="str">
        <f ca="1">IF(NOZZLES[[#This Row],[ID]] &lt;&gt; "", IF(A286 = "000", A286 &amp; " | None", A286 &amp; " | " &amp; C286 &amp; " | " &amp; D286 &amp; " | " &amp; F286 &amp; "mm"), "")</f>
        <v/>
      </c>
    </row>
    <row r="287" spans="1:14" ht="22.5" customHeight="1">
      <c r="A287" s="111" t="str">
        <f ca="1">IF(NOZZLES[[#This Row],[PRODUCT]] &lt;&gt; "", IF(ROW() = 2, "000", TEXT(INDIRECT("A" &amp; ROW() - 1) + 1, "000")), "")</f>
        <v/>
      </c>
      <c r="B287" s="102"/>
      <c r="C287" s="17"/>
      <c r="D287" s="102"/>
      <c r="E287" s="48"/>
      <c r="F287" s="48"/>
      <c r="G287" s="49"/>
      <c r="H287" s="49"/>
      <c r="I287" s="49"/>
      <c r="J287" s="100">
        <f>I287 * salesTaxPct</f>
        <v>0</v>
      </c>
      <c r="K287" s="49"/>
      <c r="L287" s="100">
        <f t="shared" si="5"/>
        <v>0</v>
      </c>
      <c r="M287" s="103"/>
      <c r="N287" s="14" t="str">
        <f ca="1">IF(NOZZLES[[#This Row],[ID]] &lt;&gt; "", IF(A287 = "000", A287 &amp; " | None", A287 &amp; " | " &amp; C287 &amp; " | " &amp; D287 &amp; " | " &amp; F287 &amp; "mm"), "")</f>
        <v/>
      </c>
    </row>
    <row r="288" spans="1:14" ht="22.5" customHeight="1">
      <c r="A288" s="111" t="str">
        <f ca="1">IF(NOZZLES[[#This Row],[PRODUCT]] &lt;&gt; "", IF(ROW() = 2, "000", TEXT(INDIRECT("A" &amp; ROW() - 1) + 1, "000")), "")</f>
        <v/>
      </c>
      <c r="B288" s="102"/>
      <c r="C288" s="17"/>
      <c r="D288" s="102"/>
      <c r="E288" s="48"/>
      <c r="F288" s="48"/>
      <c r="G288" s="49"/>
      <c r="H288" s="49"/>
      <c r="I288" s="49"/>
      <c r="J288" s="100">
        <f>I288 * salesTaxPct</f>
        <v>0</v>
      </c>
      <c r="K288" s="49"/>
      <c r="L288" s="100">
        <f t="shared" si="5"/>
        <v>0</v>
      </c>
      <c r="M288" s="103"/>
      <c r="N288" s="14" t="str">
        <f ca="1">IF(NOZZLES[[#This Row],[ID]] &lt;&gt; "", IF(A288 = "000", A288 &amp; " | None", A288 &amp; " | " &amp; C288 &amp; " | " &amp; D288 &amp; " | " &amp; F288 &amp; "mm"), "")</f>
        <v/>
      </c>
    </row>
    <row r="289" spans="1:14" ht="22.5" customHeight="1">
      <c r="A289" s="111" t="str">
        <f ca="1">IF(NOZZLES[[#This Row],[PRODUCT]] &lt;&gt; "", IF(ROW() = 2, "000", TEXT(INDIRECT("A" &amp; ROW() - 1) + 1, "000")), "")</f>
        <v/>
      </c>
      <c r="B289" s="102"/>
      <c r="C289" s="17"/>
      <c r="D289" s="102"/>
      <c r="E289" s="48"/>
      <c r="F289" s="48"/>
      <c r="G289" s="49"/>
      <c r="H289" s="49"/>
      <c r="I289" s="49"/>
      <c r="J289" s="100">
        <f>I289 * salesTaxPct</f>
        <v>0</v>
      </c>
      <c r="K289" s="49"/>
      <c r="L289" s="100">
        <f t="shared" si="5"/>
        <v>0</v>
      </c>
      <c r="M289" s="103"/>
      <c r="N289" s="14" t="str">
        <f ca="1">IF(NOZZLES[[#This Row],[ID]] &lt;&gt; "", IF(A289 = "000", A289 &amp; " | None", A289 &amp; " | " &amp; C289 &amp; " | " &amp; D289 &amp; " | " &amp; F289 &amp; "mm"), "")</f>
        <v/>
      </c>
    </row>
    <row r="290" spans="1:14" ht="22.5" customHeight="1">
      <c r="A290" s="111" t="str">
        <f ca="1">IF(NOZZLES[[#This Row],[PRODUCT]] &lt;&gt; "", IF(ROW() = 2, "000", TEXT(INDIRECT("A" &amp; ROW() - 1) + 1, "000")), "")</f>
        <v/>
      </c>
      <c r="B290" s="102"/>
      <c r="C290" s="17"/>
      <c r="D290" s="102"/>
      <c r="E290" s="48"/>
      <c r="F290" s="48"/>
      <c r="G290" s="49"/>
      <c r="H290" s="49"/>
      <c r="I290" s="49"/>
      <c r="J290" s="100">
        <f>I290 * salesTaxPct</f>
        <v>0</v>
      </c>
      <c r="K290" s="49"/>
      <c r="L290" s="100">
        <f t="shared" si="5"/>
        <v>0</v>
      </c>
      <c r="M290" s="103"/>
      <c r="N290" s="14" t="str">
        <f ca="1">IF(NOZZLES[[#This Row],[ID]] &lt;&gt; "", IF(A290 = "000", A290 &amp; " | None", A290 &amp; " | " &amp; C290 &amp; " | " &amp; D290 &amp; " | " &amp; F290 &amp; "mm"), "")</f>
        <v/>
      </c>
    </row>
    <row r="291" spans="1:14" ht="22.5" customHeight="1">
      <c r="A291" s="111" t="str">
        <f ca="1">IF(NOZZLES[[#This Row],[PRODUCT]] &lt;&gt; "", IF(ROW() = 2, "000", TEXT(INDIRECT("A" &amp; ROW() - 1) + 1, "000")), "")</f>
        <v/>
      </c>
      <c r="B291" s="102"/>
      <c r="C291" s="17"/>
      <c r="D291" s="102"/>
      <c r="E291" s="48"/>
      <c r="F291" s="48"/>
      <c r="G291" s="49"/>
      <c r="H291" s="49"/>
      <c r="I291" s="49"/>
      <c r="J291" s="100">
        <f>I291 * salesTaxPct</f>
        <v>0</v>
      </c>
      <c r="K291" s="49"/>
      <c r="L291" s="100">
        <f t="shared" si="5"/>
        <v>0</v>
      </c>
      <c r="M291" s="103"/>
      <c r="N291" s="14" t="str">
        <f ca="1">IF(NOZZLES[[#This Row],[ID]] &lt;&gt; "", IF(A291 = "000", A291 &amp; " | None", A291 &amp; " | " &amp; C291 &amp; " | " &amp; D291 &amp; " | " &amp; F291 &amp; "mm"), "")</f>
        <v/>
      </c>
    </row>
    <row r="292" spans="1:14" ht="22.5" customHeight="1">
      <c r="A292" s="111" t="str">
        <f ca="1">IF(NOZZLES[[#This Row],[PRODUCT]] &lt;&gt; "", IF(ROW() = 2, "000", TEXT(INDIRECT("A" &amp; ROW() - 1) + 1, "000")), "")</f>
        <v/>
      </c>
      <c r="B292" s="102"/>
      <c r="C292" s="17"/>
      <c r="D292" s="102"/>
      <c r="E292" s="48"/>
      <c r="F292" s="48"/>
      <c r="G292" s="49"/>
      <c r="H292" s="49"/>
      <c r="I292" s="49"/>
      <c r="J292" s="100">
        <f>I292 * salesTaxPct</f>
        <v>0</v>
      </c>
      <c r="K292" s="49"/>
      <c r="L292" s="100">
        <f t="shared" si="5"/>
        <v>0</v>
      </c>
      <c r="M292" s="103"/>
      <c r="N292" s="14" t="str">
        <f ca="1">IF(NOZZLES[[#This Row],[ID]] &lt;&gt; "", IF(A292 = "000", A292 &amp; " | None", A292 &amp; " | " &amp; C292 &amp; " | " &amp; D292 &amp; " | " &amp; F292 &amp; "mm"), "")</f>
        <v/>
      </c>
    </row>
    <row r="293" spans="1:14" ht="22.5" customHeight="1">
      <c r="A293" s="111" t="str">
        <f ca="1">IF(NOZZLES[[#This Row],[PRODUCT]] &lt;&gt; "", IF(ROW() = 2, "000", TEXT(INDIRECT("A" &amp; ROW() - 1) + 1, "000")), "")</f>
        <v/>
      </c>
      <c r="B293" s="102"/>
      <c r="C293" s="17"/>
      <c r="D293" s="102"/>
      <c r="E293" s="48"/>
      <c r="F293" s="48"/>
      <c r="G293" s="49"/>
      <c r="H293" s="49"/>
      <c r="I293" s="49"/>
      <c r="J293" s="100">
        <f>I293 * salesTaxPct</f>
        <v>0</v>
      </c>
      <c r="K293" s="49"/>
      <c r="L293" s="100">
        <f t="shared" si="5"/>
        <v>0</v>
      </c>
      <c r="M293" s="103"/>
      <c r="N293" s="14" t="str">
        <f ca="1">IF(NOZZLES[[#This Row],[ID]] &lt;&gt; "", IF(A293 = "000", A293 &amp; " | None", A293 &amp; " | " &amp; C293 &amp; " | " &amp; D293 &amp; " | " &amp; F293 &amp; "mm"), "")</f>
        <v/>
      </c>
    </row>
    <row r="294" spans="1:14" ht="22.5" customHeight="1">
      <c r="A294" s="111" t="str">
        <f ca="1">IF(NOZZLES[[#This Row],[PRODUCT]] &lt;&gt; "", IF(ROW() = 2, "000", TEXT(INDIRECT("A" &amp; ROW() - 1) + 1, "000")), "")</f>
        <v/>
      </c>
      <c r="B294" s="102"/>
      <c r="C294" s="17"/>
      <c r="D294" s="102"/>
      <c r="E294" s="48"/>
      <c r="F294" s="48"/>
      <c r="G294" s="49"/>
      <c r="H294" s="49"/>
      <c r="I294" s="49"/>
      <c r="J294" s="100">
        <f>I294 * salesTaxPct</f>
        <v>0</v>
      </c>
      <c r="K294" s="49"/>
      <c r="L294" s="100">
        <f t="shared" si="5"/>
        <v>0</v>
      </c>
      <c r="M294" s="103"/>
      <c r="N294" s="14" t="str">
        <f ca="1">IF(NOZZLES[[#This Row],[ID]] &lt;&gt; "", IF(A294 = "000", A294 &amp; " | None", A294 &amp; " | " &amp; C294 &amp; " | " &amp; D294 &amp; " | " &amp; F294 &amp; "mm"), "")</f>
        <v/>
      </c>
    </row>
    <row r="295" spans="1:14" ht="22.5" customHeight="1">
      <c r="A295" s="111" t="str">
        <f ca="1">IF(NOZZLES[[#This Row],[PRODUCT]] &lt;&gt; "", IF(ROW() = 2, "000", TEXT(INDIRECT("A" &amp; ROW() - 1) + 1, "000")), "")</f>
        <v/>
      </c>
      <c r="B295" s="102"/>
      <c r="C295" s="17"/>
      <c r="D295" s="102"/>
      <c r="E295" s="48"/>
      <c r="F295" s="48"/>
      <c r="G295" s="49"/>
      <c r="H295" s="49"/>
      <c r="I295" s="49"/>
      <c r="J295" s="100">
        <f>I295 * salesTaxPct</f>
        <v>0</v>
      </c>
      <c r="K295" s="49"/>
      <c r="L295" s="100">
        <f t="shared" si="5"/>
        <v>0</v>
      </c>
      <c r="M295" s="103"/>
      <c r="N295" s="14" t="str">
        <f ca="1">IF(NOZZLES[[#This Row],[ID]] &lt;&gt; "", IF(A295 = "000", A295 &amp; " | None", A295 &amp; " | " &amp; C295 &amp; " | " &amp; D295 &amp; " | " &amp; F295 &amp; "mm"), "")</f>
        <v/>
      </c>
    </row>
    <row r="296" spans="1:14" ht="22.5" customHeight="1">
      <c r="A296" s="111" t="str">
        <f ca="1">IF(NOZZLES[[#This Row],[PRODUCT]] &lt;&gt; "", IF(ROW() = 2, "000", TEXT(INDIRECT("A" &amp; ROW() - 1) + 1, "000")), "")</f>
        <v/>
      </c>
      <c r="B296" s="102"/>
      <c r="C296" s="17"/>
      <c r="D296" s="102"/>
      <c r="E296" s="48"/>
      <c r="F296" s="48"/>
      <c r="G296" s="49"/>
      <c r="H296" s="49"/>
      <c r="I296" s="49"/>
      <c r="J296" s="100">
        <f>I296 * salesTaxPct</f>
        <v>0</v>
      </c>
      <c r="K296" s="49"/>
      <c r="L296" s="100">
        <f t="shared" si="5"/>
        <v>0</v>
      </c>
      <c r="M296" s="103"/>
      <c r="N296" s="14" t="str">
        <f ca="1">IF(NOZZLES[[#This Row],[ID]] &lt;&gt; "", IF(A296 = "000", A296 &amp; " | None", A296 &amp; " | " &amp; C296 &amp; " | " &amp; D296 &amp; " | " &amp; F296 &amp; "mm"), "")</f>
        <v/>
      </c>
    </row>
    <row r="297" spans="1:14" ht="22.5" customHeight="1">
      <c r="A297" s="111" t="str">
        <f ca="1">IF(NOZZLES[[#This Row],[PRODUCT]] &lt;&gt; "", IF(ROW() = 2, "000", TEXT(INDIRECT("A" &amp; ROW() - 1) + 1, "000")), "")</f>
        <v/>
      </c>
      <c r="B297" s="102"/>
      <c r="C297" s="17"/>
      <c r="D297" s="102"/>
      <c r="E297" s="48"/>
      <c r="F297" s="48"/>
      <c r="G297" s="49"/>
      <c r="H297" s="49"/>
      <c r="I297" s="49"/>
      <c r="J297" s="100">
        <f>I297 * salesTaxPct</f>
        <v>0</v>
      </c>
      <c r="K297" s="49"/>
      <c r="L297" s="100">
        <f t="shared" si="5"/>
        <v>0</v>
      </c>
      <c r="M297" s="103"/>
      <c r="N297" s="14" t="str">
        <f ca="1">IF(NOZZLES[[#This Row],[ID]] &lt;&gt; "", IF(A297 = "000", A297 &amp; " | None", A297 &amp; " | " &amp; C297 &amp; " | " &amp; D297 &amp; " | " &amp; F297 &amp; "mm"), "")</f>
        <v/>
      </c>
    </row>
    <row r="298" spans="1:14" ht="22.5" customHeight="1">
      <c r="A298" s="111" t="str">
        <f ca="1">IF(NOZZLES[[#This Row],[PRODUCT]] &lt;&gt; "", IF(ROW() = 2, "000", TEXT(INDIRECT("A" &amp; ROW() - 1) + 1, "000")), "")</f>
        <v/>
      </c>
      <c r="B298" s="102"/>
      <c r="C298" s="17"/>
      <c r="D298" s="102"/>
      <c r="E298" s="48"/>
      <c r="F298" s="48"/>
      <c r="G298" s="49"/>
      <c r="H298" s="49"/>
      <c r="I298" s="49"/>
      <c r="J298" s="100">
        <f>I298 * salesTaxPct</f>
        <v>0</v>
      </c>
      <c r="K298" s="49"/>
      <c r="L298" s="100">
        <f t="shared" si="5"/>
        <v>0</v>
      </c>
      <c r="M298" s="103"/>
      <c r="N298" s="14" t="str">
        <f ca="1">IF(NOZZLES[[#This Row],[ID]] &lt;&gt; "", IF(A298 = "000", A298 &amp; " | None", A298 &amp; " | " &amp; C298 &amp; " | " &amp; D298 &amp; " | " &amp; F298 &amp; "mm"), "")</f>
        <v/>
      </c>
    </row>
    <row r="299" spans="1:14" ht="22.5" customHeight="1">
      <c r="A299" s="111" t="str">
        <f ca="1">IF(NOZZLES[[#This Row],[PRODUCT]] &lt;&gt; "", IF(ROW() = 2, "000", TEXT(INDIRECT("A" &amp; ROW() - 1) + 1, "000")), "")</f>
        <v/>
      </c>
      <c r="B299" s="102"/>
      <c r="C299" s="17"/>
      <c r="D299" s="102"/>
      <c r="E299" s="48"/>
      <c r="F299" s="48"/>
      <c r="G299" s="49"/>
      <c r="H299" s="49"/>
      <c r="I299" s="49"/>
      <c r="J299" s="100">
        <f>I299 * salesTaxPct</f>
        <v>0</v>
      </c>
      <c r="K299" s="49"/>
      <c r="L299" s="100">
        <f t="shared" si="5"/>
        <v>0</v>
      </c>
      <c r="M299" s="103"/>
      <c r="N299" s="14" t="str">
        <f ca="1">IF(NOZZLES[[#This Row],[ID]] &lt;&gt; "", IF(A299 = "000", A299 &amp; " | None", A299 &amp; " | " &amp; C299 &amp; " | " &amp; D299 &amp; " | " &amp; F299 &amp; "mm"), "")</f>
        <v/>
      </c>
    </row>
    <row r="300" spans="1:14" ht="22.5" customHeight="1">
      <c r="A300" s="111" t="str">
        <f ca="1">IF(NOZZLES[[#This Row],[PRODUCT]] &lt;&gt; "", IF(ROW() = 2, "000", TEXT(INDIRECT("A" &amp; ROW() - 1) + 1, "000")), "")</f>
        <v/>
      </c>
      <c r="B300" s="102"/>
      <c r="C300" s="17"/>
      <c r="D300" s="102"/>
      <c r="E300" s="48"/>
      <c r="F300" s="48"/>
      <c r="G300" s="49"/>
      <c r="H300" s="49"/>
      <c r="I300" s="49"/>
      <c r="J300" s="100">
        <f>I300 * salesTaxPct</f>
        <v>0</v>
      </c>
      <c r="K300" s="49"/>
      <c r="L300" s="100">
        <f t="shared" si="5"/>
        <v>0</v>
      </c>
      <c r="M300" s="103"/>
      <c r="N300" s="14" t="str">
        <f ca="1">IF(NOZZLES[[#This Row],[ID]] &lt;&gt; "", IF(A300 = "000", A300 &amp; " | None", A300 &amp; " | " &amp; C300 &amp; " | " &amp; D300 &amp; " | " &amp; F300 &amp; "mm"), "")</f>
        <v/>
      </c>
    </row>
    <row r="301" spans="1:14" ht="22.5" customHeight="1">
      <c r="A301" s="111" t="str">
        <f ca="1">IF(NOZZLES[[#This Row],[PRODUCT]] &lt;&gt; "", IF(ROW() = 2, "000", TEXT(INDIRECT("A" &amp; ROW() - 1) + 1, "000")), "")</f>
        <v/>
      </c>
      <c r="B301" s="102"/>
      <c r="C301" s="17"/>
      <c r="D301" s="102"/>
      <c r="E301" s="48"/>
      <c r="F301" s="48"/>
      <c r="G301" s="49"/>
      <c r="H301" s="49"/>
      <c r="I301" s="49"/>
      <c r="J301" s="100">
        <f>I301 * salesTaxPct</f>
        <v>0</v>
      </c>
      <c r="K301" s="49"/>
      <c r="L301" s="100">
        <f t="shared" si="5"/>
        <v>0</v>
      </c>
      <c r="M301" s="103"/>
      <c r="N301" s="14" t="str">
        <f ca="1">IF(NOZZLES[[#This Row],[ID]] &lt;&gt; "", IF(A301 = "000", A301 &amp; " | None", A301 &amp; " | " &amp; C301 &amp; " | " &amp; D301 &amp; " | " &amp; F301 &amp; "mm"), "")</f>
        <v/>
      </c>
    </row>
    <row r="302" spans="1:14" ht="22.5" customHeight="1">
      <c r="A302" s="50"/>
      <c r="B302" s="102"/>
      <c r="C302" s="17"/>
      <c r="D302" s="102"/>
      <c r="E302" s="48"/>
      <c r="F302" s="48"/>
      <c r="G302" s="49"/>
      <c r="H302" s="49"/>
      <c r="I302" s="49"/>
      <c r="J302" s="49"/>
      <c r="K302" s="49"/>
      <c r="L302" s="24"/>
      <c r="M302" s="103"/>
    </row>
    <row r="303" spans="1:14" ht="22.5" customHeight="1">
      <c r="A303" s="50"/>
      <c r="B303" s="102"/>
      <c r="C303" s="17"/>
      <c r="D303" s="102"/>
      <c r="E303" s="48"/>
      <c r="F303" s="48"/>
      <c r="G303" s="49"/>
      <c r="H303" s="49"/>
      <c r="I303" s="49"/>
      <c r="J303" s="49"/>
      <c r="K303" s="49"/>
      <c r="L303" s="24"/>
      <c r="M303" s="103"/>
    </row>
    <row r="304" spans="1:14" ht="22.5" customHeight="1">
      <c r="A304" s="50"/>
      <c r="B304" s="102"/>
      <c r="C304" s="17"/>
      <c r="D304" s="102"/>
      <c r="E304" s="48"/>
      <c r="F304" s="48"/>
      <c r="G304" s="49"/>
      <c r="H304" s="49"/>
      <c r="I304" s="49"/>
      <c r="J304" s="49"/>
      <c r="K304" s="49"/>
      <c r="L304" s="24"/>
      <c r="M304" s="103"/>
    </row>
    <row r="305" spans="1:13" ht="22.5" customHeight="1">
      <c r="A305" s="50"/>
      <c r="B305" s="102"/>
      <c r="C305" s="17"/>
      <c r="D305" s="102"/>
      <c r="E305" s="48"/>
      <c r="F305" s="48"/>
      <c r="G305" s="49"/>
      <c r="H305" s="49"/>
      <c r="I305" s="49"/>
      <c r="J305" s="49"/>
      <c r="K305" s="49"/>
      <c r="L305" s="24"/>
      <c r="M305" s="103"/>
    </row>
    <row r="306" spans="1:13" ht="22.5" customHeight="1">
      <c r="A306" s="50"/>
      <c r="B306" s="102"/>
      <c r="C306" s="17"/>
      <c r="D306" s="102"/>
      <c r="E306" s="48"/>
      <c r="F306" s="48"/>
      <c r="G306" s="49"/>
      <c r="H306" s="49"/>
      <c r="I306" s="49"/>
      <c r="J306" s="49"/>
      <c r="K306" s="49"/>
      <c r="L306" s="24"/>
      <c r="M306" s="103"/>
    </row>
    <row r="307" spans="1:13" ht="22.5" customHeight="1">
      <c r="A307" s="50"/>
      <c r="B307" s="102"/>
      <c r="C307" s="17"/>
      <c r="D307" s="102"/>
      <c r="E307" s="48"/>
      <c r="F307" s="48"/>
      <c r="G307" s="49"/>
      <c r="H307" s="49"/>
      <c r="I307" s="49"/>
      <c r="J307" s="49"/>
      <c r="K307" s="49"/>
      <c r="L307" s="24"/>
      <c r="M307" s="103"/>
    </row>
    <row r="308" spans="1:13" ht="22.5" customHeight="1">
      <c r="A308" s="50"/>
      <c r="B308" s="102"/>
      <c r="C308" s="17"/>
      <c r="D308" s="102"/>
      <c r="E308" s="48"/>
      <c r="F308" s="48"/>
      <c r="G308" s="49"/>
      <c r="H308" s="49"/>
      <c r="I308" s="49"/>
      <c r="J308" s="49"/>
      <c r="K308" s="49"/>
      <c r="L308" s="24"/>
      <c r="M308" s="103"/>
    </row>
    <row r="309" spans="1:13" ht="22.5" customHeight="1">
      <c r="A309" s="50"/>
      <c r="B309" s="102"/>
      <c r="C309" s="17"/>
      <c r="D309" s="102"/>
      <c r="E309" s="48"/>
      <c r="F309" s="48"/>
      <c r="G309" s="49"/>
      <c r="H309" s="49"/>
      <c r="I309" s="49"/>
      <c r="J309" s="49"/>
      <c r="K309" s="49"/>
      <c r="L309" s="24"/>
      <c r="M309" s="103"/>
    </row>
    <row r="310" spans="1:13" ht="22.5" customHeight="1">
      <c r="A310" s="50"/>
      <c r="B310" s="102"/>
      <c r="C310" s="17"/>
      <c r="D310" s="102"/>
      <c r="E310" s="48"/>
      <c r="F310" s="48"/>
      <c r="G310" s="49"/>
      <c r="H310" s="49"/>
      <c r="I310" s="49"/>
      <c r="J310" s="49"/>
      <c r="K310" s="49"/>
      <c r="L310" s="24"/>
      <c r="M310" s="103"/>
    </row>
    <row r="311" spans="1:13" ht="22.5" customHeight="1">
      <c r="A311" s="50"/>
      <c r="B311" s="102"/>
      <c r="C311" s="17"/>
      <c r="D311" s="102"/>
      <c r="E311" s="48"/>
      <c r="F311" s="48"/>
      <c r="G311" s="49"/>
      <c r="H311" s="49"/>
      <c r="I311" s="49"/>
      <c r="J311" s="49"/>
      <c r="K311" s="49"/>
      <c r="L311" s="24"/>
      <c r="M311" s="103"/>
    </row>
    <row r="312" spans="1:13" ht="22.5" customHeight="1">
      <c r="A312" s="50"/>
      <c r="B312" s="102"/>
      <c r="C312" s="17"/>
      <c r="D312" s="102"/>
      <c r="E312" s="48"/>
      <c r="F312" s="48"/>
      <c r="G312" s="49"/>
      <c r="H312" s="49"/>
      <c r="I312" s="49"/>
      <c r="J312" s="49"/>
      <c r="K312" s="49"/>
      <c r="L312" s="24"/>
      <c r="M312" s="103"/>
    </row>
    <row r="313" spans="1:13" ht="22.5" customHeight="1">
      <c r="A313" s="50"/>
      <c r="B313" s="102"/>
      <c r="C313" s="17"/>
      <c r="D313" s="102"/>
      <c r="E313" s="48"/>
      <c r="F313" s="48"/>
      <c r="G313" s="49"/>
      <c r="H313" s="49"/>
      <c r="I313" s="49"/>
      <c r="J313" s="49"/>
      <c r="K313" s="49"/>
      <c r="L313" s="24"/>
      <c r="M313" s="103"/>
    </row>
    <row r="314" spans="1:13" ht="22.5" customHeight="1">
      <c r="A314" s="50"/>
      <c r="B314" s="102"/>
      <c r="C314" s="17"/>
      <c r="D314" s="102"/>
      <c r="E314" s="48"/>
      <c r="F314" s="48"/>
      <c r="G314" s="49"/>
      <c r="H314" s="49"/>
      <c r="I314" s="49"/>
      <c r="J314" s="49"/>
      <c r="K314" s="49"/>
      <c r="L314" s="24"/>
      <c r="M314" s="103"/>
    </row>
    <row r="315" spans="1:13" ht="22.5" customHeight="1">
      <c r="A315" s="50"/>
      <c r="B315" s="102"/>
      <c r="C315" s="17"/>
      <c r="D315" s="102"/>
      <c r="E315" s="48"/>
      <c r="F315" s="48"/>
      <c r="G315" s="49"/>
      <c r="H315" s="49"/>
      <c r="I315" s="49"/>
      <c r="J315" s="49"/>
      <c r="K315" s="49"/>
      <c r="L315" s="24"/>
      <c r="M315" s="103"/>
    </row>
    <row r="316" spans="1:13" ht="22.5" customHeight="1">
      <c r="A316" s="50"/>
      <c r="B316" s="102"/>
      <c r="C316" s="17"/>
      <c r="D316" s="102"/>
      <c r="E316" s="48"/>
      <c r="F316" s="48"/>
      <c r="G316" s="49"/>
      <c r="H316" s="49"/>
      <c r="I316" s="49"/>
      <c r="J316" s="49"/>
      <c r="K316" s="49"/>
      <c r="L316" s="24"/>
      <c r="M316" s="103"/>
    </row>
    <row r="317" spans="1:13" ht="22.5" customHeight="1">
      <c r="A317" s="50"/>
      <c r="B317" s="102"/>
      <c r="C317" s="17"/>
      <c r="D317" s="102"/>
      <c r="E317" s="48"/>
      <c r="F317" s="48"/>
      <c r="G317" s="49"/>
      <c r="H317" s="49"/>
      <c r="I317" s="49"/>
      <c r="J317" s="49"/>
      <c r="K317" s="49"/>
      <c r="L317" s="24"/>
      <c r="M317" s="103"/>
    </row>
    <row r="318" spans="1:13" ht="22.5" customHeight="1">
      <c r="A318" s="50"/>
      <c r="B318" s="102"/>
      <c r="C318" s="17"/>
      <c r="D318" s="102"/>
      <c r="E318" s="48"/>
      <c r="F318" s="48"/>
      <c r="G318" s="49"/>
      <c r="H318" s="49"/>
      <c r="I318" s="49"/>
      <c r="J318" s="49"/>
      <c r="K318" s="49"/>
      <c r="L318" s="24"/>
      <c r="M318" s="103"/>
    </row>
    <row r="319" spans="1:13" ht="22.5" customHeight="1">
      <c r="A319" s="50"/>
      <c r="B319" s="102"/>
      <c r="C319" s="17"/>
      <c r="D319" s="102"/>
      <c r="E319" s="48"/>
      <c r="F319" s="48"/>
      <c r="G319" s="49"/>
      <c r="H319" s="49"/>
      <c r="I319" s="49"/>
      <c r="J319" s="49"/>
      <c r="K319" s="49"/>
      <c r="L319" s="24"/>
      <c r="M319" s="103"/>
    </row>
    <row r="320" spans="1:13" ht="22.5" customHeight="1">
      <c r="A320" s="50"/>
      <c r="B320" s="102"/>
      <c r="C320" s="17"/>
      <c r="D320" s="102"/>
      <c r="E320" s="48"/>
      <c r="F320" s="48"/>
      <c r="G320" s="49"/>
      <c r="H320" s="49"/>
      <c r="I320" s="49"/>
      <c r="J320" s="49"/>
      <c r="K320" s="49"/>
      <c r="L320" s="24"/>
      <c r="M320" s="103"/>
    </row>
    <row r="321" spans="1:13" ht="22.5" customHeight="1">
      <c r="A321" s="50"/>
      <c r="B321" s="102"/>
      <c r="C321" s="17"/>
      <c r="D321" s="102"/>
      <c r="E321" s="48"/>
      <c r="F321" s="48"/>
      <c r="G321" s="49"/>
      <c r="H321" s="49"/>
      <c r="I321" s="49"/>
      <c r="J321" s="49"/>
      <c r="K321" s="49"/>
      <c r="L321" s="24"/>
      <c r="M321" s="103"/>
    </row>
    <row r="322" spans="1:13" ht="22.5" customHeight="1">
      <c r="A322" s="50"/>
      <c r="B322" s="102"/>
      <c r="C322" s="17"/>
      <c r="D322" s="102"/>
      <c r="E322" s="48"/>
      <c r="F322" s="48"/>
      <c r="G322" s="49"/>
      <c r="H322" s="49"/>
      <c r="I322" s="49"/>
      <c r="J322" s="49"/>
      <c r="K322" s="49"/>
      <c r="L322" s="24"/>
      <c r="M322" s="103"/>
    </row>
    <row r="323" spans="1:13" ht="22.5" customHeight="1">
      <c r="A323" s="50"/>
      <c r="B323" s="102"/>
      <c r="C323" s="17"/>
      <c r="D323" s="102"/>
      <c r="E323" s="48"/>
      <c r="F323" s="48"/>
      <c r="G323" s="49"/>
      <c r="H323" s="49"/>
      <c r="I323" s="49"/>
      <c r="J323" s="49"/>
      <c r="K323" s="49"/>
      <c r="L323" s="24"/>
      <c r="M323" s="103"/>
    </row>
    <row r="324" spans="1:13" ht="22.5" customHeight="1">
      <c r="A324" s="50"/>
      <c r="B324" s="102"/>
      <c r="C324" s="17"/>
      <c r="D324" s="102"/>
      <c r="E324" s="48"/>
      <c r="F324" s="48"/>
      <c r="G324" s="49"/>
      <c r="H324" s="49"/>
      <c r="I324" s="49"/>
      <c r="J324" s="49"/>
      <c r="K324" s="49"/>
      <c r="L324" s="24"/>
      <c r="M324" s="103"/>
    </row>
    <row r="325" spans="1:13" ht="22.5" customHeight="1">
      <c r="A325" s="50"/>
      <c r="B325" s="102"/>
      <c r="C325" s="17"/>
      <c r="D325" s="102"/>
      <c r="E325" s="48"/>
      <c r="F325" s="48"/>
      <c r="G325" s="49"/>
      <c r="H325" s="49"/>
      <c r="I325" s="49"/>
      <c r="J325" s="49"/>
      <c r="K325" s="49"/>
      <c r="L325" s="24"/>
      <c r="M325" s="103"/>
    </row>
    <row r="326" spans="1:13" ht="22.5" customHeight="1">
      <c r="A326" s="50"/>
      <c r="B326" s="102"/>
      <c r="C326" s="17"/>
      <c r="D326" s="102"/>
      <c r="E326" s="48"/>
      <c r="F326" s="48"/>
      <c r="G326" s="49"/>
      <c r="H326" s="49"/>
      <c r="I326" s="49"/>
      <c r="J326" s="49"/>
      <c r="K326" s="49"/>
      <c r="L326" s="24"/>
      <c r="M326" s="103"/>
    </row>
    <row r="327" spans="1:13" ht="22.5" customHeight="1">
      <c r="A327" s="50"/>
      <c r="B327" s="102"/>
      <c r="C327" s="17"/>
      <c r="D327" s="102"/>
      <c r="E327" s="48"/>
      <c r="F327" s="48"/>
      <c r="G327" s="49"/>
      <c r="H327" s="49"/>
      <c r="I327" s="49"/>
      <c r="J327" s="49"/>
      <c r="K327" s="49"/>
      <c r="L327" s="24"/>
      <c r="M327" s="103"/>
    </row>
    <row r="328" spans="1:13" ht="22.5" customHeight="1">
      <c r="A328" s="50"/>
      <c r="B328" s="102"/>
      <c r="C328" s="17"/>
      <c r="D328" s="102"/>
      <c r="E328" s="48"/>
      <c r="F328" s="48"/>
      <c r="G328" s="49"/>
      <c r="H328" s="49"/>
      <c r="I328" s="49"/>
      <c r="J328" s="49"/>
      <c r="K328" s="49"/>
      <c r="L328" s="24"/>
      <c r="M328" s="103"/>
    </row>
    <row r="329" spans="1:13" ht="22.5" customHeight="1">
      <c r="A329" s="50"/>
      <c r="B329" s="102"/>
      <c r="C329" s="17"/>
      <c r="D329" s="102"/>
      <c r="E329" s="48"/>
      <c r="F329" s="48"/>
      <c r="G329" s="49"/>
      <c r="H329" s="49"/>
      <c r="I329" s="49"/>
      <c r="J329" s="49"/>
      <c r="K329" s="49"/>
      <c r="L329" s="24"/>
      <c r="M329" s="103"/>
    </row>
    <row r="330" spans="1:13" ht="22.5" customHeight="1">
      <c r="A330" s="50"/>
      <c r="B330" s="102"/>
      <c r="C330" s="17"/>
      <c r="D330" s="102"/>
      <c r="E330" s="48"/>
      <c r="F330" s="48"/>
      <c r="G330" s="49"/>
      <c r="H330" s="49"/>
      <c r="I330" s="49"/>
      <c r="J330" s="49"/>
      <c r="K330" s="49"/>
      <c r="L330" s="24"/>
      <c r="M330" s="103"/>
    </row>
    <row r="331" spans="1:13" ht="22.5" customHeight="1">
      <c r="A331" s="50"/>
      <c r="B331" s="102"/>
      <c r="C331" s="17"/>
      <c r="D331" s="102"/>
      <c r="E331" s="48"/>
      <c r="F331" s="48"/>
      <c r="G331" s="49"/>
      <c r="H331" s="49"/>
      <c r="I331" s="49"/>
      <c r="J331" s="49"/>
      <c r="K331" s="49"/>
      <c r="L331" s="24"/>
      <c r="M331" s="103"/>
    </row>
    <row r="332" spans="1:13" ht="22.5" customHeight="1">
      <c r="A332" s="50"/>
      <c r="B332" s="102"/>
      <c r="C332" s="17"/>
      <c r="D332" s="102"/>
      <c r="E332" s="48"/>
      <c r="F332" s="48"/>
      <c r="G332" s="49"/>
      <c r="H332" s="49"/>
      <c r="I332" s="49"/>
      <c r="J332" s="49"/>
      <c r="K332" s="49"/>
      <c r="L332" s="24"/>
      <c r="M332" s="103"/>
    </row>
    <row r="333" spans="1:13" ht="22.5" customHeight="1">
      <c r="A333" s="50"/>
      <c r="B333" s="102"/>
      <c r="C333" s="17"/>
      <c r="D333" s="102"/>
      <c r="E333" s="48"/>
      <c r="F333" s="48"/>
      <c r="G333" s="49"/>
      <c r="H333" s="49"/>
      <c r="I333" s="49"/>
      <c r="J333" s="49"/>
      <c r="K333" s="49"/>
      <c r="L333" s="24"/>
      <c r="M333" s="103"/>
    </row>
    <row r="334" spans="1:13" ht="22.5" customHeight="1">
      <c r="A334" s="50"/>
      <c r="B334" s="102"/>
      <c r="C334" s="17"/>
      <c r="D334" s="102"/>
      <c r="E334" s="48"/>
      <c r="F334" s="48"/>
      <c r="G334" s="49"/>
      <c r="H334" s="49"/>
      <c r="I334" s="49"/>
      <c r="J334" s="49"/>
      <c r="K334" s="49"/>
      <c r="L334" s="24"/>
      <c r="M334" s="103"/>
    </row>
    <row r="335" spans="1:13" ht="22.5" customHeight="1">
      <c r="A335" s="50"/>
      <c r="B335" s="102"/>
      <c r="C335" s="17"/>
      <c r="D335" s="102"/>
      <c r="E335" s="48"/>
      <c r="F335" s="48"/>
      <c r="G335" s="49"/>
      <c r="H335" s="49"/>
      <c r="I335" s="49"/>
      <c r="J335" s="49"/>
      <c r="K335" s="49"/>
      <c r="L335" s="24"/>
      <c r="M335" s="103"/>
    </row>
    <row r="336" spans="1:13" ht="22.5" customHeight="1">
      <c r="A336" s="50"/>
      <c r="B336" s="102"/>
      <c r="C336" s="17"/>
      <c r="D336" s="102"/>
      <c r="E336" s="48"/>
      <c r="F336" s="48"/>
      <c r="G336" s="49"/>
      <c r="H336" s="49"/>
      <c r="I336" s="49"/>
      <c r="J336" s="49"/>
      <c r="K336" s="49"/>
      <c r="L336" s="24"/>
      <c r="M336" s="103"/>
    </row>
    <row r="337" spans="1:13" ht="22.5" customHeight="1">
      <c r="A337" s="50"/>
      <c r="B337" s="102"/>
      <c r="C337" s="17"/>
      <c r="D337" s="102"/>
      <c r="E337" s="48"/>
      <c r="F337" s="48"/>
      <c r="G337" s="49"/>
      <c r="H337" s="49"/>
      <c r="I337" s="49"/>
      <c r="J337" s="49"/>
      <c r="K337" s="49"/>
      <c r="L337" s="24"/>
      <c r="M337" s="103"/>
    </row>
    <row r="338" spans="1:13" ht="22.5" customHeight="1">
      <c r="A338" s="50"/>
      <c r="B338" s="102"/>
      <c r="C338" s="17"/>
      <c r="D338" s="102"/>
      <c r="E338" s="48"/>
      <c r="F338" s="48"/>
      <c r="G338" s="49"/>
      <c r="H338" s="49"/>
      <c r="I338" s="49"/>
      <c r="J338" s="49"/>
      <c r="K338" s="49"/>
      <c r="L338" s="24"/>
      <c r="M338" s="103"/>
    </row>
    <row r="339" spans="1:13" ht="22.5" customHeight="1">
      <c r="A339" s="50"/>
      <c r="B339" s="102"/>
      <c r="C339" s="17"/>
      <c r="D339" s="102"/>
      <c r="E339" s="48"/>
      <c r="F339" s="48"/>
      <c r="G339" s="49"/>
      <c r="H339" s="49"/>
      <c r="I339" s="49"/>
      <c r="J339" s="49"/>
      <c r="K339" s="49"/>
      <c r="L339" s="24"/>
      <c r="M339" s="103"/>
    </row>
    <row r="340" spans="1:13" ht="22.5" customHeight="1">
      <c r="A340" s="50"/>
      <c r="B340" s="102"/>
      <c r="C340" s="17"/>
      <c r="D340" s="102"/>
      <c r="E340" s="48"/>
      <c r="F340" s="48"/>
      <c r="G340" s="49"/>
      <c r="H340" s="49"/>
      <c r="I340" s="49"/>
      <c r="J340" s="49"/>
      <c r="K340" s="49"/>
      <c r="L340" s="24"/>
      <c r="M340" s="103"/>
    </row>
    <row r="341" spans="1:13" ht="22.5" customHeight="1">
      <c r="A341" s="50"/>
      <c r="B341" s="102"/>
      <c r="C341" s="17"/>
      <c r="D341" s="102"/>
      <c r="E341" s="48"/>
      <c r="F341" s="48"/>
      <c r="G341" s="49"/>
      <c r="H341" s="49"/>
      <c r="I341" s="49"/>
      <c r="J341" s="49"/>
      <c r="K341" s="49"/>
      <c r="L341" s="24"/>
      <c r="M341" s="103"/>
    </row>
    <row r="342" spans="1:13" ht="22.5" customHeight="1">
      <c r="A342" s="50"/>
      <c r="B342" s="102"/>
      <c r="C342" s="17"/>
      <c r="D342" s="102"/>
      <c r="E342" s="48"/>
      <c r="F342" s="48"/>
      <c r="G342" s="49"/>
      <c r="H342" s="49"/>
      <c r="I342" s="49"/>
      <c r="J342" s="49"/>
      <c r="K342" s="49"/>
      <c r="L342" s="24"/>
      <c r="M342" s="103"/>
    </row>
    <row r="343" spans="1:13" ht="22.5" customHeight="1">
      <c r="A343" s="50"/>
      <c r="B343" s="102"/>
      <c r="C343" s="17"/>
      <c r="D343" s="102"/>
      <c r="E343" s="48"/>
      <c r="F343" s="48"/>
      <c r="G343" s="49"/>
      <c r="H343" s="49"/>
      <c r="I343" s="49"/>
      <c r="J343" s="49"/>
      <c r="K343" s="49"/>
      <c r="L343" s="24"/>
      <c r="M343" s="103"/>
    </row>
    <row r="344" spans="1:13" ht="22.5" customHeight="1">
      <c r="A344" s="50"/>
      <c r="B344" s="102"/>
      <c r="C344" s="17"/>
      <c r="D344" s="102"/>
      <c r="E344" s="48"/>
      <c r="F344" s="48"/>
      <c r="G344" s="49"/>
      <c r="H344" s="49"/>
      <c r="I344" s="49"/>
      <c r="J344" s="49"/>
      <c r="K344" s="49"/>
      <c r="L344" s="24"/>
      <c r="M344" s="103"/>
    </row>
    <row r="345" spans="1:13" ht="22.5" customHeight="1">
      <c r="A345" s="50"/>
      <c r="B345" s="102"/>
      <c r="C345" s="17"/>
      <c r="D345" s="102"/>
      <c r="E345" s="48"/>
      <c r="F345" s="48"/>
      <c r="G345" s="49"/>
      <c r="H345" s="49"/>
      <c r="I345" s="49"/>
      <c r="J345" s="49"/>
      <c r="K345" s="49"/>
      <c r="L345" s="24"/>
      <c r="M345" s="103"/>
    </row>
    <row r="346" spans="1:13" ht="22.5" customHeight="1">
      <c r="A346" s="50"/>
      <c r="B346" s="102"/>
      <c r="C346" s="17"/>
      <c r="D346" s="102"/>
      <c r="E346" s="48"/>
      <c r="F346" s="48"/>
      <c r="G346" s="49"/>
      <c r="H346" s="49"/>
      <c r="I346" s="49"/>
      <c r="J346" s="49"/>
      <c r="K346" s="49"/>
      <c r="L346" s="24"/>
      <c r="M346" s="103"/>
    </row>
    <row r="347" spans="1:13" ht="22.5" customHeight="1">
      <c r="A347" s="50"/>
      <c r="B347" s="102"/>
      <c r="C347" s="17"/>
      <c r="D347" s="102"/>
      <c r="E347" s="48"/>
      <c r="F347" s="48"/>
      <c r="G347" s="49"/>
      <c r="H347" s="49"/>
      <c r="I347" s="49"/>
      <c r="J347" s="49"/>
      <c r="K347" s="49"/>
      <c r="L347" s="24"/>
      <c r="M347" s="103"/>
    </row>
    <row r="348" spans="1:13" ht="22.5" customHeight="1">
      <c r="A348" s="50"/>
      <c r="B348" s="102"/>
      <c r="C348" s="17"/>
      <c r="D348" s="102"/>
      <c r="E348" s="48"/>
      <c r="F348" s="48"/>
      <c r="G348" s="49"/>
      <c r="H348" s="49"/>
      <c r="I348" s="49"/>
      <c r="J348" s="49"/>
      <c r="K348" s="49"/>
      <c r="L348" s="24"/>
      <c r="M348" s="103"/>
    </row>
    <row r="349" spans="1:13" ht="22.5" customHeight="1">
      <c r="A349" s="50"/>
      <c r="B349" s="102"/>
      <c r="C349" s="17"/>
      <c r="D349" s="102"/>
      <c r="E349" s="48"/>
      <c r="F349" s="48"/>
      <c r="G349" s="49"/>
      <c r="H349" s="49"/>
      <c r="I349" s="49"/>
      <c r="J349" s="49"/>
      <c r="K349" s="49"/>
      <c r="L349" s="24"/>
      <c r="M349" s="103"/>
    </row>
    <row r="350" spans="1:13" ht="22.5" customHeight="1">
      <c r="A350" s="50"/>
      <c r="B350" s="102"/>
      <c r="C350" s="17"/>
      <c r="D350" s="102"/>
      <c r="E350" s="48"/>
      <c r="F350" s="48"/>
      <c r="G350" s="49"/>
      <c r="H350" s="49"/>
      <c r="I350" s="49"/>
      <c r="J350" s="49"/>
      <c r="K350" s="49"/>
      <c r="L350" s="24"/>
      <c r="M350" s="103"/>
    </row>
    <row r="351" spans="1:13" ht="22.5" customHeight="1">
      <c r="A351" s="50"/>
      <c r="B351" s="102"/>
      <c r="C351" s="17"/>
      <c r="D351" s="102"/>
      <c r="E351" s="48"/>
      <c r="F351" s="48"/>
      <c r="G351" s="49"/>
      <c r="H351" s="49"/>
      <c r="I351" s="49"/>
      <c r="J351" s="49"/>
      <c r="K351" s="49"/>
      <c r="L351" s="24"/>
      <c r="M351" s="103"/>
    </row>
    <row r="352" spans="1:13" ht="22.5" customHeight="1">
      <c r="A352" s="50"/>
      <c r="B352" s="102"/>
      <c r="C352" s="17"/>
      <c r="D352" s="102"/>
      <c r="E352" s="48"/>
      <c r="F352" s="48"/>
      <c r="G352" s="49"/>
      <c r="H352" s="49"/>
      <c r="I352" s="49"/>
      <c r="J352" s="49"/>
      <c r="K352" s="49"/>
      <c r="L352" s="24"/>
      <c r="M352" s="103"/>
    </row>
    <row r="353" spans="1:13" ht="22.5" customHeight="1">
      <c r="A353" s="50"/>
      <c r="B353" s="102"/>
      <c r="C353" s="17"/>
      <c r="D353" s="102"/>
      <c r="E353" s="48"/>
      <c r="F353" s="48"/>
      <c r="G353" s="49"/>
      <c r="H353" s="49"/>
      <c r="I353" s="49"/>
      <c r="J353" s="49"/>
      <c r="K353" s="49"/>
      <c r="L353" s="24"/>
      <c r="M353" s="103"/>
    </row>
    <row r="354" spans="1:13" ht="22.5" customHeight="1">
      <c r="A354" s="50"/>
      <c r="B354" s="102"/>
      <c r="C354" s="17"/>
      <c r="D354" s="102"/>
      <c r="E354" s="48"/>
      <c r="F354" s="48"/>
      <c r="G354" s="49"/>
      <c r="H354" s="49"/>
      <c r="I354" s="49"/>
      <c r="J354" s="49"/>
      <c r="K354" s="49"/>
      <c r="L354" s="24"/>
      <c r="M354" s="103"/>
    </row>
    <row r="355" spans="1:13" ht="22.5" customHeight="1">
      <c r="A355" s="50"/>
      <c r="B355" s="102"/>
      <c r="C355" s="17"/>
      <c r="D355" s="102"/>
      <c r="E355" s="48"/>
      <c r="F355" s="48"/>
      <c r="G355" s="49"/>
      <c r="H355" s="49"/>
      <c r="I355" s="49"/>
      <c r="J355" s="49"/>
      <c r="K355" s="49"/>
      <c r="L355" s="24"/>
      <c r="M355" s="103"/>
    </row>
    <row r="356" spans="1:13" ht="22.5" customHeight="1">
      <c r="A356" s="50"/>
      <c r="B356" s="102"/>
      <c r="C356" s="17"/>
      <c r="D356" s="102"/>
      <c r="E356" s="48"/>
      <c r="F356" s="48"/>
      <c r="G356" s="49"/>
      <c r="H356" s="49"/>
      <c r="I356" s="49"/>
      <c r="J356" s="49"/>
      <c r="K356" s="49"/>
      <c r="L356" s="24"/>
      <c r="M356" s="103"/>
    </row>
    <row r="357" spans="1:13" ht="22.5" customHeight="1">
      <c r="A357" s="50"/>
      <c r="B357" s="102"/>
      <c r="C357" s="17"/>
      <c r="D357" s="102"/>
      <c r="E357" s="48"/>
      <c r="F357" s="48"/>
      <c r="G357" s="49"/>
      <c r="H357" s="49"/>
      <c r="I357" s="49"/>
      <c r="J357" s="49"/>
      <c r="K357" s="49"/>
      <c r="L357" s="24"/>
      <c r="M357" s="103"/>
    </row>
    <row r="358" spans="1:13" ht="22.5" customHeight="1">
      <c r="A358" s="50"/>
      <c r="B358" s="102"/>
      <c r="C358" s="17"/>
      <c r="D358" s="102"/>
      <c r="E358" s="48"/>
      <c r="F358" s="48"/>
      <c r="G358" s="49"/>
      <c r="H358" s="49"/>
      <c r="I358" s="49"/>
      <c r="J358" s="49"/>
      <c r="K358" s="49"/>
      <c r="L358" s="24"/>
      <c r="M358" s="103"/>
    </row>
    <row r="359" spans="1:13" ht="22.5" customHeight="1">
      <c r="A359" s="50"/>
      <c r="B359" s="102"/>
      <c r="C359" s="17"/>
      <c r="D359" s="102"/>
      <c r="E359" s="48"/>
      <c r="F359" s="48"/>
      <c r="G359" s="49"/>
      <c r="H359" s="49"/>
      <c r="I359" s="49"/>
      <c r="J359" s="49"/>
      <c r="K359" s="49"/>
      <c r="L359" s="24"/>
      <c r="M359" s="103"/>
    </row>
    <row r="360" spans="1:13" ht="22.5" customHeight="1">
      <c r="A360" s="50"/>
      <c r="B360" s="102"/>
      <c r="C360" s="17"/>
      <c r="D360" s="102"/>
      <c r="E360" s="48"/>
      <c r="F360" s="48"/>
      <c r="G360" s="49"/>
      <c r="H360" s="49"/>
      <c r="I360" s="49"/>
      <c r="J360" s="49"/>
      <c r="K360" s="49"/>
      <c r="L360" s="24"/>
      <c r="M360" s="103"/>
    </row>
    <row r="361" spans="1:13" ht="22.5" customHeight="1">
      <c r="A361" s="50"/>
      <c r="B361" s="102"/>
      <c r="C361" s="17"/>
      <c r="D361" s="102"/>
      <c r="E361" s="48"/>
      <c r="F361" s="48"/>
      <c r="G361" s="49"/>
      <c r="H361" s="49"/>
      <c r="I361" s="49"/>
      <c r="J361" s="49"/>
      <c r="K361" s="49"/>
      <c r="L361" s="24"/>
      <c r="M361" s="103"/>
    </row>
    <row r="362" spans="1:13" ht="22.5" customHeight="1">
      <c r="A362" s="50"/>
      <c r="B362" s="102"/>
      <c r="C362" s="17"/>
      <c r="D362" s="102"/>
      <c r="E362" s="48"/>
      <c r="F362" s="48"/>
      <c r="G362" s="49"/>
      <c r="H362" s="49"/>
      <c r="I362" s="49"/>
      <c r="J362" s="49"/>
      <c r="K362" s="49"/>
      <c r="L362" s="24"/>
      <c r="M362" s="103"/>
    </row>
    <row r="363" spans="1:13" ht="22.5" customHeight="1">
      <c r="A363" s="50"/>
      <c r="B363" s="102"/>
      <c r="C363" s="17"/>
      <c r="D363" s="102"/>
      <c r="E363" s="48"/>
      <c r="F363" s="48"/>
      <c r="G363" s="49"/>
      <c r="H363" s="49"/>
      <c r="I363" s="49"/>
      <c r="J363" s="49"/>
      <c r="K363" s="49"/>
      <c r="L363" s="24"/>
      <c r="M363" s="103"/>
    </row>
    <row r="364" spans="1:13" ht="22.5" customHeight="1">
      <c r="A364" s="50"/>
      <c r="B364" s="102"/>
      <c r="C364" s="17"/>
      <c r="D364" s="102"/>
      <c r="E364" s="48"/>
      <c r="F364" s="48"/>
      <c r="G364" s="49"/>
      <c r="H364" s="49"/>
      <c r="I364" s="49"/>
      <c r="J364" s="49"/>
      <c r="K364" s="49"/>
      <c r="L364" s="24"/>
      <c r="M364" s="103"/>
    </row>
    <row r="365" spans="1:13" ht="22.5" customHeight="1">
      <c r="A365" s="50"/>
      <c r="B365" s="102"/>
      <c r="C365" s="17"/>
      <c r="D365" s="102"/>
      <c r="E365" s="48"/>
      <c r="F365" s="48"/>
      <c r="G365" s="49"/>
      <c r="H365" s="49"/>
      <c r="I365" s="49"/>
      <c r="J365" s="49"/>
      <c r="K365" s="49"/>
      <c r="L365" s="24"/>
      <c r="M365" s="103"/>
    </row>
    <row r="366" spans="1:13" ht="22.5" customHeight="1">
      <c r="A366" s="50"/>
      <c r="B366" s="102"/>
      <c r="C366" s="17"/>
      <c r="D366" s="102"/>
      <c r="E366" s="48"/>
      <c r="F366" s="48"/>
      <c r="G366" s="49"/>
      <c r="H366" s="49"/>
      <c r="I366" s="49"/>
      <c r="J366" s="49"/>
      <c r="K366" s="49"/>
      <c r="L366" s="24"/>
      <c r="M366" s="103"/>
    </row>
    <row r="367" spans="1:13" ht="22.5" customHeight="1">
      <c r="A367" s="50"/>
      <c r="B367" s="102"/>
      <c r="C367" s="17"/>
      <c r="D367" s="102"/>
      <c r="E367" s="48"/>
      <c r="F367" s="48"/>
      <c r="G367" s="49"/>
      <c r="H367" s="49"/>
      <c r="I367" s="49"/>
      <c r="J367" s="49"/>
      <c r="K367" s="49"/>
      <c r="L367" s="24"/>
      <c r="M367" s="103"/>
    </row>
    <row r="368" spans="1:13" ht="22.5" customHeight="1">
      <c r="A368" s="50"/>
      <c r="B368" s="102"/>
      <c r="C368" s="17"/>
      <c r="D368" s="102"/>
      <c r="E368" s="48"/>
      <c r="F368" s="48"/>
      <c r="G368" s="49"/>
      <c r="H368" s="49"/>
      <c r="I368" s="49"/>
      <c r="J368" s="49"/>
      <c r="K368" s="49"/>
      <c r="L368" s="24"/>
      <c r="M368" s="103"/>
    </row>
    <row r="369" spans="1:13" ht="22.5" customHeight="1">
      <c r="A369" s="50"/>
      <c r="B369" s="102"/>
      <c r="C369" s="17"/>
      <c r="D369" s="102"/>
      <c r="E369" s="48"/>
      <c r="F369" s="48"/>
      <c r="G369" s="49"/>
      <c r="H369" s="49"/>
      <c r="I369" s="49"/>
      <c r="J369" s="49"/>
      <c r="K369" s="49"/>
      <c r="L369" s="24"/>
      <c r="M369" s="103"/>
    </row>
    <row r="370" spans="1:13" ht="22.5" customHeight="1">
      <c r="A370" s="50"/>
      <c r="B370" s="102"/>
      <c r="C370" s="17"/>
      <c r="D370" s="102"/>
      <c r="E370" s="48"/>
      <c r="F370" s="48"/>
      <c r="G370" s="49"/>
      <c r="H370" s="49"/>
      <c r="I370" s="49"/>
      <c r="J370" s="49"/>
      <c r="K370" s="49"/>
      <c r="L370" s="24"/>
      <c r="M370" s="103"/>
    </row>
    <row r="371" spans="1:13" ht="22.5" customHeight="1">
      <c r="A371" s="50"/>
      <c r="B371" s="102"/>
      <c r="C371" s="17"/>
      <c r="D371" s="102"/>
      <c r="E371" s="48"/>
      <c r="F371" s="48"/>
      <c r="G371" s="49"/>
      <c r="H371" s="49"/>
      <c r="I371" s="49"/>
      <c r="J371" s="49"/>
      <c r="K371" s="49"/>
      <c r="L371" s="24"/>
      <c r="M371" s="103"/>
    </row>
    <row r="372" spans="1:13" ht="22.5" customHeight="1">
      <c r="A372" s="50"/>
      <c r="B372" s="102"/>
      <c r="C372" s="17"/>
      <c r="D372" s="102"/>
      <c r="E372" s="48"/>
      <c r="F372" s="48"/>
      <c r="G372" s="49"/>
      <c r="H372" s="49"/>
      <c r="I372" s="49"/>
      <c r="J372" s="49"/>
      <c r="K372" s="49"/>
      <c r="L372" s="24"/>
      <c r="M372" s="103"/>
    </row>
    <row r="373" spans="1:13" ht="22.5" customHeight="1">
      <c r="A373" s="50"/>
      <c r="B373" s="102"/>
      <c r="C373" s="17"/>
      <c r="D373" s="102"/>
      <c r="E373" s="48"/>
      <c r="F373" s="48"/>
      <c r="G373" s="49"/>
      <c r="H373" s="49"/>
      <c r="I373" s="49"/>
      <c r="J373" s="49"/>
      <c r="K373" s="49"/>
      <c r="L373" s="24"/>
      <c r="M373" s="103"/>
    </row>
    <row r="374" spans="1:13" ht="22.5" customHeight="1">
      <c r="A374" s="50"/>
      <c r="B374" s="102"/>
      <c r="C374" s="17"/>
      <c r="D374" s="102"/>
      <c r="E374" s="48"/>
      <c r="F374" s="48"/>
      <c r="G374" s="49"/>
      <c r="H374" s="49"/>
      <c r="I374" s="49"/>
      <c r="J374" s="49"/>
      <c r="K374" s="49"/>
      <c r="L374" s="24"/>
      <c r="M374" s="103"/>
    </row>
    <row r="375" spans="1:13" ht="22.5" customHeight="1">
      <c r="A375" s="50"/>
      <c r="B375" s="102"/>
      <c r="C375" s="17"/>
      <c r="D375" s="102"/>
      <c r="E375" s="48"/>
      <c r="F375" s="48"/>
      <c r="G375" s="49"/>
      <c r="H375" s="49"/>
      <c r="I375" s="49"/>
      <c r="J375" s="49"/>
      <c r="K375" s="49"/>
      <c r="L375" s="24"/>
      <c r="M375" s="103"/>
    </row>
    <row r="376" spans="1:13" ht="22.5" customHeight="1">
      <c r="A376" s="50"/>
      <c r="B376" s="102"/>
      <c r="C376" s="17"/>
      <c r="D376" s="102"/>
      <c r="E376" s="48"/>
      <c r="F376" s="48"/>
      <c r="G376" s="49"/>
      <c r="H376" s="49"/>
      <c r="I376" s="49"/>
      <c r="J376" s="49"/>
      <c r="K376" s="49"/>
      <c r="L376" s="24"/>
      <c r="M376" s="103"/>
    </row>
    <row r="377" spans="1:13" ht="22.5" customHeight="1">
      <c r="A377" s="50"/>
      <c r="B377" s="102"/>
      <c r="C377" s="17"/>
      <c r="D377" s="102"/>
      <c r="E377" s="48"/>
      <c r="F377" s="48"/>
      <c r="G377" s="49"/>
      <c r="H377" s="49"/>
      <c r="I377" s="49"/>
      <c r="J377" s="49"/>
      <c r="K377" s="49"/>
      <c r="L377" s="24"/>
      <c r="M377" s="103"/>
    </row>
    <row r="378" spans="1:13" ht="22.5" customHeight="1">
      <c r="A378" s="50"/>
      <c r="B378" s="102"/>
      <c r="C378" s="17"/>
      <c r="D378" s="102"/>
      <c r="E378" s="48"/>
      <c r="F378" s="48"/>
      <c r="G378" s="49"/>
      <c r="H378" s="49"/>
      <c r="I378" s="49"/>
      <c r="J378" s="49"/>
      <c r="K378" s="49"/>
      <c r="L378" s="24"/>
      <c r="M378" s="103"/>
    </row>
    <row r="379" spans="1:13" ht="22.5" customHeight="1">
      <c r="A379" s="50"/>
      <c r="B379" s="102"/>
      <c r="C379" s="17"/>
      <c r="D379" s="102"/>
      <c r="E379" s="48"/>
      <c r="F379" s="48"/>
      <c r="G379" s="49"/>
      <c r="H379" s="49"/>
      <c r="I379" s="49"/>
      <c r="J379" s="49"/>
      <c r="K379" s="49"/>
      <c r="L379" s="24"/>
      <c r="M379" s="103"/>
    </row>
    <row r="380" spans="1:13" ht="22.5" customHeight="1">
      <c r="A380" s="50"/>
      <c r="B380" s="102"/>
      <c r="C380" s="17"/>
      <c r="D380" s="102"/>
      <c r="E380" s="48"/>
      <c r="F380" s="48"/>
      <c r="G380" s="49"/>
      <c r="H380" s="49"/>
      <c r="I380" s="49"/>
      <c r="J380" s="49"/>
      <c r="K380" s="49"/>
      <c r="L380" s="24"/>
      <c r="M380" s="103"/>
    </row>
    <row r="381" spans="1:13" ht="22.5" customHeight="1">
      <c r="A381" s="50"/>
      <c r="B381" s="102"/>
      <c r="C381" s="17"/>
      <c r="D381" s="102"/>
      <c r="E381" s="48"/>
      <c r="F381" s="48"/>
      <c r="G381" s="49"/>
      <c r="H381" s="49"/>
      <c r="I381" s="49"/>
      <c r="J381" s="49"/>
      <c r="K381" s="49"/>
      <c r="L381" s="24"/>
      <c r="M381" s="103"/>
    </row>
    <row r="382" spans="1:13" ht="22.5" customHeight="1">
      <c r="A382" s="50"/>
      <c r="B382" s="102"/>
      <c r="C382" s="17"/>
      <c r="D382" s="102"/>
      <c r="E382" s="48"/>
      <c r="F382" s="48"/>
      <c r="G382" s="49"/>
      <c r="H382" s="49"/>
      <c r="I382" s="49"/>
      <c r="J382" s="49"/>
      <c r="K382" s="49"/>
      <c r="L382" s="24"/>
      <c r="M382" s="103"/>
    </row>
    <row r="383" spans="1:13" ht="22.5" customHeight="1">
      <c r="A383" s="50"/>
      <c r="B383" s="102"/>
      <c r="C383" s="17"/>
      <c r="D383" s="102"/>
      <c r="E383" s="48"/>
      <c r="F383" s="48"/>
      <c r="G383" s="49"/>
      <c r="H383" s="49"/>
      <c r="I383" s="49"/>
      <c r="J383" s="49"/>
      <c r="K383" s="49"/>
      <c r="L383" s="24"/>
      <c r="M383" s="103"/>
    </row>
    <row r="384" spans="1:13" ht="22.5" customHeight="1">
      <c r="A384" s="50"/>
      <c r="B384" s="102"/>
      <c r="C384" s="17"/>
      <c r="D384" s="102"/>
      <c r="E384" s="48"/>
      <c r="F384" s="48"/>
      <c r="G384" s="49"/>
      <c r="H384" s="49"/>
      <c r="I384" s="49"/>
      <c r="J384" s="49"/>
      <c r="K384" s="49"/>
      <c r="L384" s="24"/>
      <c r="M384" s="103"/>
    </row>
    <row r="385" spans="1:13" ht="22.5" customHeight="1">
      <c r="A385" s="50"/>
      <c r="B385" s="102"/>
      <c r="C385" s="17"/>
      <c r="D385" s="102"/>
      <c r="E385" s="48"/>
      <c r="F385" s="48"/>
      <c r="G385" s="49"/>
      <c r="H385" s="49"/>
      <c r="I385" s="49"/>
      <c r="J385" s="49"/>
      <c r="K385" s="49"/>
      <c r="L385" s="24"/>
      <c r="M385" s="103"/>
    </row>
    <row r="386" spans="1:13" ht="22.5" customHeight="1">
      <c r="A386" s="50"/>
      <c r="B386" s="102"/>
      <c r="C386" s="17"/>
      <c r="D386" s="102"/>
      <c r="E386" s="48"/>
      <c r="F386" s="48"/>
      <c r="G386" s="49"/>
      <c r="H386" s="49"/>
      <c r="I386" s="49"/>
      <c r="J386" s="49"/>
      <c r="K386" s="49"/>
      <c r="L386" s="24"/>
      <c r="M386" s="103"/>
    </row>
    <row r="387" spans="1:13" ht="22.5" customHeight="1">
      <c r="A387" s="50"/>
      <c r="B387" s="102"/>
      <c r="C387" s="17"/>
      <c r="D387" s="102"/>
      <c r="E387" s="48"/>
      <c r="F387" s="48"/>
      <c r="G387" s="49"/>
      <c r="H387" s="49"/>
      <c r="I387" s="49"/>
      <c r="J387" s="49"/>
      <c r="K387" s="49"/>
      <c r="L387" s="24"/>
      <c r="M387" s="103"/>
    </row>
    <row r="388" spans="1:13" ht="22.5" customHeight="1">
      <c r="A388" s="50"/>
      <c r="B388" s="102"/>
      <c r="C388" s="17"/>
      <c r="D388" s="102"/>
      <c r="E388" s="48"/>
      <c r="F388" s="48"/>
      <c r="G388" s="49"/>
      <c r="H388" s="49"/>
      <c r="I388" s="49"/>
      <c r="J388" s="49"/>
      <c r="K388" s="49"/>
      <c r="L388" s="24"/>
      <c r="M388" s="103"/>
    </row>
    <row r="389" spans="1:13" ht="22.5" customHeight="1">
      <c r="A389" s="50"/>
      <c r="B389" s="102"/>
      <c r="C389" s="17"/>
      <c r="D389" s="102"/>
      <c r="E389" s="48"/>
      <c r="F389" s="48"/>
      <c r="G389" s="49"/>
      <c r="H389" s="49"/>
      <c r="I389" s="49"/>
      <c r="J389" s="49"/>
      <c r="K389" s="49"/>
      <c r="L389" s="24"/>
      <c r="M389" s="103"/>
    </row>
    <row r="390" spans="1:13" ht="22.5" customHeight="1">
      <c r="A390" s="50"/>
      <c r="B390" s="102"/>
      <c r="C390" s="17"/>
      <c r="D390" s="102"/>
      <c r="E390" s="48"/>
      <c r="F390" s="48"/>
      <c r="G390" s="49"/>
      <c r="H390" s="49"/>
      <c r="I390" s="49"/>
      <c r="J390" s="49"/>
      <c r="K390" s="49"/>
      <c r="L390" s="24"/>
      <c r="M390" s="103"/>
    </row>
    <row r="391" spans="1:13" ht="22.5" customHeight="1">
      <c r="A391" s="50"/>
      <c r="B391" s="102"/>
      <c r="C391" s="17"/>
      <c r="D391" s="102"/>
      <c r="E391" s="48"/>
      <c r="F391" s="48"/>
      <c r="G391" s="49"/>
      <c r="H391" s="49"/>
      <c r="I391" s="49"/>
      <c r="J391" s="49"/>
      <c r="K391" s="49"/>
      <c r="L391" s="24"/>
      <c r="M391" s="103"/>
    </row>
    <row r="392" spans="1:13" ht="22.5" customHeight="1">
      <c r="A392" s="50"/>
      <c r="B392" s="102"/>
      <c r="C392" s="17"/>
      <c r="D392" s="102"/>
      <c r="E392" s="48"/>
      <c r="F392" s="48"/>
      <c r="G392" s="49"/>
      <c r="H392" s="49"/>
      <c r="I392" s="49"/>
      <c r="J392" s="49"/>
      <c r="K392" s="49"/>
      <c r="L392" s="24"/>
      <c r="M392" s="103"/>
    </row>
    <row r="393" spans="1:13" ht="22.5" customHeight="1">
      <c r="A393" s="50"/>
      <c r="B393" s="102"/>
      <c r="C393" s="17"/>
      <c r="D393" s="102"/>
      <c r="E393" s="48"/>
      <c r="F393" s="48"/>
      <c r="G393" s="49"/>
      <c r="H393" s="49"/>
      <c r="I393" s="49"/>
      <c r="J393" s="49"/>
      <c r="K393" s="49"/>
      <c r="L393" s="24"/>
      <c r="M393" s="103"/>
    </row>
    <row r="394" spans="1:13" ht="22.5" customHeight="1">
      <c r="A394" s="50"/>
      <c r="B394" s="102"/>
      <c r="C394" s="17"/>
      <c r="D394" s="102"/>
      <c r="E394" s="48"/>
      <c r="F394" s="48"/>
      <c r="G394" s="49"/>
      <c r="H394" s="49"/>
      <c r="I394" s="49"/>
      <c r="J394" s="49"/>
      <c r="K394" s="49"/>
      <c r="L394" s="24"/>
      <c r="M394" s="103"/>
    </row>
    <row r="395" spans="1:13" ht="22.5" customHeight="1">
      <c r="A395" s="50"/>
      <c r="B395" s="102"/>
      <c r="C395" s="17"/>
      <c r="D395" s="102"/>
      <c r="E395" s="48"/>
      <c r="F395" s="48"/>
      <c r="G395" s="49"/>
      <c r="H395" s="49"/>
      <c r="I395" s="49"/>
      <c r="J395" s="49"/>
      <c r="K395" s="49"/>
      <c r="L395" s="24"/>
      <c r="M395" s="103"/>
    </row>
    <row r="396" spans="1:13" ht="22.5" customHeight="1">
      <c r="A396" s="50"/>
      <c r="B396" s="102"/>
      <c r="C396" s="17"/>
      <c r="D396" s="102"/>
      <c r="E396" s="48"/>
      <c r="F396" s="48"/>
      <c r="G396" s="49"/>
      <c r="H396" s="49"/>
      <c r="I396" s="49"/>
      <c r="J396" s="49"/>
      <c r="K396" s="49"/>
      <c r="L396" s="24"/>
      <c r="M396" s="103"/>
    </row>
    <row r="397" spans="1:13" ht="22.5" customHeight="1">
      <c r="A397" s="50"/>
      <c r="B397" s="102"/>
      <c r="C397" s="17"/>
      <c r="D397" s="102"/>
      <c r="E397" s="48"/>
      <c r="F397" s="48"/>
      <c r="G397" s="49"/>
      <c r="H397" s="49"/>
      <c r="I397" s="49"/>
      <c r="J397" s="49"/>
      <c r="K397" s="49"/>
      <c r="L397" s="24"/>
      <c r="M397" s="103"/>
    </row>
    <row r="398" spans="1:13" ht="22.5" customHeight="1">
      <c r="A398" s="50"/>
      <c r="B398" s="102"/>
      <c r="C398" s="17"/>
      <c r="D398" s="102"/>
      <c r="E398" s="48"/>
      <c r="F398" s="48"/>
      <c r="G398" s="49"/>
      <c r="H398" s="49"/>
      <c r="I398" s="49"/>
      <c r="J398" s="49"/>
      <c r="K398" s="49"/>
      <c r="L398" s="24"/>
      <c r="M398" s="103"/>
    </row>
    <row r="399" spans="1:13" ht="22.5" customHeight="1">
      <c r="A399" s="50"/>
      <c r="B399" s="102"/>
      <c r="C399" s="17"/>
      <c r="D399" s="102"/>
      <c r="E399" s="48"/>
      <c r="F399" s="48"/>
      <c r="G399" s="49"/>
      <c r="H399" s="49"/>
      <c r="I399" s="49"/>
      <c r="J399" s="49"/>
      <c r="K399" s="49"/>
      <c r="L399" s="24"/>
      <c r="M399" s="103"/>
    </row>
    <row r="400" spans="1:13" ht="22.5" customHeight="1">
      <c r="A400" s="50"/>
      <c r="B400" s="102"/>
      <c r="C400" s="17"/>
      <c r="D400" s="102"/>
      <c r="E400" s="48"/>
      <c r="F400" s="48"/>
      <c r="G400" s="49"/>
      <c r="H400" s="49"/>
      <c r="I400" s="49"/>
      <c r="J400" s="49"/>
      <c r="K400" s="49"/>
      <c r="L400" s="24"/>
      <c r="M400" s="103"/>
    </row>
    <row r="401" spans="1:13" ht="22.5" customHeight="1">
      <c r="A401" s="50"/>
      <c r="B401" s="102"/>
      <c r="C401" s="17"/>
      <c r="D401" s="102"/>
      <c r="E401" s="48"/>
      <c r="F401" s="48"/>
      <c r="G401" s="49"/>
      <c r="H401" s="49"/>
      <c r="I401" s="49"/>
      <c r="J401" s="49"/>
      <c r="K401" s="49"/>
      <c r="L401" s="24"/>
      <c r="M401" s="103"/>
    </row>
    <row r="402" spans="1:13" ht="22.5" customHeight="1">
      <c r="A402" s="50"/>
      <c r="B402" s="102"/>
      <c r="C402" s="17"/>
      <c r="D402" s="102"/>
      <c r="E402" s="48"/>
      <c r="F402" s="48"/>
      <c r="G402" s="49"/>
      <c r="H402" s="49"/>
      <c r="I402" s="49"/>
      <c r="J402" s="49"/>
      <c r="K402" s="49"/>
      <c r="L402" s="24"/>
      <c r="M402" s="103"/>
    </row>
    <row r="403" spans="1:13" ht="22.5" customHeight="1">
      <c r="A403" s="50"/>
      <c r="B403" s="102"/>
      <c r="C403" s="17"/>
      <c r="D403" s="102"/>
      <c r="E403" s="48"/>
      <c r="F403" s="48"/>
      <c r="G403" s="49"/>
      <c r="H403" s="49"/>
      <c r="I403" s="49"/>
      <c r="J403" s="49"/>
      <c r="K403" s="49"/>
      <c r="L403" s="24"/>
      <c r="M403" s="103"/>
    </row>
    <row r="404" spans="1:13" ht="22.5" customHeight="1">
      <c r="A404" s="50"/>
      <c r="B404" s="102"/>
      <c r="C404" s="17"/>
      <c r="D404" s="102"/>
      <c r="E404" s="48"/>
      <c r="F404" s="48"/>
      <c r="G404" s="49"/>
      <c r="H404" s="49"/>
      <c r="I404" s="49"/>
      <c r="J404" s="49"/>
      <c r="K404" s="49"/>
      <c r="L404" s="24"/>
      <c r="M404" s="103"/>
    </row>
    <row r="405" spans="1:13" ht="22.5" customHeight="1">
      <c r="A405" s="50"/>
      <c r="B405" s="102"/>
      <c r="C405" s="17"/>
      <c r="D405" s="102"/>
      <c r="E405" s="48"/>
      <c r="F405" s="48"/>
      <c r="G405" s="49"/>
      <c r="H405" s="49"/>
      <c r="I405" s="49"/>
      <c r="J405" s="49"/>
      <c r="K405" s="49"/>
      <c r="L405" s="24"/>
      <c r="M405" s="103"/>
    </row>
    <row r="406" spans="1:13" ht="22.5" customHeight="1">
      <c r="A406" s="50"/>
      <c r="B406" s="102"/>
      <c r="C406" s="17"/>
      <c r="D406" s="102"/>
      <c r="E406" s="48"/>
      <c r="F406" s="48"/>
      <c r="G406" s="49"/>
      <c r="H406" s="49"/>
      <c r="I406" s="49"/>
      <c r="J406" s="49"/>
      <c r="K406" s="49"/>
      <c r="L406" s="24"/>
      <c r="M406" s="103"/>
    </row>
    <row r="407" spans="1:13" ht="22.5" customHeight="1">
      <c r="A407" s="50"/>
      <c r="B407" s="102"/>
      <c r="C407" s="17"/>
      <c r="D407" s="102"/>
      <c r="E407" s="48"/>
      <c r="F407" s="48"/>
      <c r="G407" s="49"/>
      <c r="H407" s="49"/>
      <c r="I407" s="49"/>
      <c r="J407" s="49"/>
      <c r="K407" s="49"/>
      <c r="L407" s="24"/>
      <c r="M407" s="103"/>
    </row>
    <row r="408" spans="1:13" ht="22.5" customHeight="1">
      <c r="A408" s="50"/>
      <c r="B408" s="102"/>
      <c r="C408" s="17"/>
      <c r="D408" s="102"/>
      <c r="E408" s="48"/>
      <c r="F408" s="48"/>
      <c r="G408" s="49"/>
      <c r="H408" s="49"/>
      <c r="I408" s="49"/>
      <c r="J408" s="49"/>
      <c r="K408" s="49"/>
      <c r="L408" s="24"/>
      <c r="M408" s="103"/>
    </row>
    <row r="409" spans="1:13" ht="22.5" customHeight="1">
      <c r="A409" s="50"/>
      <c r="B409" s="102"/>
      <c r="C409" s="17"/>
      <c r="D409" s="102"/>
      <c r="E409" s="48"/>
      <c r="F409" s="48"/>
      <c r="G409" s="49"/>
      <c r="H409" s="49"/>
      <c r="I409" s="49"/>
      <c r="J409" s="49"/>
      <c r="K409" s="49"/>
      <c r="L409" s="24"/>
      <c r="M409" s="103"/>
    </row>
    <row r="410" spans="1:13" ht="22.5" customHeight="1">
      <c r="A410" s="50"/>
      <c r="B410" s="102"/>
      <c r="C410" s="17"/>
      <c r="D410" s="102"/>
      <c r="E410" s="48"/>
      <c r="F410" s="48"/>
      <c r="G410" s="49"/>
      <c r="H410" s="49"/>
      <c r="I410" s="49"/>
      <c r="J410" s="49"/>
      <c r="K410" s="49"/>
      <c r="L410" s="24"/>
      <c r="M410" s="103"/>
    </row>
    <row r="411" spans="1:13" ht="22.5" customHeight="1">
      <c r="A411" s="50"/>
      <c r="B411" s="102"/>
      <c r="C411" s="17"/>
      <c r="D411" s="102"/>
      <c r="E411" s="48"/>
      <c r="F411" s="48"/>
      <c r="G411" s="49"/>
      <c r="H411" s="49"/>
      <c r="I411" s="49"/>
      <c r="J411" s="49"/>
      <c r="K411" s="49"/>
      <c r="L411" s="24"/>
      <c r="M411" s="103"/>
    </row>
    <row r="412" spans="1:13" ht="22.5" customHeight="1">
      <c r="A412" s="50"/>
      <c r="B412" s="102"/>
      <c r="C412" s="17"/>
      <c r="D412" s="102"/>
      <c r="E412" s="48"/>
      <c r="F412" s="48"/>
      <c r="G412" s="49"/>
      <c r="H412" s="49"/>
      <c r="I412" s="49"/>
      <c r="J412" s="49"/>
      <c r="K412" s="49"/>
      <c r="L412" s="24"/>
      <c r="M412" s="103"/>
    </row>
    <row r="413" spans="1:13" ht="22.5" customHeight="1">
      <c r="A413" s="50"/>
      <c r="B413" s="102"/>
      <c r="C413" s="17"/>
      <c r="D413" s="102"/>
      <c r="E413" s="48"/>
      <c r="F413" s="48"/>
      <c r="G413" s="49"/>
      <c r="H413" s="49"/>
      <c r="I413" s="49"/>
      <c r="J413" s="49"/>
      <c r="K413" s="49"/>
      <c r="L413" s="24"/>
      <c r="M413" s="103"/>
    </row>
    <row r="414" spans="1:13" ht="22.5" customHeight="1">
      <c r="A414" s="50"/>
      <c r="B414" s="102"/>
      <c r="C414" s="17"/>
      <c r="D414" s="102"/>
      <c r="E414" s="48"/>
      <c r="F414" s="48"/>
      <c r="G414" s="49"/>
      <c r="H414" s="49"/>
      <c r="I414" s="49"/>
      <c r="J414" s="49"/>
      <c r="K414" s="49"/>
      <c r="L414" s="24"/>
      <c r="M414" s="103"/>
    </row>
    <row r="415" spans="1:13" ht="22.5" customHeight="1">
      <c r="A415" s="50"/>
      <c r="B415" s="102"/>
      <c r="C415" s="17"/>
      <c r="D415" s="102"/>
      <c r="E415" s="48"/>
      <c r="F415" s="48"/>
      <c r="G415" s="49"/>
      <c r="H415" s="49"/>
      <c r="I415" s="49"/>
      <c r="J415" s="49"/>
      <c r="K415" s="49"/>
      <c r="L415" s="24"/>
      <c r="M415" s="103"/>
    </row>
    <row r="416" spans="1:13" ht="22.5" customHeight="1">
      <c r="A416" s="50"/>
      <c r="B416" s="102"/>
      <c r="C416" s="17"/>
      <c r="D416" s="102"/>
      <c r="E416" s="48"/>
      <c r="F416" s="48"/>
      <c r="G416" s="49"/>
      <c r="H416" s="49"/>
      <c r="I416" s="49"/>
      <c r="J416" s="49"/>
      <c r="K416" s="49"/>
      <c r="L416" s="24"/>
      <c r="M416" s="103"/>
    </row>
    <row r="417" spans="1:13" ht="22.5" customHeight="1">
      <c r="A417" s="50"/>
      <c r="B417" s="102"/>
      <c r="C417" s="17"/>
      <c r="D417" s="102"/>
      <c r="E417" s="48"/>
      <c r="F417" s="48"/>
      <c r="G417" s="49"/>
      <c r="H417" s="49"/>
      <c r="I417" s="49"/>
      <c r="J417" s="49"/>
      <c r="K417" s="49"/>
      <c r="L417" s="24"/>
      <c r="M417" s="103"/>
    </row>
    <row r="418" spans="1:13" ht="22.5" customHeight="1">
      <c r="A418" s="50"/>
      <c r="B418" s="102"/>
      <c r="C418" s="17"/>
      <c r="D418" s="102"/>
      <c r="E418" s="48"/>
      <c r="F418" s="48"/>
      <c r="G418" s="49"/>
      <c r="H418" s="49"/>
      <c r="I418" s="49"/>
      <c r="J418" s="49"/>
      <c r="K418" s="49"/>
      <c r="L418" s="24"/>
      <c r="M418" s="103"/>
    </row>
    <row r="419" spans="1:13" ht="22.5" customHeight="1">
      <c r="A419" s="50"/>
      <c r="B419" s="102"/>
      <c r="C419" s="17"/>
      <c r="D419" s="102"/>
      <c r="E419" s="48"/>
      <c r="F419" s="48"/>
      <c r="G419" s="49"/>
      <c r="H419" s="49"/>
      <c r="I419" s="49"/>
      <c r="J419" s="49"/>
      <c r="K419" s="49"/>
      <c r="L419" s="24"/>
      <c r="M419" s="103"/>
    </row>
    <row r="420" spans="1:13" ht="22.5" customHeight="1">
      <c r="A420" s="50"/>
      <c r="B420" s="102"/>
      <c r="C420" s="17"/>
      <c r="D420" s="102"/>
      <c r="E420" s="48"/>
      <c r="F420" s="48"/>
      <c r="G420" s="49"/>
      <c r="H420" s="49"/>
      <c r="I420" s="49"/>
      <c r="J420" s="49"/>
      <c r="K420" s="49"/>
      <c r="L420" s="24"/>
      <c r="M420" s="103"/>
    </row>
    <row r="421" spans="1:13" ht="22.5" customHeight="1">
      <c r="A421" s="50"/>
      <c r="B421" s="102"/>
      <c r="C421" s="17"/>
      <c r="D421" s="102"/>
      <c r="E421" s="48"/>
      <c r="F421" s="48"/>
      <c r="G421" s="49"/>
      <c r="H421" s="49"/>
      <c r="I421" s="49"/>
      <c r="J421" s="49"/>
      <c r="K421" s="49"/>
      <c r="L421" s="24"/>
      <c r="M421" s="103"/>
    </row>
    <row r="422" spans="1:13" ht="22.5" customHeight="1">
      <c r="A422" s="50"/>
      <c r="B422" s="102"/>
      <c r="C422" s="17"/>
      <c r="D422" s="102"/>
      <c r="E422" s="48"/>
      <c r="F422" s="48"/>
      <c r="G422" s="49"/>
      <c r="H422" s="49"/>
      <c r="I422" s="49"/>
      <c r="J422" s="49"/>
      <c r="K422" s="49"/>
      <c r="L422" s="24"/>
      <c r="M422" s="103"/>
    </row>
    <row r="423" spans="1:13" ht="22.5" customHeight="1">
      <c r="A423" s="50"/>
      <c r="B423" s="102"/>
      <c r="C423" s="17"/>
      <c r="D423" s="102"/>
      <c r="E423" s="48"/>
      <c r="F423" s="48"/>
      <c r="G423" s="49"/>
      <c r="H423" s="49"/>
      <c r="I423" s="49"/>
      <c r="J423" s="49"/>
      <c r="K423" s="49"/>
      <c r="L423" s="24"/>
      <c r="M423" s="103"/>
    </row>
    <row r="424" spans="1:13" ht="22.5" customHeight="1">
      <c r="A424" s="50"/>
      <c r="B424" s="102"/>
      <c r="C424" s="17"/>
      <c r="D424" s="102"/>
      <c r="E424" s="48"/>
      <c r="F424" s="48"/>
      <c r="G424" s="49"/>
      <c r="H424" s="49"/>
      <c r="I424" s="49"/>
      <c r="J424" s="49"/>
      <c r="K424" s="49"/>
      <c r="L424" s="24"/>
      <c r="M424" s="103"/>
    </row>
    <row r="425" spans="1:13" ht="22.5" customHeight="1">
      <c r="A425" s="50"/>
      <c r="B425" s="102"/>
      <c r="C425" s="17"/>
      <c r="D425" s="102"/>
      <c r="E425" s="48"/>
      <c r="F425" s="48"/>
      <c r="G425" s="49"/>
      <c r="H425" s="49"/>
      <c r="I425" s="49"/>
      <c r="J425" s="49"/>
      <c r="K425" s="49"/>
      <c r="L425" s="24"/>
      <c r="M425" s="103"/>
    </row>
    <row r="426" spans="1:13" ht="22.5" customHeight="1">
      <c r="A426" s="50"/>
      <c r="B426" s="102"/>
      <c r="C426" s="17"/>
      <c r="D426" s="102"/>
      <c r="E426" s="48"/>
      <c r="F426" s="48"/>
      <c r="G426" s="49"/>
      <c r="H426" s="49"/>
      <c r="I426" s="49"/>
      <c r="J426" s="49"/>
      <c r="K426" s="49"/>
      <c r="L426" s="24"/>
      <c r="M426" s="103"/>
    </row>
    <row r="427" spans="1:13" ht="22.5" customHeight="1">
      <c r="A427" s="50"/>
      <c r="B427" s="102"/>
      <c r="C427" s="17"/>
      <c r="D427" s="102"/>
      <c r="E427" s="48"/>
      <c r="F427" s="48"/>
      <c r="G427" s="49"/>
      <c r="H427" s="49"/>
      <c r="I427" s="49"/>
      <c r="J427" s="49"/>
      <c r="K427" s="49"/>
      <c r="L427" s="24"/>
      <c r="M427" s="103"/>
    </row>
    <row r="428" spans="1:13" ht="22.5" customHeight="1">
      <c r="A428" s="50"/>
      <c r="B428" s="102"/>
      <c r="C428" s="17"/>
      <c r="D428" s="102"/>
      <c r="E428" s="48"/>
      <c r="F428" s="48"/>
      <c r="G428" s="49"/>
      <c r="H428" s="49"/>
      <c r="I428" s="49"/>
      <c r="J428" s="49"/>
      <c r="K428" s="49"/>
      <c r="L428" s="24"/>
      <c r="M428" s="103"/>
    </row>
    <row r="429" spans="1:13" ht="22.5" customHeight="1">
      <c r="A429" s="50"/>
      <c r="B429" s="102"/>
      <c r="C429" s="17"/>
      <c r="D429" s="102"/>
      <c r="E429" s="48"/>
      <c r="F429" s="48"/>
      <c r="G429" s="49"/>
      <c r="H429" s="49"/>
      <c r="I429" s="49"/>
      <c r="J429" s="49"/>
      <c r="K429" s="49"/>
      <c r="L429" s="24"/>
      <c r="M429" s="103"/>
    </row>
    <row r="430" spans="1:13" ht="22.5" customHeight="1">
      <c r="A430" s="50"/>
      <c r="B430" s="102"/>
      <c r="C430" s="17"/>
      <c r="D430" s="102"/>
      <c r="E430" s="48"/>
      <c r="F430" s="48"/>
      <c r="G430" s="49"/>
      <c r="H430" s="49"/>
      <c r="I430" s="49"/>
      <c r="J430" s="49"/>
      <c r="K430" s="49"/>
      <c r="L430" s="24"/>
      <c r="M430" s="103"/>
    </row>
    <row r="431" spans="1:13" ht="22.5" customHeight="1">
      <c r="A431" s="50"/>
      <c r="B431" s="102"/>
      <c r="C431" s="17"/>
      <c r="D431" s="102"/>
      <c r="E431" s="48"/>
      <c r="F431" s="48"/>
      <c r="G431" s="49"/>
      <c r="H431" s="49"/>
      <c r="I431" s="49"/>
      <c r="J431" s="49"/>
      <c r="K431" s="49"/>
      <c r="L431" s="24"/>
      <c r="M431" s="103"/>
    </row>
    <row r="432" spans="1:13" ht="22.5" customHeight="1">
      <c r="A432" s="50"/>
      <c r="B432" s="102"/>
      <c r="C432" s="17"/>
      <c r="D432" s="102"/>
      <c r="E432" s="48"/>
      <c r="F432" s="48"/>
      <c r="G432" s="49"/>
      <c r="H432" s="49"/>
      <c r="I432" s="49"/>
      <c r="J432" s="49"/>
      <c r="K432" s="49"/>
      <c r="L432" s="24"/>
      <c r="M432" s="103"/>
    </row>
    <row r="433" spans="1:13" ht="22.5" customHeight="1">
      <c r="A433" s="50"/>
      <c r="B433" s="102"/>
      <c r="C433" s="17"/>
      <c r="D433" s="102"/>
      <c r="E433" s="48"/>
      <c r="F433" s="48"/>
      <c r="G433" s="49"/>
      <c r="H433" s="49"/>
      <c r="I433" s="49"/>
      <c r="J433" s="49"/>
      <c r="K433" s="49"/>
      <c r="L433" s="24"/>
      <c r="M433" s="103"/>
    </row>
    <row r="434" spans="1:13" ht="22.5" customHeight="1">
      <c r="A434" s="50"/>
      <c r="B434" s="102"/>
      <c r="C434" s="17"/>
      <c r="D434" s="102"/>
      <c r="E434" s="48"/>
      <c r="F434" s="48"/>
      <c r="G434" s="49"/>
      <c r="H434" s="49"/>
      <c r="I434" s="49"/>
      <c r="J434" s="49"/>
      <c r="K434" s="49"/>
      <c r="L434" s="24"/>
      <c r="M434" s="103"/>
    </row>
    <row r="435" spans="1:13" ht="22.5" customHeight="1">
      <c r="A435" s="50"/>
      <c r="B435" s="102"/>
      <c r="C435" s="17"/>
      <c r="D435" s="102"/>
      <c r="E435" s="48"/>
      <c r="F435" s="48"/>
      <c r="G435" s="49"/>
      <c r="H435" s="49"/>
      <c r="I435" s="49"/>
      <c r="J435" s="49"/>
      <c r="K435" s="49"/>
      <c r="L435" s="24"/>
      <c r="M435" s="103"/>
    </row>
    <row r="436" spans="1:13" ht="22.5" customHeight="1">
      <c r="A436" s="50"/>
      <c r="B436" s="102"/>
      <c r="C436" s="17"/>
      <c r="D436" s="102"/>
      <c r="E436" s="48"/>
      <c r="F436" s="48"/>
      <c r="G436" s="49"/>
      <c r="H436" s="49"/>
      <c r="I436" s="49"/>
      <c r="J436" s="49"/>
      <c r="K436" s="49"/>
      <c r="L436" s="24"/>
      <c r="M436" s="103"/>
    </row>
    <row r="437" spans="1:13" ht="22.5" customHeight="1">
      <c r="A437" s="50"/>
      <c r="B437" s="102"/>
      <c r="C437" s="17"/>
      <c r="D437" s="102"/>
      <c r="E437" s="48"/>
      <c r="F437" s="48"/>
      <c r="G437" s="49"/>
      <c r="H437" s="49"/>
      <c r="I437" s="49"/>
      <c r="J437" s="49"/>
      <c r="K437" s="49"/>
      <c r="L437" s="24"/>
      <c r="M437" s="103"/>
    </row>
    <row r="438" spans="1:13" ht="22.5" customHeight="1">
      <c r="A438" s="50"/>
      <c r="B438" s="102"/>
      <c r="C438" s="17"/>
      <c r="D438" s="102"/>
      <c r="E438" s="48"/>
      <c r="F438" s="48"/>
      <c r="G438" s="49"/>
      <c r="H438" s="49"/>
      <c r="I438" s="49"/>
      <c r="J438" s="49"/>
      <c r="K438" s="49"/>
      <c r="L438" s="24"/>
      <c r="M438" s="103"/>
    </row>
    <row r="439" spans="1:13" ht="22.5" customHeight="1">
      <c r="A439" s="50"/>
      <c r="B439" s="102"/>
      <c r="C439" s="17"/>
      <c r="D439" s="102"/>
      <c r="E439" s="48"/>
      <c r="F439" s="48"/>
      <c r="G439" s="49"/>
      <c r="H439" s="49"/>
      <c r="I439" s="49"/>
      <c r="J439" s="49"/>
      <c r="K439" s="49"/>
      <c r="L439" s="24"/>
      <c r="M439" s="103"/>
    </row>
    <row r="440" spans="1:13" ht="22.5" customHeight="1">
      <c r="A440" s="50"/>
      <c r="B440" s="102"/>
      <c r="C440" s="17"/>
      <c r="D440" s="102"/>
      <c r="E440" s="48"/>
      <c r="F440" s="48"/>
      <c r="G440" s="49"/>
      <c r="H440" s="49"/>
      <c r="I440" s="49"/>
      <c r="J440" s="49"/>
      <c r="K440" s="49"/>
      <c r="L440" s="24"/>
      <c r="M440" s="103"/>
    </row>
    <row r="441" spans="1:13" ht="22.5" customHeight="1">
      <c r="A441" s="50"/>
      <c r="B441" s="102"/>
      <c r="C441" s="17"/>
      <c r="D441" s="102"/>
      <c r="E441" s="48"/>
      <c r="F441" s="48"/>
      <c r="G441" s="49"/>
      <c r="H441" s="49"/>
      <c r="I441" s="49"/>
      <c r="J441" s="49"/>
      <c r="K441" s="49"/>
      <c r="L441" s="24"/>
      <c r="M441" s="103"/>
    </row>
    <row r="442" spans="1:13" ht="22.5" customHeight="1">
      <c r="A442" s="50"/>
      <c r="B442" s="102"/>
      <c r="C442" s="17"/>
      <c r="D442" s="102"/>
      <c r="E442" s="48"/>
      <c r="F442" s="48"/>
      <c r="G442" s="49"/>
      <c r="H442" s="49"/>
      <c r="I442" s="49"/>
      <c r="J442" s="49"/>
      <c r="K442" s="49"/>
      <c r="L442" s="24"/>
      <c r="M442" s="103"/>
    </row>
    <row r="443" spans="1:13" ht="22.5" customHeight="1">
      <c r="A443" s="50"/>
      <c r="B443" s="102"/>
      <c r="C443" s="17"/>
      <c r="D443" s="102"/>
      <c r="E443" s="48"/>
      <c r="F443" s="48"/>
      <c r="G443" s="49"/>
      <c r="H443" s="49"/>
      <c r="I443" s="49"/>
      <c r="J443" s="49"/>
      <c r="K443" s="49"/>
      <c r="L443" s="24"/>
      <c r="M443" s="103"/>
    </row>
    <row r="444" spans="1:13" ht="22.5" customHeight="1">
      <c r="A444" s="50"/>
      <c r="B444" s="102"/>
      <c r="C444" s="17"/>
      <c r="D444" s="102"/>
      <c r="E444" s="48"/>
      <c r="F444" s="48"/>
      <c r="G444" s="49"/>
      <c r="H444" s="49"/>
      <c r="I444" s="49"/>
      <c r="J444" s="49"/>
      <c r="K444" s="49"/>
      <c r="L444" s="24"/>
      <c r="M444" s="103"/>
    </row>
    <row r="445" spans="1:13" ht="22.5" customHeight="1">
      <c r="A445" s="50"/>
      <c r="B445" s="102"/>
      <c r="C445" s="17"/>
      <c r="D445" s="102"/>
      <c r="E445" s="48"/>
      <c r="F445" s="48"/>
      <c r="G445" s="49"/>
      <c r="H445" s="49"/>
      <c r="I445" s="49"/>
      <c r="J445" s="49"/>
      <c r="K445" s="49"/>
      <c r="L445" s="24"/>
      <c r="M445" s="103"/>
    </row>
    <row r="446" spans="1:13" ht="22.5" customHeight="1">
      <c r="A446" s="50"/>
      <c r="B446" s="102"/>
      <c r="C446" s="17"/>
      <c r="D446" s="102"/>
      <c r="E446" s="48"/>
      <c r="F446" s="48"/>
      <c r="G446" s="49"/>
      <c r="H446" s="49"/>
      <c r="I446" s="49"/>
      <c r="J446" s="49"/>
      <c r="K446" s="49"/>
      <c r="L446" s="24"/>
      <c r="M446" s="103"/>
    </row>
    <row r="447" spans="1:13" ht="22.5" customHeight="1">
      <c r="A447" s="50"/>
      <c r="B447" s="102"/>
      <c r="C447" s="17"/>
      <c r="D447" s="102"/>
      <c r="E447" s="48"/>
      <c r="F447" s="48"/>
      <c r="G447" s="49"/>
      <c r="H447" s="49"/>
      <c r="I447" s="49"/>
      <c r="J447" s="49"/>
      <c r="K447" s="49"/>
      <c r="L447" s="24"/>
      <c r="M447" s="103"/>
    </row>
    <row r="448" spans="1:13" ht="22.5" customHeight="1">
      <c r="A448" s="50"/>
      <c r="B448" s="102"/>
      <c r="C448" s="17"/>
      <c r="D448" s="102"/>
      <c r="E448" s="48"/>
      <c r="F448" s="48"/>
      <c r="G448" s="49"/>
      <c r="H448" s="49"/>
      <c r="I448" s="49"/>
      <c r="J448" s="49"/>
      <c r="K448" s="49"/>
      <c r="L448" s="24"/>
      <c r="M448" s="103"/>
    </row>
    <row r="449" spans="1:13" ht="22.5" customHeight="1">
      <c r="A449" s="50"/>
      <c r="B449" s="102"/>
      <c r="C449" s="17"/>
      <c r="D449" s="102"/>
      <c r="E449" s="48"/>
      <c r="F449" s="48"/>
      <c r="G449" s="49"/>
      <c r="H449" s="49"/>
      <c r="I449" s="49"/>
      <c r="J449" s="49"/>
      <c r="K449" s="49"/>
      <c r="L449" s="24"/>
      <c r="M449" s="103"/>
    </row>
    <row r="450" spans="1:13" ht="22.5" customHeight="1">
      <c r="A450" s="50"/>
      <c r="B450" s="102"/>
      <c r="C450" s="17"/>
      <c r="D450" s="102"/>
      <c r="E450" s="48"/>
      <c r="F450" s="48"/>
      <c r="G450" s="49"/>
      <c r="H450" s="49"/>
      <c r="I450" s="49"/>
      <c r="J450" s="49"/>
      <c r="K450" s="49"/>
      <c r="L450" s="24"/>
      <c r="M450" s="103"/>
    </row>
    <row r="451" spans="1:13" ht="22.5" customHeight="1">
      <c r="A451" s="50"/>
      <c r="B451" s="102"/>
      <c r="C451" s="17"/>
      <c r="D451" s="102"/>
      <c r="E451" s="48"/>
      <c r="F451" s="48"/>
      <c r="G451" s="49"/>
      <c r="H451" s="49"/>
      <c r="I451" s="49"/>
      <c r="J451" s="49"/>
      <c r="K451" s="49"/>
      <c r="L451" s="24"/>
      <c r="M451" s="103"/>
    </row>
    <row r="452" spans="1:13" ht="22.5" customHeight="1">
      <c r="A452" s="50"/>
      <c r="B452" s="102"/>
      <c r="C452" s="17"/>
      <c r="D452" s="102"/>
      <c r="E452" s="48"/>
      <c r="F452" s="48"/>
      <c r="G452" s="49"/>
      <c r="H452" s="49"/>
      <c r="I452" s="49"/>
      <c r="J452" s="49"/>
      <c r="K452" s="49"/>
      <c r="L452" s="24"/>
      <c r="M452" s="103"/>
    </row>
    <row r="453" spans="1:13" ht="22.5" customHeight="1">
      <c r="A453" s="50"/>
      <c r="B453" s="102"/>
      <c r="C453" s="17"/>
      <c r="D453" s="102"/>
      <c r="E453" s="48"/>
      <c r="F453" s="48"/>
      <c r="G453" s="49"/>
      <c r="H453" s="49"/>
      <c r="I453" s="49"/>
      <c r="J453" s="49"/>
      <c r="K453" s="49"/>
      <c r="L453" s="24"/>
      <c r="M453" s="103"/>
    </row>
    <row r="454" spans="1:13" ht="22.5" customHeight="1">
      <c r="A454" s="50"/>
      <c r="B454" s="102"/>
      <c r="C454" s="17"/>
      <c r="D454" s="102"/>
      <c r="E454" s="48"/>
      <c r="F454" s="48"/>
      <c r="G454" s="49"/>
      <c r="H454" s="49"/>
      <c r="I454" s="49"/>
      <c r="J454" s="49"/>
      <c r="K454" s="49"/>
      <c r="L454" s="24"/>
      <c r="M454" s="103"/>
    </row>
    <row r="455" spans="1:13" ht="22.5" customHeight="1">
      <c r="A455" s="50"/>
      <c r="B455" s="102"/>
      <c r="C455" s="17"/>
      <c r="D455" s="102"/>
      <c r="E455" s="48"/>
      <c r="F455" s="48"/>
      <c r="G455" s="49"/>
      <c r="H455" s="49"/>
      <c r="I455" s="49"/>
      <c r="J455" s="49"/>
      <c r="K455" s="49"/>
      <c r="L455" s="24"/>
      <c r="M455" s="103"/>
    </row>
    <row r="456" spans="1:13" ht="22.5" customHeight="1">
      <c r="A456" s="50"/>
      <c r="B456" s="102"/>
      <c r="C456" s="17"/>
      <c r="D456" s="102"/>
      <c r="E456" s="48"/>
      <c r="F456" s="48"/>
      <c r="G456" s="49"/>
      <c r="H456" s="49"/>
      <c r="I456" s="49"/>
      <c r="J456" s="49"/>
      <c r="K456" s="49"/>
      <c r="L456" s="24"/>
      <c r="M456" s="103"/>
    </row>
    <row r="457" spans="1:13" ht="22.5" customHeight="1">
      <c r="A457" s="50"/>
      <c r="B457" s="102"/>
      <c r="C457" s="17"/>
      <c r="D457" s="102"/>
      <c r="E457" s="48"/>
      <c r="F457" s="48"/>
      <c r="G457" s="49"/>
      <c r="H457" s="49"/>
      <c r="I457" s="49"/>
      <c r="J457" s="49"/>
      <c r="K457" s="49"/>
      <c r="L457" s="24"/>
      <c r="M457" s="103"/>
    </row>
    <row r="458" spans="1:13" ht="22.5" customHeight="1">
      <c r="A458" s="50"/>
      <c r="B458" s="102"/>
      <c r="C458" s="17"/>
      <c r="D458" s="102"/>
      <c r="E458" s="48"/>
      <c r="F458" s="48"/>
      <c r="G458" s="49"/>
      <c r="H458" s="49"/>
      <c r="I458" s="49"/>
      <c r="J458" s="49"/>
      <c r="K458" s="49"/>
      <c r="L458" s="24"/>
      <c r="M458" s="103"/>
    </row>
    <row r="459" spans="1:13" ht="22.5" customHeight="1">
      <c r="A459" s="50"/>
      <c r="B459" s="102"/>
      <c r="C459" s="17"/>
      <c r="D459" s="102"/>
      <c r="E459" s="48"/>
      <c r="F459" s="48"/>
      <c r="G459" s="49"/>
      <c r="H459" s="49"/>
      <c r="I459" s="49"/>
      <c r="J459" s="49"/>
      <c r="K459" s="49"/>
      <c r="L459" s="24"/>
      <c r="M459" s="103"/>
    </row>
    <row r="460" spans="1:13" ht="22.5" customHeight="1">
      <c r="A460" s="50"/>
      <c r="B460" s="102"/>
      <c r="C460" s="17"/>
      <c r="D460" s="102"/>
      <c r="E460" s="48"/>
      <c r="F460" s="48"/>
      <c r="G460" s="49"/>
      <c r="H460" s="49"/>
      <c r="I460" s="49"/>
      <c r="J460" s="49"/>
      <c r="K460" s="49"/>
      <c r="L460" s="24"/>
      <c r="M460" s="103"/>
    </row>
    <row r="461" spans="1:13" ht="22.5" customHeight="1">
      <c r="A461" s="50"/>
      <c r="B461" s="102"/>
      <c r="C461" s="17"/>
      <c r="D461" s="102"/>
      <c r="E461" s="48"/>
      <c r="F461" s="48"/>
      <c r="G461" s="49"/>
      <c r="H461" s="49"/>
      <c r="I461" s="49"/>
      <c r="J461" s="49"/>
      <c r="K461" s="49"/>
      <c r="L461" s="24"/>
      <c r="M461" s="103"/>
    </row>
    <row r="462" spans="1:13" ht="22.5" customHeight="1">
      <c r="A462" s="50"/>
      <c r="B462" s="102"/>
      <c r="C462" s="17"/>
      <c r="D462" s="102"/>
      <c r="E462" s="48"/>
      <c r="F462" s="48"/>
      <c r="G462" s="49"/>
      <c r="H462" s="49"/>
      <c r="I462" s="49"/>
      <c r="J462" s="49"/>
      <c r="K462" s="49"/>
      <c r="L462" s="24"/>
      <c r="M462" s="103"/>
    </row>
    <row r="463" spans="1:13" ht="22.5" customHeight="1">
      <c r="A463" s="50"/>
      <c r="B463" s="102"/>
      <c r="C463" s="17"/>
      <c r="D463" s="102"/>
      <c r="E463" s="48"/>
      <c r="F463" s="48"/>
      <c r="G463" s="49"/>
      <c r="H463" s="49"/>
      <c r="I463" s="49"/>
      <c r="J463" s="49"/>
      <c r="K463" s="49"/>
      <c r="L463" s="24"/>
      <c r="M463" s="103"/>
    </row>
    <row r="464" spans="1:13" ht="22.5" customHeight="1">
      <c r="A464" s="50"/>
      <c r="B464" s="102"/>
      <c r="C464" s="17"/>
      <c r="D464" s="102"/>
      <c r="E464" s="48"/>
      <c r="F464" s="48"/>
      <c r="G464" s="49"/>
      <c r="H464" s="49"/>
      <c r="I464" s="49"/>
      <c r="J464" s="49"/>
      <c r="K464" s="49"/>
      <c r="L464" s="24"/>
      <c r="M464" s="103"/>
    </row>
    <row r="465" spans="1:13" ht="22.5" customHeight="1">
      <c r="A465" s="50"/>
      <c r="B465" s="102"/>
      <c r="C465" s="17"/>
      <c r="D465" s="102"/>
      <c r="E465" s="48"/>
      <c r="F465" s="48"/>
      <c r="G465" s="49"/>
      <c r="H465" s="49"/>
      <c r="I465" s="49"/>
      <c r="J465" s="49"/>
      <c r="K465" s="49"/>
      <c r="L465" s="24"/>
      <c r="M465" s="103"/>
    </row>
    <row r="466" spans="1:13" ht="22.5" customHeight="1">
      <c r="A466" s="50"/>
      <c r="B466" s="102"/>
      <c r="C466" s="17"/>
      <c r="D466" s="102"/>
      <c r="E466" s="48"/>
      <c r="F466" s="48"/>
      <c r="G466" s="49"/>
      <c r="H466" s="49"/>
      <c r="I466" s="49"/>
      <c r="J466" s="49"/>
      <c r="K466" s="49"/>
      <c r="L466" s="24"/>
      <c r="M466" s="103"/>
    </row>
    <row r="467" spans="1:13" ht="22.5" customHeight="1">
      <c r="A467" s="50"/>
      <c r="B467" s="102"/>
      <c r="C467" s="17"/>
      <c r="D467" s="102"/>
      <c r="E467" s="48"/>
      <c r="F467" s="48"/>
      <c r="G467" s="49"/>
      <c r="H467" s="49"/>
      <c r="I467" s="49"/>
      <c r="J467" s="49"/>
      <c r="K467" s="49"/>
      <c r="L467" s="24"/>
      <c r="M467" s="103"/>
    </row>
    <row r="468" spans="1:13" ht="22.5" customHeight="1">
      <c r="A468" s="50"/>
      <c r="B468" s="102"/>
      <c r="C468" s="17"/>
      <c r="D468" s="102"/>
      <c r="E468" s="48"/>
      <c r="F468" s="48"/>
      <c r="G468" s="49"/>
      <c r="H468" s="49"/>
      <c r="I468" s="49"/>
      <c r="J468" s="49"/>
      <c r="K468" s="49"/>
      <c r="L468" s="24"/>
      <c r="M468" s="103"/>
    </row>
    <row r="469" spans="1:13" ht="22.5" customHeight="1">
      <c r="A469" s="50"/>
      <c r="B469" s="102"/>
      <c r="C469" s="17"/>
      <c r="D469" s="102"/>
      <c r="E469" s="48"/>
      <c r="F469" s="48"/>
      <c r="G469" s="49"/>
      <c r="H469" s="49"/>
      <c r="I469" s="49"/>
      <c r="J469" s="49"/>
      <c r="K469" s="49"/>
      <c r="L469" s="24"/>
      <c r="M469" s="103"/>
    </row>
    <row r="470" spans="1:13" ht="22.5" customHeight="1">
      <c r="A470" s="50"/>
      <c r="B470" s="102"/>
      <c r="C470" s="17"/>
      <c r="D470" s="102"/>
      <c r="E470" s="48"/>
      <c r="F470" s="48"/>
      <c r="G470" s="49"/>
      <c r="H470" s="49"/>
      <c r="I470" s="49"/>
      <c r="J470" s="49"/>
      <c r="K470" s="49"/>
      <c r="L470" s="24"/>
      <c r="M470" s="103"/>
    </row>
    <row r="471" spans="1:13" ht="22.5" customHeight="1">
      <c r="A471" s="50"/>
      <c r="B471" s="102"/>
      <c r="C471" s="17"/>
      <c r="D471" s="102"/>
      <c r="E471" s="48"/>
      <c r="F471" s="48"/>
      <c r="G471" s="49"/>
      <c r="H471" s="49"/>
      <c r="I471" s="49"/>
      <c r="J471" s="49"/>
      <c r="K471" s="49"/>
      <c r="L471" s="24"/>
      <c r="M471" s="103"/>
    </row>
    <row r="472" spans="1:13" ht="22.5" customHeight="1">
      <c r="A472" s="50"/>
      <c r="B472" s="102"/>
      <c r="C472" s="17"/>
      <c r="D472" s="102"/>
      <c r="E472" s="48"/>
      <c r="F472" s="48"/>
      <c r="G472" s="49"/>
      <c r="H472" s="49"/>
      <c r="I472" s="49"/>
      <c r="J472" s="49"/>
      <c r="K472" s="49"/>
      <c r="L472" s="24"/>
      <c r="M472" s="103"/>
    </row>
    <row r="473" spans="1:13" ht="22.5" customHeight="1">
      <c r="A473" s="50"/>
      <c r="B473" s="102"/>
      <c r="C473" s="17"/>
      <c r="D473" s="102"/>
      <c r="E473" s="48"/>
      <c r="F473" s="48"/>
      <c r="G473" s="49"/>
      <c r="H473" s="49"/>
      <c r="I473" s="49"/>
      <c r="J473" s="49"/>
      <c r="K473" s="49"/>
      <c r="L473" s="24"/>
      <c r="M473" s="103"/>
    </row>
    <row r="474" spans="1:13" ht="22.5" customHeight="1">
      <c r="A474" s="50"/>
      <c r="B474" s="102"/>
      <c r="C474" s="17"/>
      <c r="D474" s="102"/>
      <c r="E474" s="48"/>
      <c r="F474" s="48"/>
      <c r="G474" s="49"/>
      <c r="H474" s="49"/>
      <c r="I474" s="49"/>
      <c r="J474" s="49"/>
      <c r="K474" s="49"/>
      <c r="L474" s="24"/>
      <c r="M474" s="103"/>
    </row>
    <row r="475" spans="1:13" ht="22.5" customHeight="1">
      <c r="A475" s="50"/>
      <c r="B475" s="102"/>
      <c r="C475" s="17"/>
      <c r="D475" s="102"/>
      <c r="E475" s="48"/>
      <c r="F475" s="48"/>
      <c r="G475" s="49"/>
      <c r="H475" s="49"/>
      <c r="I475" s="49"/>
      <c r="J475" s="49"/>
      <c r="K475" s="49"/>
      <c r="L475" s="24"/>
      <c r="M475" s="103"/>
    </row>
    <row r="476" spans="1:13" ht="22.5" customHeight="1">
      <c r="A476" s="50"/>
      <c r="B476" s="102"/>
      <c r="C476" s="17"/>
      <c r="D476" s="102"/>
      <c r="E476" s="48"/>
      <c r="F476" s="48"/>
      <c r="G476" s="49"/>
      <c r="H476" s="49"/>
      <c r="I476" s="49"/>
      <c r="J476" s="49"/>
      <c r="K476" s="49"/>
      <c r="L476" s="24"/>
      <c r="M476" s="103"/>
    </row>
    <row r="477" spans="1:13" ht="22.5" customHeight="1">
      <c r="A477" s="50"/>
      <c r="B477" s="102"/>
      <c r="C477" s="17"/>
      <c r="D477" s="102"/>
      <c r="E477" s="48"/>
      <c r="F477" s="48"/>
      <c r="G477" s="49"/>
      <c r="H477" s="49"/>
      <c r="I477" s="49"/>
      <c r="J477" s="49"/>
      <c r="K477" s="49"/>
      <c r="L477" s="24"/>
      <c r="M477" s="103"/>
    </row>
    <row r="478" spans="1:13" ht="22.5" customHeight="1">
      <c r="A478" s="50"/>
      <c r="B478" s="102"/>
      <c r="C478" s="17"/>
      <c r="D478" s="102"/>
      <c r="E478" s="48"/>
      <c r="F478" s="48"/>
      <c r="G478" s="49"/>
      <c r="H478" s="49"/>
      <c r="I478" s="49"/>
      <c r="J478" s="49"/>
      <c r="K478" s="49"/>
      <c r="L478" s="24"/>
      <c r="M478" s="103"/>
    </row>
    <row r="479" spans="1:13" ht="22.5" customHeight="1">
      <c r="A479" s="50"/>
      <c r="B479" s="102"/>
      <c r="C479" s="17"/>
      <c r="D479" s="102"/>
      <c r="E479" s="48"/>
      <c r="F479" s="48"/>
      <c r="G479" s="49"/>
      <c r="H479" s="49"/>
      <c r="I479" s="49"/>
      <c r="J479" s="49"/>
      <c r="K479" s="49"/>
      <c r="L479" s="24"/>
      <c r="M479" s="103"/>
    </row>
    <row r="480" spans="1:13" ht="22.5" customHeight="1">
      <c r="A480" s="50"/>
      <c r="B480" s="102"/>
      <c r="C480" s="17"/>
      <c r="D480" s="102"/>
      <c r="E480" s="48"/>
      <c r="F480" s="48"/>
      <c r="G480" s="49"/>
      <c r="H480" s="49"/>
      <c r="I480" s="49"/>
      <c r="J480" s="49"/>
      <c r="K480" s="49"/>
      <c r="L480" s="24"/>
      <c r="M480" s="103"/>
    </row>
    <row r="481" spans="1:13" ht="22.5" customHeight="1">
      <c r="A481" s="50"/>
      <c r="B481" s="102"/>
      <c r="C481" s="17"/>
      <c r="D481" s="102"/>
      <c r="E481" s="48"/>
      <c r="F481" s="48"/>
      <c r="G481" s="49"/>
      <c r="H481" s="49"/>
      <c r="I481" s="49"/>
      <c r="J481" s="49"/>
      <c r="K481" s="49"/>
      <c r="L481" s="24"/>
      <c r="M481" s="103"/>
    </row>
    <row r="482" spans="1:13" ht="22.5" customHeight="1">
      <c r="A482" s="50"/>
      <c r="B482" s="102"/>
      <c r="C482" s="17"/>
      <c r="D482" s="102"/>
      <c r="E482" s="48"/>
      <c r="F482" s="48"/>
      <c r="G482" s="49"/>
      <c r="H482" s="49"/>
      <c r="I482" s="49"/>
      <c r="J482" s="49"/>
      <c r="K482" s="49"/>
      <c r="L482" s="24"/>
      <c r="M482" s="103"/>
    </row>
    <row r="483" spans="1:13" ht="22.5" customHeight="1">
      <c r="A483" s="50"/>
      <c r="B483" s="102"/>
      <c r="C483" s="17"/>
      <c r="D483" s="102"/>
      <c r="E483" s="48"/>
      <c r="F483" s="48"/>
      <c r="G483" s="49"/>
      <c r="H483" s="49"/>
      <c r="I483" s="49"/>
      <c r="J483" s="49"/>
      <c r="K483" s="49"/>
      <c r="L483" s="24"/>
      <c r="M483" s="103"/>
    </row>
    <row r="484" spans="1:13" ht="22.5" customHeight="1">
      <c r="A484" s="50"/>
      <c r="B484" s="102"/>
      <c r="C484" s="17"/>
      <c r="D484" s="102"/>
      <c r="E484" s="48"/>
      <c r="F484" s="48"/>
      <c r="G484" s="49"/>
      <c r="H484" s="49"/>
      <c r="I484" s="49"/>
      <c r="J484" s="49"/>
      <c r="K484" s="49"/>
      <c r="L484" s="24"/>
      <c r="M484" s="103"/>
    </row>
    <row r="485" spans="1:13" ht="22.5" customHeight="1">
      <c r="A485" s="50"/>
      <c r="B485" s="102"/>
      <c r="C485" s="17"/>
      <c r="D485" s="102"/>
      <c r="E485" s="48"/>
      <c r="F485" s="48"/>
      <c r="G485" s="49"/>
      <c r="H485" s="49"/>
      <c r="I485" s="49"/>
      <c r="J485" s="49"/>
      <c r="K485" s="49"/>
      <c r="L485" s="24"/>
      <c r="M485" s="103"/>
    </row>
    <row r="486" spans="1:13" ht="22.5" customHeight="1">
      <c r="A486" s="50"/>
      <c r="B486" s="102"/>
      <c r="C486" s="17"/>
      <c r="D486" s="102"/>
      <c r="E486" s="48"/>
      <c r="F486" s="48"/>
      <c r="G486" s="49"/>
      <c r="H486" s="49"/>
      <c r="I486" s="49"/>
      <c r="J486" s="49"/>
      <c r="K486" s="49"/>
      <c r="L486" s="24"/>
      <c r="M486" s="103"/>
    </row>
    <row r="487" spans="1:13" ht="22.5" customHeight="1">
      <c r="A487" s="50"/>
      <c r="B487" s="102"/>
      <c r="C487" s="17"/>
      <c r="D487" s="102"/>
      <c r="E487" s="48"/>
      <c r="F487" s="48"/>
      <c r="G487" s="49"/>
      <c r="H487" s="49"/>
      <c r="I487" s="49"/>
      <c r="J487" s="49"/>
      <c r="K487" s="49"/>
      <c r="L487" s="24"/>
      <c r="M487" s="103"/>
    </row>
    <row r="488" spans="1:13" ht="22.5" customHeight="1">
      <c r="A488" s="50"/>
      <c r="B488" s="102"/>
      <c r="C488" s="17"/>
      <c r="D488" s="102"/>
      <c r="E488" s="48"/>
      <c r="F488" s="48"/>
      <c r="G488" s="49"/>
      <c r="H488" s="49"/>
      <c r="I488" s="49"/>
      <c r="J488" s="49"/>
      <c r="K488" s="49"/>
      <c r="L488" s="24"/>
      <c r="M488" s="103"/>
    </row>
    <row r="489" spans="1:13" ht="22.5" customHeight="1">
      <c r="A489" s="50"/>
      <c r="B489" s="102"/>
      <c r="C489" s="17"/>
      <c r="D489" s="102"/>
      <c r="E489" s="48"/>
      <c r="F489" s="48"/>
      <c r="G489" s="49"/>
      <c r="H489" s="49"/>
      <c r="I489" s="49"/>
      <c r="J489" s="49"/>
      <c r="K489" s="49"/>
      <c r="L489" s="24"/>
      <c r="M489" s="103"/>
    </row>
    <row r="490" spans="1:13" ht="22.5" customHeight="1">
      <c r="A490" s="50"/>
      <c r="B490" s="102"/>
      <c r="C490" s="17"/>
      <c r="D490" s="102"/>
      <c r="E490" s="48"/>
      <c r="F490" s="48"/>
      <c r="G490" s="49"/>
      <c r="H490" s="49"/>
      <c r="I490" s="49"/>
      <c r="J490" s="49"/>
      <c r="K490" s="49"/>
      <c r="L490" s="24"/>
      <c r="M490" s="103"/>
    </row>
    <row r="491" spans="1:13" ht="22.5" customHeight="1">
      <c r="A491" s="50"/>
      <c r="B491" s="102"/>
      <c r="C491" s="17"/>
      <c r="D491" s="102"/>
      <c r="E491" s="48"/>
      <c r="F491" s="48"/>
      <c r="G491" s="49"/>
      <c r="H491" s="49"/>
      <c r="I491" s="49"/>
      <c r="J491" s="49"/>
      <c r="K491" s="49"/>
      <c r="L491" s="24"/>
      <c r="M491" s="103"/>
    </row>
    <row r="492" spans="1:13" ht="22.5" customHeight="1">
      <c r="A492" s="50"/>
      <c r="B492" s="102"/>
      <c r="C492" s="17"/>
      <c r="D492" s="102"/>
      <c r="E492" s="48"/>
      <c r="F492" s="48"/>
      <c r="G492" s="49"/>
      <c r="H492" s="49"/>
      <c r="I492" s="49"/>
      <c r="J492" s="49"/>
      <c r="K492" s="49"/>
      <c r="L492" s="24"/>
      <c r="M492" s="103"/>
    </row>
    <row r="493" spans="1:13" ht="22.5" customHeight="1">
      <c r="A493" s="50"/>
      <c r="B493" s="102"/>
      <c r="C493" s="17"/>
      <c r="D493" s="102"/>
      <c r="E493" s="48"/>
      <c r="F493" s="48"/>
      <c r="G493" s="49"/>
      <c r="H493" s="49"/>
      <c r="I493" s="49"/>
      <c r="J493" s="49"/>
      <c r="K493" s="49"/>
      <c r="L493" s="24"/>
      <c r="M493" s="103"/>
    </row>
    <row r="494" spans="1:13" ht="22.5" customHeight="1">
      <c r="A494" s="50"/>
      <c r="B494" s="102"/>
      <c r="C494" s="17"/>
      <c r="D494" s="102"/>
      <c r="E494" s="48"/>
      <c r="F494" s="48"/>
      <c r="G494" s="49"/>
      <c r="H494" s="49"/>
      <c r="I494" s="49"/>
      <c r="J494" s="49"/>
      <c r="K494" s="49"/>
      <c r="L494" s="24"/>
      <c r="M494" s="103"/>
    </row>
    <row r="495" spans="1:13" ht="22.5" customHeight="1">
      <c r="A495" s="50"/>
      <c r="B495" s="102"/>
      <c r="C495" s="17"/>
      <c r="D495" s="102"/>
      <c r="E495" s="48"/>
      <c r="F495" s="48"/>
      <c r="G495" s="49"/>
      <c r="H495" s="49"/>
      <c r="I495" s="49"/>
      <c r="J495" s="49"/>
      <c r="K495" s="49"/>
      <c r="L495" s="24"/>
      <c r="M495" s="103"/>
    </row>
    <row r="496" spans="1:13" ht="22.5" customHeight="1">
      <c r="A496" s="50"/>
      <c r="B496" s="102"/>
      <c r="C496" s="17"/>
      <c r="D496" s="102"/>
      <c r="E496" s="48"/>
      <c r="F496" s="48"/>
      <c r="G496" s="49"/>
      <c r="H496" s="49"/>
      <c r="I496" s="49"/>
      <c r="J496" s="49"/>
      <c r="K496" s="49"/>
      <c r="L496" s="24"/>
      <c r="M496" s="103"/>
    </row>
    <row r="497" spans="1:13" ht="22.5" customHeight="1">
      <c r="A497" s="50"/>
      <c r="B497" s="102"/>
      <c r="C497" s="17"/>
      <c r="D497" s="102"/>
      <c r="E497" s="48"/>
      <c r="F497" s="48"/>
      <c r="G497" s="49"/>
      <c r="H497" s="49"/>
      <c r="I497" s="49"/>
      <c r="J497" s="49"/>
      <c r="K497" s="49"/>
      <c r="L497" s="24"/>
      <c r="M497" s="103"/>
    </row>
    <row r="498" spans="1:13" ht="22.5" customHeight="1">
      <c r="A498" s="50"/>
      <c r="B498" s="102"/>
      <c r="C498" s="17"/>
      <c r="D498" s="102"/>
      <c r="E498" s="48"/>
      <c r="F498" s="48"/>
      <c r="G498" s="49"/>
      <c r="H498" s="49"/>
      <c r="I498" s="49"/>
      <c r="J498" s="49"/>
      <c r="K498" s="49"/>
      <c r="L498" s="24"/>
      <c r="M498" s="103"/>
    </row>
    <row r="499" spans="1:13" ht="22.5" customHeight="1">
      <c r="A499" s="50"/>
      <c r="B499" s="102"/>
      <c r="C499" s="17"/>
      <c r="D499" s="102"/>
      <c r="E499" s="48"/>
      <c r="F499" s="48"/>
      <c r="G499" s="49"/>
      <c r="H499" s="49"/>
      <c r="I499" s="49"/>
      <c r="J499" s="49"/>
      <c r="K499" s="49"/>
      <c r="L499" s="24"/>
      <c r="M499" s="103"/>
    </row>
    <row r="500" spans="1:13" ht="22.5" customHeight="1">
      <c r="A500" s="50"/>
      <c r="B500" s="102"/>
      <c r="C500" s="17"/>
      <c r="D500" s="102"/>
      <c r="E500" s="48"/>
      <c r="F500" s="48"/>
      <c r="G500" s="49"/>
      <c r="H500" s="49"/>
      <c r="I500" s="49"/>
      <c r="J500" s="49"/>
      <c r="K500" s="49"/>
      <c r="L500" s="24"/>
      <c r="M500" s="103"/>
    </row>
    <row r="501" spans="1:13" ht="22.5" customHeight="1">
      <c r="A501" s="50"/>
      <c r="B501" s="102"/>
      <c r="C501" s="17"/>
      <c r="D501" s="102"/>
      <c r="E501" s="48"/>
      <c r="F501" s="48"/>
      <c r="G501" s="49"/>
      <c r="H501" s="49"/>
      <c r="I501" s="49"/>
      <c r="J501" s="49"/>
      <c r="K501" s="49"/>
      <c r="L501" s="24"/>
      <c r="M501" s="103"/>
    </row>
    <row r="502" spans="1:13" ht="22.5" customHeight="1">
      <c r="A502" s="50"/>
      <c r="B502" s="102"/>
      <c r="C502" s="17"/>
      <c r="D502" s="102"/>
      <c r="E502" s="48"/>
      <c r="F502" s="48"/>
      <c r="G502" s="49"/>
      <c r="H502" s="49"/>
      <c r="I502" s="49"/>
      <c r="J502" s="49"/>
      <c r="K502" s="49"/>
      <c r="L502" s="24"/>
      <c r="M502" s="103"/>
    </row>
    <row r="503" spans="1:13" ht="22.5" customHeight="1">
      <c r="A503" s="50"/>
      <c r="B503" s="102"/>
      <c r="C503" s="17"/>
      <c r="D503" s="102"/>
      <c r="E503" s="48"/>
      <c r="F503" s="48"/>
      <c r="G503" s="49"/>
      <c r="H503" s="49"/>
      <c r="I503" s="49"/>
      <c r="J503" s="49"/>
      <c r="K503" s="49"/>
      <c r="L503" s="24"/>
      <c r="M503" s="103"/>
    </row>
    <row r="504" spans="1:13" ht="22.5" customHeight="1">
      <c r="A504" s="50"/>
      <c r="B504" s="102"/>
      <c r="C504" s="17"/>
      <c r="D504" s="102"/>
      <c r="E504" s="48"/>
      <c r="F504" s="48"/>
      <c r="G504" s="49"/>
      <c r="H504" s="49"/>
      <c r="I504" s="49"/>
      <c r="J504" s="49"/>
      <c r="K504" s="49"/>
      <c r="L504" s="24"/>
      <c r="M504" s="103"/>
    </row>
    <row r="505" spans="1:13" ht="22.5" customHeight="1">
      <c r="A505" s="50"/>
      <c r="B505" s="102"/>
      <c r="C505" s="17"/>
      <c r="D505" s="102"/>
      <c r="E505" s="48"/>
      <c r="F505" s="48"/>
      <c r="G505" s="49"/>
      <c r="H505" s="49"/>
      <c r="I505" s="49"/>
      <c r="J505" s="49"/>
      <c r="K505" s="49"/>
      <c r="L505" s="24"/>
      <c r="M505" s="103"/>
    </row>
    <row r="506" spans="1:13" ht="22.5" customHeight="1">
      <c r="A506" s="50"/>
      <c r="B506" s="102"/>
      <c r="C506" s="17"/>
      <c r="D506" s="102"/>
      <c r="E506" s="48"/>
      <c r="F506" s="48"/>
      <c r="G506" s="49"/>
      <c r="H506" s="49"/>
      <c r="I506" s="49"/>
      <c r="J506" s="49"/>
      <c r="K506" s="49"/>
      <c r="L506" s="24"/>
      <c r="M506" s="103"/>
    </row>
    <row r="507" spans="1:13" ht="22.5" customHeight="1">
      <c r="A507" s="50"/>
      <c r="B507" s="102"/>
      <c r="C507" s="17"/>
      <c r="D507" s="102"/>
      <c r="E507" s="48"/>
      <c r="F507" s="48"/>
      <c r="G507" s="49"/>
      <c r="H507" s="49"/>
      <c r="I507" s="49"/>
      <c r="J507" s="49"/>
      <c r="K507" s="49"/>
      <c r="L507" s="24"/>
      <c r="M507" s="103"/>
    </row>
    <row r="508" spans="1:13" ht="22.5" customHeight="1">
      <c r="A508" s="50"/>
      <c r="B508" s="102"/>
      <c r="C508" s="17"/>
      <c r="D508" s="102"/>
      <c r="E508" s="48"/>
      <c r="F508" s="48"/>
      <c r="G508" s="49"/>
      <c r="H508" s="49"/>
      <c r="I508" s="49"/>
      <c r="J508" s="49"/>
      <c r="K508" s="49"/>
      <c r="L508" s="24"/>
      <c r="M508" s="103"/>
    </row>
    <row r="509" spans="1:13" ht="22.5" customHeight="1">
      <c r="A509" s="50"/>
      <c r="B509" s="102"/>
      <c r="C509" s="17"/>
      <c r="D509" s="102"/>
      <c r="E509" s="48"/>
      <c r="F509" s="48"/>
      <c r="G509" s="49"/>
      <c r="H509" s="49"/>
      <c r="I509" s="49"/>
      <c r="J509" s="49"/>
      <c r="K509" s="49"/>
      <c r="L509" s="24"/>
      <c r="M509" s="103"/>
    </row>
    <row r="510" spans="1:13" ht="22.5" customHeight="1">
      <c r="A510" s="50"/>
      <c r="B510" s="102"/>
      <c r="C510" s="17"/>
      <c r="D510" s="102"/>
      <c r="E510" s="48"/>
      <c r="F510" s="48"/>
      <c r="G510" s="49"/>
      <c r="H510" s="49"/>
      <c r="I510" s="49"/>
      <c r="J510" s="49"/>
      <c r="K510" s="49"/>
      <c r="L510" s="24"/>
      <c r="M510" s="103"/>
    </row>
    <row r="511" spans="1:13" ht="22.5" customHeight="1">
      <c r="A511" s="50"/>
      <c r="B511" s="102"/>
      <c r="C511" s="17"/>
      <c r="D511" s="102"/>
      <c r="E511" s="48"/>
      <c r="F511" s="48"/>
      <c r="G511" s="49"/>
      <c r="H511" s="49"/>
      <c r="I511" s="49"/>
      <c r="J511" s="49"/>
      <c r="K511" s="49"/>
      <c r="L511" s="24"/>
      <c r="M511" s="103"/>
    </row>
    <row r="512" spans="1:13" ht="22.5" customHeight="1">
      <c r="A512" s="50"/>
      <c r="B512" s="102"/>
      <c r="C512" s="17"/>
      <c r="D512" s="102"/>
      <c r="E512" s="48"/>
      <c r="F512" s="48"/>
      <c r="G512" s="49"/>
      <c r="H512" s="49"/>
      <c r="I512" s="49"/>
      <c r="J512" s="49"/>
      <c r="K512" s="49"/>
      <c r="L512" s="24"/>
      <c r="M512" s="103"/>
    </row>
    <row r="513" spans="1:13" ht="22.5" customHeight="1">
      <c r="A513" s="50"/>
      <c r="B513" s="102"/>
      <c r="C513" s="17"/>
      <c r="D513" s="102"/>
      <c r="E513" s="48"/>
      <c r="F513" s="48"/>
      <c r="G513" s="49"/>
      <c r="H513" s="49"/>
      <c r="I513" s="49"/>
      <c r="J513" s="49"/>
      <c r="K513" s="49"/>
      <c r="L513" s="24"/>
      <c r="M513" s="103"/>
    </row>
    <row r="514" spans="1:13" ht="22.5" customHeight="1">
      <c r="A514" s="50"/>
      <c r="B514" s="102"/>
      <c r="C514" s="17"/>
      <c r="D514" s="102"/>
      <c r="E514" s="48"/>
      <c r="F514" s="48"/>
      <c r="G514" s="49"/>
      <c r="H514" s="49"/>
      <c r="I514" s="49"/>
      <c r="J514" s="49"/>
      <c r="K514" s="49"/>
      <c r="L514" s="24"/>
      <c r="M514" s="103"/>
    </row>
    <row r="515" spans="1:13" ht="22.5" customHeight="1">
      <c r="A515" s="50"/>
      <c r="B515" s="102"/>
      <c r="C515" s="17"/>
      <c r="D515" s="102"/>
      <c r="E515" s="48"/>
      <c r="F515" s="48"/>
      <c r="G515" s="49"/>
      <c r="H515" s="49"/>
      <c r="I515" s="49"/>
      <c r="J515" s="49"/>
      <c r="K515" s="49"/>
      <c r="L515" s="24"/>
      <c r="M515" s="103"/>
    </row>
    <row r="516" spans="1:13" ht="22.5" customHeight="1">
      <c r="A516" s="50"/>
      <c r="B516" s="102"/>
      <c r="C516" s="17"/>
      <c r="D516" s="102"/>
      <c r="E516" s="48"/>
      <c r="F516" s="48"/>
      <c r="G516" s="49"/>
      <c r="H516" s="49"/>
      <c r="I516" s="49"/>
      <c r="J516" s="49"/>
      <c r="K516" s="49"/>
      <c r="L516" s="24"/>
      <c r="M516" s="103"/>
    </row>
    <row r="517" spans="1:13" ht="22.5" customHeight="1">
      <c r="A517" s="50"/>
      <c r="B517" s="102"/>
      <c r="C517" s="17"/>
      <c r="D517" s="102"/>
      <c r="E517" s="48"/>
      <c r="F517" s="48"/>
      <c r="G517" s="49"/>
      <c r="H517" s="49"/>
      <c r="I517" s="49"/>
      <c r="J517" s="49"/>
      <c r="K517" s="49"/>
      <c r="L517" s="24"/>
      <c r="M517" s="103"/>
    </row>
    <row r="518" spans="1:13" ht="22.5" customHeight="1">
      <c r="A518" s="50"/>
      <c r="B518" s="102"/>
      <c r="C518" s="17"/>
      <c r="D518" s="102"/>
      <c r="E518" s="48"/>
      <c r="F518" s="48"/>
      <c r="G518" s="49"/>
      <c r="H518" s="49"/>
      <c r="I518" s="49"/>
      <c r="J518" s="49"/>
      <c r="K518" s="49"/>
      <c r="L518" s="24"/>
      <c r="M518" s="103"/>
    </row>
    <row r="519" spans="1:13" ht="22.5" customHeight="1">
      <c r="A519" s="50"/>
      <c r="B519" s="102"/>
      <c r="C519" s="17"/>
      <c r="D519" s="102"/>
      <c r="E519" s="48"/>
      <c r="F519" s="48"/>
      <c r="G519" s="49"/>
      <c r="H519" s="49"/>
      <c r="I519" s="49"/>
      <c r="J519" s="49"/>
      <c r="K519" s="49"/>
      <c r="L519" s="24"/>
      <c r="M519" s="103"/>
    </row>
    <row r="520" spans="1:13" ht="22.5" customHeight="1">
      <c r="A520" s="50"/>
      <c r="B520" s="102"/>
      <c r="C520" s="17"/>
      <c r="D520" s="102"/>
      <c r="E520" s="48"/>
      <c r="F520" s="48"/>
      <c r="G520" s="49"/>
      <c r="H520" s="49"/>
      <c r="I520" s="49"/>
      <c r="J520" s="49"/>
      <c r="K520" s="49"/>
      <c r="L520" s="24"/>
      <c r="M520" s="103"/>
    </row>
    <row r="521" spans="1:13" ht="22.5" customHeight="1">
      <c r="A521" s="50"/>
      <c r="B521" s="102"/>
      <c r="C521" s="17"/>
      <c r="D521" s="102"/>
      <c r="E521" s="48"/>
      <c r="F521" s="48"/>
      <c r="G521" s="49"/>
      <c r="H521" s="49"/>
      <c r="I521" s="49"/>
      <c r="J521" s="49"/>
      <c r="K521" s="49"/>
      <c r="L521" s="24"/>
      <c r="M521" s="103"/>
    </row>
    <row r="522" spans="1:13" ht="22.5" customHeight="1">
      <c r="A522" s="50"/>
      <c r="B522" s="102"/>
      <c r="C522" s="17"/>
      <c r="D522" s="102"/>
      <c r="E522" s="48"/>
      <c r="F522" s="48"/>
      <c r="G522" s="49"/>
      <c r="H522" s="49"/>
      <c r="I522" s="49"/>
      <c r="J522" s="49"/>
      <c r="K522" s="49"/>
      <c r="L522" s="24"/>
      <c r="M522" s="103"/>
    </row>
    <row r="523" spans="1:13" ht="22.5" customHeight="1">
      <c r="A523" s="50"/>
      <c r="B523" s="102"/>
      <c r="C523" s="17"/>
      <c r="D523" s="102"/>
      <c r="E523" s="48"/>
      <c r="F523" s="48"/>
      <c r="G523" s="49"/>
      <c r="H523" s="49"/>
      <c r="I523" s="49"/>
      <c r="J523" s="49"/>
      <c r="K523" s="49"/>
      <c r="L523" s="24"/>
      <c r="M523" s="103"/>
    </row>
    <row r="524" spans="1:13" ht="22.5" customHeight="1">
      <c r="A524" s="50"/>
      <c r="B524" s="102"/>
      <c r="C524" s="17"/>
      <c r="D524" s="102"/>
      <c r="E524" s="48"/>
      <c r="F524" s="48"/>
      <c r="G524" s="49"/>
      <c r="H524" s="49"/>
      <c r="I524" s="49"/>
      <c r="J524" s="49"/>
      <c r="K524" s="49"/>
      <c r="L524" s="24"/>
      <c r="M524" s="103"/>
    </row>
    <row r="525" spans="1:13" ht="22.5" customHeight="1">
      <c r="A525" s="50"/>
      <c r="B525" s="102"/>
      <c r="C525" s="17"/>
      <c r="D525" s="102"/>
      <c r="E525" s="48"/>
      <c r="F525" s="48"/>
      <c r="G525" s="49"/>
      <c r="H525" s="49"/>
      <c r="I525" s="49"/>
      <c r="J525" s="49"/>
      <c r="K525" s="49"/>
      <c r="L525" s="24"/>
      <c r="M525" s="103"/>
    </row>
    <row r="526" spans="1:13" ht="22.5" customHeight="1">
      <c r="A526" s="50"/>
      <c r="B526" s="102"/>
      <c r="C526" s="17"/>
      <c r="D526" s="102"/>
      <c r="E526" s="48"/>
      <c r="F526" s="48"/>
      <c r="G526" s="49"/>
      <c r="H526" s="49"/>
      <c r="I526" s="49"/>
      <c r="J526" s="49"/>
      <c r="K526" s="49"/>
      <c r="L526" s="24"/>
      <c r="M526" s="103"/>
    </row>
    <row r="527" spans="1:13" ht="22.5" customHeight="1">
      <c r="A527" s="50"/>
      <c r="B527" s="102"/>
      <c r="C527" s="17"/>
      <c r="D527" s="102"/>
      <c r="E527" s="48"/>
      <c r="F527" s="48"/>
      <c r="G527" s="49"/>
      <c r="H527" s="49"/>
      <c r="I527" s="49"/>
      <c r="J527" s="49"/>
      <c r="K527" s="49"/>
      <c r="L527" s="24"/>
      <c r="M527" s="103"/>
    </row>
    <row r="528" spans="1:13" ht="22.5" customHeight="1">
      <c r="A528" s="50"/>
      <c r="B528" s="102"/>
      <c r="C528" s="17"/>
      <c r="D528" s="102"/>
      <c r="E528" s="48"/>
      <c r="F528" s="48"/>
      <c r="G528" s="49"/>
      <c r="H528" s="49"/>
      <c r="I528" s="49"/>
      <c r="J528" s="49"/>
      <c r="K528" s="49"/>
      <c r="L528" s="24"/>
      <c r="M528" s="103"/>
    </row>
    <row r="529" spans="1:13" ht="22.5" customHeight="1">
      <c r="A529" s="50"/>
      <c r="B529" s="102"/>
      <c r="C529" s="17"/>
      <c r="D529" s="102"/>
      <c r="E529" s="48"/>
      <c r="F529" s="48"/>
      <c r="G529" s="49"/>
      <c r="H529" s="49"/>
      <c r="I529" s="49"/>
      <c r="J529" s="49"/>
      <c r="K529" s="49"/>
      <c r="L529" s="24"/>
      <c r="M529" s="103"/>
    </row>
    <row r="530" spans="1:13" ht="22.5" customHeight="1">
      <c r="A530" s="50"/>
      <c r="B530" s="102"/>
      <c r="C530" s="17"/>
      <c r="D530" s="102"/>
      <c r="E530" s="48"/>
      <c r="F530" s="48"/>
      <c r="G530" s="49"/>
      <c r="H530" s="49"/>
      <c r="I530" s="49"/>
      <c r="J530" s="49"/>
      <c r="K530" s="49"/>
      <c r="L530" s="24"/>
      <c r="M530" s="103"/>
    </row>
    <row r="531" spans="1:13" ht="22.5" customHeight="1">
      <c r="A531" s="50"/>
      <c r="B531" s="102"/>
      <c r="C531" s="17"/>
      <c r="D531" s="102"/>
      <c r="E531" s="48"/>
      <c r="F531" s="48"/>
      <c r="G531" s="49"/>
      <c r="H531" s="49"/>
      <c r="I531" s="49"/>
      <c r="J531" s="49"/>
      <c r="K531" s="49"/>
      <c r="L531" s="24"/>
      <c r="M531" s="103"/>
    </row>
    <row r="532" spans="1:13" ht="22.5" customHeight="1">
      <c r="A532" s="50"/>
      <c r="B532" s="102"/>
      <c r="C532" s="17"/>
      <c r="D532" s="102"/>
      <c r="E532" s="48"/>
      <c r="F532" s="48"/>
      <c r="G532" s="49"/>
      <c r="H532" s="49"/>
      <c r="I532" s="49"/>
      <c r="J532" s="49"/>
      <c r="K532" s="49"/>
      <c r="L532" s="24"/>
      <c r="M532" s="103"/>
    </row>
    <row r="533" spans="1:13" ht="22.5" customHeight="1">
      <c r="A533" s="50"/>
      <c r="B533" s="102"/>
      <c r="C533" s="17"/>
      <c r="D533" s="102"/>
      <c r="E533" s="48"/>
      <c r="F533" s="48"/>
      <c r="G533" s="49"/>
      <c r="H533" s="49"/>
      <c r="I533" s="49"/>
      <c r="J533" s="49"/>
      <c r="K533" s="49"/>
      <c r="L533" s="24"/>
      <c r="M533" s="103"/>
    </row>
    <row r="534" spans="1:13" ht="22.5" customHeight="1">
      <c r="A534" s="50"/>
      <c r="B534" s="102"/>
      <c r="C534" s="17"/>
      <c r="D534" s="102"/>
      <c r="E534" s="48"/>
      <c r="F534" s="48"/>
      <c r="G534" s="49"/>
      <c r="H534" s="49"/>
      <c r="I534" s="49"/>
      <c r="J534" s="49"/>
      <c r="K534" s="49"/>
      <c r="L534" s="24"/>
      <c r="M534" s="103"/>
    </row>
    <row r="535" spans="1:13" ht="22.5" customHeight="1">
      <c r="A535" s="50"/>
      <c r="B535" s="102"/>
      <c r="C535" s="17"/>
      <c r="D535" s="102"/>
      <c r="E535" s="48"/>
      <c r="F535" s="48"/>
      <c r="G535" s="49"/>
      <c r="H535" s="49"/>
      <c r="I535" s="49"/>
      <c r="J535" s="49"/>
      <c r="K535" s="49"/>
      <c r="L535" s="24"/>
      <c r="M535" s="103"/>
    </row>
    <row r="536" spans="1:13" ht="22.5" customHeight="1">
      <c r="A536" s="50"/>
      <c r="B536" s="102"/>
      <c r="C536" s="17"/>
      <c r="D536" s="102"/>
      <c r="E536" s="48"/>
      <c r="F536" s="48"/>
      <c r="G536" s="49"/>
      <c r="H536" s="49"/>
      <c r="I536" s="49"/>
      <c r="J536" s="49"/>
      <c r="K536" s="49"/>
      <c r="L536" s="24"/>
      <c r="M536" s="103"/>
    </row>
    <row r="537" spans="1:13" ht="22.5" customHeight="1">
      <c r="A537" s="50"/>
      <c r="B537" s="102"/>
      <c r="C537" s="17"/>
      <c r="D537" s="102"/>
      <c r="E537" s="48"/>
      <c r="F537" s="48"/>
      <c r="G537" s="49"/>
      <c r="H537" s="49"/>
      <c r="I537" s="49"/>
      <c r="J537" s="49"/>
      <c r="K537" s="49"/>
      <c r="L537" s="24"/>
      <c r="M537" s="103"/>
    </row>
    <row r="538" spans="1:13" ht="22.5" customHeight="1">
      <c r="A538" s="50"/>
      <c r="B538" s="102"/>
      <c r="C538" s="17"/>
      <c r="D538" s="102"/>
      <c r="E538" s="48"/>
      <c r="F538" s="48"/>
      <c r="G538" s="49"/>
      <c r="H538" s="49"/>
      <c r="I538" s="49"/>
      <c r="J538" s="49"/>
      <c r="K538" s="49"/>
      <c r="L538" s="24"/>
      <c r="M538" s="103"/>
    </row>
    <row r="539" spans="1:13" ht="22.5" customHeight="1">
      <c r="A539" s="50"/>
      <c r="B539" s="102"/>
      <c r="C539" s="17"/>
      <c r="D539" s="102"/>
      <c r="E539" s="48"/>
      <c r="F539" s="48"/>
      <c r="G539" s="49"/>
      <c r="H539" s="49"/>
      <c r="I539" s="49"/>
      <c r="J539" s="49"/>
      <c r="K539" s="49"/>
      <c r="L539" s="24"/>
      <c r="M539" s="103"/>
    </row>
    <row r="540" spans="1:13" ht="22.5" customHeight="1">
      <c r="A540" s="50"/>
      <c r="B540" s="102"/>
      <c r="C540" s="17"/>
      <c r="D540" s="102"/>
      <c r="E540" s="48"/>
      <c r="F540" s="48"/>
      <c r="G540" s="49"/>
      <c r="H540" s="49"/>
      <c r="I540" s="49"/>
      <c r="J540" s="49"/>
      <c r="K540" s="49"/>
      <c r="L540" s="24"/>
      <c r="M540" s="103"/>
    </row>
    <row r="541" spans="1:13" ht="22.5" customHeight="1">
      <c r="A541" s="50"/>
      <c r="B541" s="102"/>
      <c r="C541" s="17"/>
      <c r="D541" s="102"/>
      <c r="E541" s="48"/>
      <c r="F541" s="48"/>
      <c r="G541" s="49"/>
      <c r="H541" s="49"/>
      <c r="I541" s="49"/>
      <c r="J541" s="49"/>
      <c r="K541" s="49"/>
      <c r="L541" s="24"/>
      <c r="M541" s="103"/>
    </row>
    <row r="542" spans="1:13" ht="22.5" customHeight="1">
      <c r="A542" s="50"/>
      <c r="B542" s="102"/>
      <c r="C542" s="17"/>
      <c r="D542" s="102"/>
      <c r="E542" s="48"/>
      <c r="F542" s="48"/>
      <c r="G542" s="49"/>
      <c r="H542" s="49"/>
      <c r="I542" s="49"/>
      <c r="J542" s="49"/>
      <c r="K542" s="49"/>
      <c r="L542" s="24"/>
      <c r="M542" s="103"/>
    </row>
    <row r="543" spans="1:13" ht="22.5" customHeight="1">
      <c r="A543" s="50"/>
      <c r="B543" s="102"/>
      <c r="C543" s="17"/>
      <c r="D543" s="102"/>
      <c r="E543" s="48"/>
      <c r="F543" s="48"/>
      <c r="G543" s="49"/>
      <c r="H543" s="49"/>
      <c r="I543" s="49"/>
      <c r="J543" s="49"/>
      <c r="K543" s="49"/>
      <c r="L543" s="24"/>
      <c r="M543" s="103"/>
    </row>
    <row r="544" spans="1:13" ht="22.5" customHeight="1">
      <c r="A544" s="50"/>
      <c r="B544" s="102"/>
      <c r="C544" s="17"/>
      <c r="D544" s="102"/>
      <c r="E544" s="48"/>
      <c r="F544" s="48"/>
      <c r="G544" s="49"/>
      <c r="H544" s="49"/>
      <c r="I544" s="49"/>
      <c r="J544" s="49"/>
      <c r="K544" s="49"/>
      <c r="L544" s="24"/>
      <c r="M544" s="103"/>
    </row>
    <row r="545" spans="1:13" ht="22.5" customHeight="1">
      <c r="A545" s="50"/>
      <c r="B545" s="102"/>
      <c r="C545" s="17"/>
      <c r="D545" s="102"/>
      <c r="E545" s="48"/>
      <c r="F545" s="48"/>
      <c r="G545" s="49"/>
      <c r="H545" s="49"/>
      <c r="I545" s="49"/>
      <c r="J545" s="49"/>
      <c r="K545" s="49"/>
      <c r="L545" s="24"/>
      <c r="M545" s="103"/>
    </row>
    <row r="546" spans="1:13" ht="22.5" customHeight="1">
      <c r="A546" s="50"/>
      <c r="B546" s="102"/>
      <c r="C546" s="17"/>
      <c r="D546" s="102"/>
      <c r="E546" s="48"/>
      <c r="F546" s="48"/>
      <c r="G546" s="49"/>
      <c r="H546" s="49"/>
      <c r="I546" s="49"/>
      <c r="J546" s="49"/>
      <c r="K546" s="49"/>
      <c r="L546" s="24"/>
      <c r="M546" s="103"/>
    </row>
    <row r="547" spans="1:13" ht="22.5" customHeight="1">
      <c r="A547" s="50"/>
      <c r="B547" s="102"/>
      <c r="C547" s="17"/>
      <c r="D547" s="102"/>
      <c r="E547" s="48"/>
      <c r="F547" s="48"/>
      <c r="G547" s="49"/>
      <c r="H547" s="49"/>
      <c r="I547" s="49"/>
      <c r="J547" s="49"/>
      <c r="K547" s="49"/>
      <c r="L547" s="24"/>
      <c r="M547" s="103"/>
    </row>
    <row r="548" spans="1:13" ht="22.5" customHeight="1">
      <c r="A548" s="50"/>
      <c r="B548" s="102"/>
      <c r="C548" s="17"/>
      <c r="D548" s="102"/>
      <c r="E548" s="48"/>
      <c r="F548" s="48"/>
      <c r="G548" s="49"/>
      <c r="H548" s="49"/>
      <c r="I548" s="49"/>
      <c r="J548" s="49"/>
      <c r="K548" s="49"/>
      <c r="L548" s="24"/>
      <c r="M548" s="103"/>
    </row>
    <row r="549" spans="1:13" ht="22.5" customHeight="1">
      <c r="A549" s="50"/>
      <c r="B549" s="102"/>
      <c r="C549" s="17"/>
      <c r="D549" s="102"/>
      <c r="E549" s="48"/>
      <c r="F549" s="48"/>
      <c r="G549" s="49"/>
      <c r="H549" s="49"/>
      <c r="I549" s="49"/>
      <c r="J549" s="49"/>
      <c r="K549" s="49"/>
      <c r="L549" s="24"/>
      <c r="M549" s="103"/>
    </row>
    <row r="550" spans="1:13" ht="22.5" customHeight="1">
      <c r="A550" s="50"/>
      <c r="B550" s="102"/>
      <c r="C550" s="17"/>
      <c r="D550" s="102"/>
      <c r="E550" s="48"/>
      <c r="F550" s="48"/>
      <c r="G550" s="49"/>
      <c r="H550" s="49"/>
      <c r="I550" s="49"/>
      <c r="J550" s="49"/>
      <c r="K550" s="49"/>
      <c r="L550" s="24"/>
      <c r="M550" s="103"/>
    </row>
    <row r="551" spans="1:13" ht="22.5" customHeight="1">
      <c r="A551" s="50"/>
      <c r="B551" s="102"/>
      <c r="C551" s="17"/>
      <c r="D551" s="102"/>
      <c r="E551" s="48"/>
      <c r="F551" s="48"/>
      <c r="G551" s="49"/>
      <c r="H551" s="49"/>
      <c r="I551" s="49"/>
      <c r="J551" s="49"/>
      <c r="K551" s="49"/>
      <c r="L551" s="24"/>
      <c r="M551" s="103"/>
    </row>
    <row r="552" spans="1:13" ht="22.5" customHeight="1">
      <c r="A552" s="50"/>
      <c r="B552" s="102"/>
      <c r="C552" s="17"/>
      <c r="D552" s="102"/>
      <c r="E552" s="48"/>
      <c r="F552" s="48"/>
      <c r="G552" s="49"/>
      <c r="H552" s="49"/>
      <c r="I552" s="49"/>
      <c r="J552" s="49"/>
      <c r="K552" s="49"/>
      <c r="L552" s="24"/>
      <c r="M552" s="103"/>
    </row>
    <row r="553" spans="1:13" ht="22.5" customHeight="1">
      <c r="A553" s="50"/>
      <c r="B553" s="102"/>
      <c r="C553" s="17"/>
      <c r="D553" s="102"/>
      <c r="E553" s="48"/>
      <c r="F553" s="48"/>
      <c r="G553" s="49"/>
      <c r="H553" s="49"/>
      <c r="I553" s="49"/>
      <c r="J553" s="49"/>
      <c r="K553" s="49"/>
      <c r="L553" s="24"/>
      <c r="M553" s="103"/>
    </row>
    <row r="554" spans="1:13" ht="22.5" customHeight="1">
      <c r="A554" s="50"/>
      <c r="B554" s="102"/>
      <c r="C554" s="17"/>
      <c r="D554" s="102"/>
      <c r="E554" s="48"/>
      <c r="F554" s="48"/>
      <c r="G554" s="49"/>
      <c r="H554" s="49"/>
      <c r="I554" s="49"/>
      <c r="J554" s="49"/>
      <c r="K554" s="49"/>
      <c r="L554" s="24"/>
      <c r="M554" s="103"/>
    </row>
    <row r="555" spans="1:13" ht="22.5" customHeight="1">
      <c r="A555" s="50"/>
      <c r="B555" s="102"/>
      <c r="C555" s="17"/>
      <c r="D555" s="102"/>
      <c r="E555" s="48"/>
      <c r="F555" s="48"/>
      <c r="G555" s="49"/>
      <c r="H555" s="49"/>
      <c r="I555" s="49"/>
      <c r="J555" s="49"/>
      <c r="K555" s="49"/>
      <c r="L555" s="24"/>
      <c r="M555" s="103"/>
    </row>
    <row r="556" spans="1:13" ht="22.5" customHeight="1">
      <c r="A556" s="50"/>
      <c r="B556" s="102"/>
      <c r="C556" s="17"/>
      <c r="D556" s="102"/>
      <c r="E556" s="48"/>
      <c r="F556" s="48"/>
      <c r="G556" s="49"/>
      <c r="H556" s="49"/>
      <c r="I556" s="49"/>
      <c r="J556" s="49"/>
      <c r="K556" s="49"/>
      <c r="L556" s="24"/>
      <c r="M556" s="103"/>
    </row>
    <row r="557" spans="1:13" ht="22.5" customHeight="1">
      <c r="A557" s="50"/>
      <c r="B557" s="102"/>
      <c r="C557" s="17"/>
      <c r="D557" s="102"/>
      <c r="E557" s="48"/>
      <c r="F557" s="48"/>
      <c r="G557" s="49"/>
      <c r="H557" s="49"/>
      <c r="I557" s="49"/>
      <c r="J557" s="49"/>
      <c r="K557" s="49"/>
      <c r="L557" s="24"/>
      <c r="M557" s="103"/>
    </row>
    <row r="558" spans="1:13" ht="22.5" customHeight="1">
      <c r="A558" s="50"/>
      <c r="B558" s="102"/>
      <c r="C558" s="17"/>
      <c r="D558" s="102"/>
      <c r="E558" s="48"/>
      <c r="F558" s="48"/>
      <c r="G558" s="49"/>
      <c r="H558" s="49"/>
      <c r="I558" s="49"/>
      <c r="J558" s="49"/>
      <c r="K558" s="49"/>
      <c r="L558" s="24"/>
      <c r="M558" s="103"/>
    </row>
    <row r="559" spans="1:13" ht="22.5" customHeight="1">
      <c r="A559" s="50"/>
      <c r="B559" s="102"/>
      <c r="C559" s="17"/>
      <c r="D559" s="102"/>
      <c r="E559" s="48"/>
      <c r="F559" s="48"/>
      <c r="G559" s="49"/>
      <c r="H559" s="49"/>
      <c r="I559" s="49"/>
      <c r="J559" s="49"/>
      <c r="K559" s="49"/>
      <c r="L559" s="24"/>
      <c r="M559" s="103"/>
    </row>
    <row r="560" spans="1:13" ht="22.5" customHeight="1">
      <c r="A560" s="50"/>
      <c r="B560" s="102"/>
      <c r="C560" s="17"/>
      <c r="D560" s="102"/>
      <c r="E560" s="48"/>
      <c r="F560" s="48"/>
      <c r="G560" s="49"/>
      <c r="H560" s="49"/>
      <c r="I560" s="49"/>
      <c r="J560" s="49"/>
      <c r="K560" s="49"/>
      <c r="L560" s="24"/>
      <c r="M560" s="103"/>
    </row>
    <row r="561" spans="1:13" ht="22.5" customHeight="1">
      <c r="A561" s="50"/>
      <c r="B561" s="102"/>
      <c r="C561" s="17"/>
      <c r="D561" s="102"/>
      <c r="E561" s="48"/>
      <c r="F561" s="48"/>
      <c r="G561" s="49"/>
      <c r="H561" s="49"/>
      <c r="I561" s="49"/>
      <c r="J561" s="49"/>
      <c r="K561" s="49"/>
      <c r="L561" s="24"/>
      <c r="M561" s="103"/>
    </row>
    <row r="562" spans="1:13" ht="22.5" customHeight="1">
      <c r="A562" s="50"/>
      <c r="B562" s="102"/>
      <c r="C562" s="17"/>
      <c r="D562" s="102"/>
      <c r="E562" s="48"/>
      <c r="F562" s="48"/>
      <c r="G562" s="49"/>
      <c r="H562" s="49"/>
      <c r="I562" s="49"/>
      <c r="J562" s="49"/>
      <c r="K562" s="49"/>
      <c r="L562" s="24"/>
      <c r="M562" s="103"/>
    </row>
    <row r="563" spans="1:13" ht="22.5" customHeight="1">
      <c r="A563" s="50"/>
      <c r="B563" s="102"/>
      <c r="C563" s="17"/>
      <c r="D563" s="102"/>
      <c r="E563" s="48"/>
      <c r="F563" s="48"/>
      <c r="G563" s="49"/>
      <c r="H563" s="49"/>
      <c r="I563" s="49"/>
      <c r="J563" s="49"/>
      <c r="K563" s="49"/>
      <c r="L563" s="24"/>
      <c r="M563" s="103"/>
    </row>
    <row r="564" spans="1:13" ht="22.5" customHeight="1">
      <c r="A564" s="50"/>
      <c r="B564" s="102"/>
      <c r="C564" s="17"/>
      <c r="D564" s="102"/>
      <c r="E564" s="48"/>
      <c r="F564" s="48"/>
      <c r="G564" s="49"/>
      <c r="H564" s="49"/>
      <c r="I564" s="49"/>
      <c r="J564" s="49"/>
      <c r="K564" s="49"/>
      <c r="L564" s="24"/>
      <c r="M564" s="103"/>
    </row>
    <row r="565" spans="1:13" ht="22.5" customHeight="1">
      <c r="A565" s="50"/>
      <c r="B565" s="102"/>
      <c r="C565" s="17"/>
      <c r="D565" s="102"/>
      <c r="E565" s="48"/>
      <c r="F565" s="48"/>
      <c r="G565" s="49"/>
      <c r="H565" s="49"/>
      <c r="I565" s="49"/>
      <c r="J565" s="49"/>
      <c r="K565" s="49"/>
      <c r="L565" s="24"/>
      <c r="M565" s="103"/>
    </row>
    <row r="566" spans="1:13" ht="22.5" customHeight="1">
      <c r="A566" s="50"/>
      <c r="B566" s="102"/>
      <c r="C566" s="17"/>
      <c r="D566" s="102"/>
      <c r="E566" s="48"/>
      <c r="F566" s="48"/>
      <c r="G566" s="49"/>
      <c r="H566" s="49"/>
      <c r="I566" s="49"/>
      <c r="J566" s="49"/>
      <c r="K566" s="49"/>
      <c r="L566" s="24"/>
      <c r="M566" s="103"/>
    </row>
    <row r="567" spans="1:13" ht="22.5" customHeight="1">
      <c r="A567" s="50"/>
      <c r="B567" s="102"/>
      <c r="C567" s="17"/>
      <c r="D567" s="102"/>
      <c r="E567" s="48"/>
      <c r="F567" s="48"/>
      <c r="G567" s="49"/>
      <c r="H567" s="49"/>
      <c r="I567" s="49"/>
      <c r="J567" s="49"/>
      <c r="K567" s="49"/>
      <c r="L567" s="24"/>
      <c r="M567" s="103"/>
    </row>
    <row r="568" spans="1:13" ht="22.5" customHeight="1">
      <c r="A568" s="50"/>
      <c r="B568" s="102"/>
      <c r="C568" s="17"/>
      <c r="D568" s="102"/>
      <c r="E568" s="48"/>
      <c r="F568" s="48"/>
      <c r="G568" s="49"/>
      <c r="H568" s="49"/>
      <c r="I568" s="49"/>
      <c r="J568" s="49"/>
      <c r="K568" s="49"/>
      <c r="L568" s="24"/>
      <c r="M568" s="103"/>
    </row>
    <row r="569" spans="1:13" ht="22.5" customHeight="1">
      <c r="A569" s="50"/>
      <c r="B569" s="102"/>
      <c r="C569" s="17"/>
      <c r="D569" s="102"/>
      <c r="E569" s="48"/>
      <c r="F569" s="48"/>
      <c r="G569" s="49"/>
      <c r="H569" s="49"/>
      <c r="I569" s="49"/>
      <c r="J569" s="49"/>
      <c r="K569" s="49"/>
      <c r="L569" s="24"/>
      <c r="M569" s="103"/>
    </row>
    <row r="570" spans="1:13" ht="22.5" customHeight="1">
      <c r="A570" s="50"/>
      <c r="B570" s="102"/>
      <c r="C570" s="17"/>
      <c r="D570" s="102"/>
      <c r="E570" s="48"/>
      <c r="F570" s="48"/>
      <c r="G570" s="49"/>
      <c r="H570" s="49"/>
      <c r="I570" s="49"/>
      <c r="J570" s="49"/>
      <c r="K570" s="49"/>
      <c r="L570" s="24"/>
      <c r="M570" s="103"/>
    </row>
    <row r="571" spans="1:13" ht="22.5" customHeight="1">
      <c r="A571" s="50"/>
      <c r="B571" s="102"/>
      <c r="C571" s="17"/>
      <c r="D571" s="102"/>
      <c r="E571" s="48"/>
      <c r="F571" s="48"/>
      <c r="G571" s="49"/>
      <c r="H571" s="49"/>
      <c r="I571" s="49"/>
      <c r="J571" s="49"/>
      <c r="K571" s="49"/>
      <c r="L571" s="24"/>
      <c r="M571" s="103"/>
    </row>
    <row r="572" spans="1:13" ht="22.5" customHeight="1">
      <c r="A572" s="50"/>
      <c r="B572" s="102"/>
      <c r="C572" s="17"/>
      <c r="D572" s="102"/>
      <c r="E572" s="48"/>
      <c r="F572" s="48"/>
      <c r="G572" s="49"/>
      <c r="H572" s="49"/>
      <c r="I572" s="49"/>
      <c r="J572" s="49"/>
      <c r="K572" s="49"/>
      <c r="L572" s="24"/>
      <c r="M572" s="103"/>
    </row>
    <row r="573" spans="1:13" ht="22.5" customHeight="1">
      <c r="A573" s="50"/>
      <c r="B573" s="102"/>
      <c r="C573" s="17"/>
      <c r="D573" s="102"/>
      <c r="E573" s="48"/>
      <c r="F573" s="48"/>
      <c r="G573" s="49"/>
      <c r="H573" s="49"/>
      <c r="I573" s="49"/>
      <c r="J573" s="49"/>
      <c r="K573" s="49"/>
      <c r="L573" s="24"/>
      <c r="M573" s="103"/>
    </row>
    <row r="574" spans="1:13" ht="22.5" customHeight="1">
      <c r="A574" s="50"/>
      <c r="B574" s="102"/>
      <c r="C574" s="17"/>
      <c r="D574" s="102"/>
      <c r="E574" s="48"/>
      <c r="F574" s="48"/>
      <c r="G574" s="49"/>
      <c r="H574" s="49"/>
      <c r="I574" s="49"/>
      <c r="J574" s="49"/>
      <c r="K574" s="49"/>
      <c r="L574" s="24"/>
      <c r="M574" s="103"/>
    </row>
    <row r="575" spans="1:13" ht="22.5" customHeight="1">
      <c r="A575" s="50"/>
      <c r="B575" s="102"/>
      <c r="C575" s="17"/>
      <c r="D575" s="102"/>
      <c r="E575" s="48"/>
      <c r="F575" s="48"/>
      <c r="G575" s="49"/>
      <c r="H575" s="49"/>
      <c r="I575" s="49"/>
      <c r="J575" s="49"/>
      <c r="K575" s="49"/>
      <c r="L575" s="24"/>
      <c r="M575" s="103"/>
    </row>
    <row r="576" spans="1:13" ht="22.5" customHeight="1">
      <c r="A576" s="50"/>
      <c r="B576" s="102"/>
      <c r="C576" s="17"/>
      <c r="D576" s="102"/>
      <c r="E576" s="48"/>
      <c r="F576" s="48"/>
      <c r="G576" s="49"/>
      <c r="H576" s="49"/>
      <c r="I576" s="49"/>
      <c r="J576" s="49"/>
      <c r="K576" s="49"/>
      <c r="L576" s="24"/>
      <c r="M576" s="103"/>
    </row>
    <row r="577" spans="1:13" ht="22.5" customHeight="1">
      <c r="A577" s="50"/>
      <c r="B577" s="102"/>
      <c r="C577" s="17"/>
      <c r="D577" s="102"/>
      <c r="E577" s="48"/>
      <c r="F577" s="48"/>
      <c r="G577" s="49"/>
      <c r="H577" s="49"/>
      <c r="I577" s="49"/>
      <c r="J577" s="49"/>
      <c r="K577" s="49"/>
      <c r="L577" s="24"/>
      <c r="M577" s="103"/>
    </row>
    <row r="578" spans="1:13" ht="22.5" customHeight="1">
      <c r="A578" s="50"/>
      <c r="B578" s="102"/>
      <c r="C578" s="17"/>
      <c r="D578" s="102"/>
      <c r="E578" s="48"/>
      <c r="F578" s="48"/>
      <c r="G578" s="49"/>
      <c r="H578" s="49"/>
      <c r="I578" s="49"/>
      <c r="J578" s="49"/>
      <c r="K578" s="49"/>
      <c r="L578" s="24"/>
      <c r="M578" s="103"/>
    </row>
    <row r="579" spans="1:13" ht="22.5" customHeight="1">
      <c r="A579" s="50"/>
      <c r="B579" s="102"/>
      <c r="C579" s="17"/>
      <c r="D579" s="102"/>
      <c r="E579" s="48"/>
      <c r="F579" s="48"/>
      <c r="G579" s="49"/>
      <c r="H579" s="49"/>
      <c r="I579" s="49"/>
      <c r="J579" s="49"/>
      <c r="K579" s="49"/>
      <c r="L579" s="24"/>
      <c r="M579" s="103"/>
    </row>
    <row r="580" spans="1:13" ht="22.5" customHeight="1">
      <c r="A580" s="50"/>
      <c r="B580" s="102"/>
      <c r="C580" s="17"/>
      <c r="D580" s="102"/>
      <c r="E580" s="48"/>
      <c r="F580" s="48"/>
      <c r="G580" s="49"/>
      <c r="H580" s="49"/>
      <c r="I580" s="49"/>
      <c r="J580" s="49"/>
      <c r="K580" s="49"/>
      <c r="L580" s="24"/>
      <c r="M580" s="103"/>
    </row>
    <row r="581" spans="1:13" ht="22.5" customHeight="1">
      <c r="A581" s="50"/>
      <c r="B581" s="102"/>
      <c r="C581" s="17"/>
      <c r="D581" s="102"/>
      <c r="E581" s="48"/>
      <c r="F581" s="48"/>
      <c r="G581" s="49"/>
      <c r="H581" s="49"/>
      <c r="I581" s="49"/>
      <c r="J581" s="49"/>
      <c r="K581" s="49"/>
      <c r="L581" s="24"/>
      <c r="M581" s="103"/>
    </row>
    <row r="582" spans="1:13" ht="22.5" customHeight="1">
      <c r="A582" s="50"/>
      <c r="B582" s="102"/>
      <c r="C582" s="17"/>
      <c r="D582" s="102"/>
      <c r="E582" s="48"/>
      <c r="F582" s="48"/>
      <c r="G582" s="49"/>
      <c r="H582" s="49"/>
      <c r="I582" s="49"/>
      <c r="J582" s="49"/>
      <c r="K582" s="49"/>
      <c r="L582" s="24"/>
      <c r="M582" s="103"/>
    </row>
    <row r="583" spans="1:13" ht="22.5" customHeight="1">
      <c r="A583" s="50"/>
      <c r="B583" s="102"/>
      <c r="C583" s="17"/>
      <c r="D583" s="102"/>
      <c r="E583" s="48"/>
      <c r="F583" s="48"/>
      <c r="G583" s="49"/>
      <c r="H583" s="49"/>
      <c r="I583" s="49"/>
      <c r="J583" s="49"/>
      <c r="K583" s="49"/>
      <c r="L583" s="24"/>
      <c r="M583" s="103"/>
    </row>
    <row r="584" spans="1:13" ht="22.5" customHeight="1">
      <c r="A584" s="50"/>
      <c r="B584" s="102"/>
      <c r="C584" s="17"/>
      <c r="D584" s="102"/>
      <c r="E584" s="48"/>
      <c r="F584" s="48"/>
      <c r="G584" s="49"/>
      <c r="H584" s="49"/>
      <c r="I584" s="49"/>
      <c r="J584" s="49"/>
      <c r="K584" s="49"/>
      <c r="L584" s="24"/>
      <c r="M584" s="103"/>
    </row>
    <row r="585" spans="1:13" ht="22.5" customHeight="1">
      <c r="A585" s="50"/>
      <c r="B585" s="102"/>
      <c r="C585" s="17"/>
      <c r="D585" s="102"/>
      <c r="E585" s="48"/>
      <c r="F585" s="48"/>
      <c r="G585" s="49"/>
      <c r="H585" s="49"/>
      <c r="I585" s="49"/>
      <c r="J585" s="49"/>
      <c r="K585" s="49"/>
      <c r="L585" s="24"/>
      <c r="M585" s="103"/>
    </row>
    <row r="586" spans="1:13" ht="22.5" customHeight="1">
      <c r="A586" s="50"/>
      <c r="B586" s="102"/>
      <c r="C586" s="17"/>
      <c r="D586" s="102"/>
      <c r="E586" s="48"/>
      <c r="F586" s="48"/>
      <c r="G586" s="49"/>
      <c r="H586" s="49"/>
      <c r="I586" s="49"/>
      <c r="J586" s="49"/>
      <c r="K586" s="49"/>
      <c r="L586" s="24"/>
      <c r="M586" s="103"/>
    </row>
    <row r="587" spans="1:13" ht="22.5" customHeight="1">
      <c r="A587" s="50"/>
      <c r="B587" s="102"/>
      <c r="C587" s="17"/>
      <c r="D587" s="102"/>
      <c r="E587" s="48"/>
      <c r="F587" s="48"/>
      <c r="G587" s="49"/>
      <c r="H587" s="49"/>
      <c r="I587" s="49"/>
      <c r="J587" s="49"/>
      <c r="K587" s="49"/>
      <c r="L587" s="24"/>
      <c r="M587" s="103"/>
    </row>
    <row r="588" spans="1:13" ht="22.5" customHeight="1">
      <c r="A588" s="50"/>
      <c r="B588" s="102"/>
      <c r="C588" s="17"/>
      <c r="D588" s="102"/>
      <c r="E588" s="48"/>
      <c r="F588" s="48"/>
      <c r="G588" s="49"/>
      <c r="H588" s="49"/>
      <c r="I588" s="49"/>
      <c r="J588" s="49"/>
      <c r="K588" s="49"/>
      <c r="L588" s="24"/>
      <c r="M588" s="103"/>
    </row>
    <row r="589" spans="1:13" ht="22.5" customHeight="1">
      <c r="A589" s="50"/>
      <c r="B589" s="102"/>
      <c r="C589" s="17"/>
      <c r="D589" s="102"/>
      <c r="E589" s="48"/>
      <c r="F589" s="48"/>
      <c r="G589" s="49"/>
      <c r="H589" s="49"/>
      <c r="I589" s="49"/>
      <c r="J589" s="49"/>
      <c r="K589" s="49"/>
      <c r="L589" s="24"/>
      <c r="M589" s="103"/>
    </row>
    <row r="590" spans="1:13" ht="22.5" customHeight="1">
      <c r="A590" s="50"/>
      <c r="B590" s="102"/>
      <c r="C590" s="17"/>
      <c r="D590" s="102"/>
      <c r="E590" s="48"/>
      <c r="F590" s="48"/>
      <c r="G590" s="49"/>
      <c r="H590" s="49"/>
      <c r="I590" s="49"/>
      <c r="J590" s="49"/>
      <c r="K590" s="49"/>
      <c r="L590" s="24"/>
      <c r="M590" s="103"/>
    </row>
    <row r="591" spans="1:13" ht="22.5" customHeight="1">
      <c r="A591" s="50"/>
      <c r="B591" s="102"/>
      <c r="C591" s="17"/>
      <c r="D591" s="102"/>
      <c r="E591" s="48"/>
      <c r="F591" s="48"/>
      <c r="G591" s="49"/>
      <c r="H591" s="49"/>
      <c r="I591" s="49"/>
      <c r="J591" s="49"/>
      <c r="K591" s="49"/>
      <c r="L591" s="24"/>
      <c r="M591" s="103"/>
    </row>
    <row r="592" spans="1:13" ht="22.5" customHeight="1">
      <c r="A592" s="50"/>
      <c r="B592" s="102"/>
      <c r="C592" s="17"/>
      <c r="D592" s="102"/>
      <c r="E592" s="48"/>
      <c r="F592" s="48"/>
      <c r="G592" s="49"/>
      <c r="H592" s="49"/>
      <c r="I592" s="49"/>
      <c r="J592" s="49"/>
      <c r="K592" s="49"/>
      <c r="L592" s="24"/>
      <c r="M592" s="103"/>
    </row>
    <row r="593" spans="1:13" ht="22.5" customHeight="1">
      <c r="A593" s="50"/>
      <c r="B593" s="102"/>
      <c r="C593" s="17"/>
      <c r="D593" s="102"/>
      <c r="E593" s="48"/>
      <c r="F593" s="48"/>
      <c r="G593" s="49"/>
      <c r="H593" s="49"/>
      <c r="I593" s="49"/>
      <c r="J593" s="49"/>
      <c r="K593" s="49"/>
      <c r="L593" s="24"/>
      <c r="M593" s="103"/>
    </row>
    <row r="594" spans="1:13" ht="22.5" customHeight="1">
      <c r="A594" s="50"/>
      <c r="B594" s="102"/>
      <c r="C594" s="17"/>
      <c r="D594" s="102"/>
      <c r="E594" s="48"/>
      <c r="F594" s="48"/>
      <c r="G594" s="49"/>
      <c r="H594" s="49"/>
      <c r="I594" s="49"/>
      <c r="J594" s="49"/>
      <c r="K594" s="49"/>
      <c r="L594" s="24"/>
      <c r="M594" s="103"/>
    </row>
    <row r="595" spans="1:13" ht="22.5" customHeight="1">
      <c r="A595" s="50"/>
      <c r="B595" s="102"/>
      <c r="C595" s="17"/>
      <c r="D595" s="102"/>
      <c r="E595" s="48"/>
      <c r="F595" s="48"/>
      <c r="G595" s="49"/>
      <c r="H595" s="49"/>
      <c r="I595" s="49"/>
      <c r="J595" s="49"/>
      <c r="K595" s="49"/>
      <c r="L595" s="24"/>
      <c r="M595" s="103"/>
    </row>
    <row r="596" spans="1:13" ht="22.5" customHeight="1">
      <c r="A596" s="50"/>
      <c r="B596" s="102"/>
      <c r="C596" s="17"/>
      <c r="D596" s="102"/>
      <c r="E596" s="48"/>
      <c r="F596" s="48"/>
      <c r="G596" s="49"/>
      <c r="H596" s="49"/>
      <c r="I596" s="49"/>
      <c r="J596" s="49"/>
      <c r="K596" s="49"/>
      <c r="L596" s="24"/>
      <c r="M596" s="103"/>
    </row>
    <row r="597" spans="1:13" ht="22.5" customHeight="1">
      <c r="A597" s="50"/>
      <c r="B597" s="102"/>
      <c r="C597" s="17"/>
      <c r="D597" s="102"/>
      <c r="E597" s="48"/>
      <c r="F597" s="48"/>
      <c r="G597" s="49"/>
      <c r="H597" s="49"/>
      <c r="I597" s="49"/>
      <c r="J597" s="49"/>
      <c r="K597" s="49"/>
      <c r="L597" s="24"/>
      <c r="M597" s="103"/>
    </row>
    <row r="598" spans="1:13" ht="22.5" customHeight="1">
      <c r="A598" s="50"/>
      <c r="B598" s="102"/>
      <c r="C598" s="17"/>
      <c r="D598" s="102"/>
      <c r="E598" s="48"/>
      <c r="F598" s="48"/>
      <c r="G598" s="49"/>
      <c r="H598" s="49"/>
      <c r="I598" s="49"/>
      <c r="J598" s="49"/>
      <c r="K598" s="49"/>
      <c r="L598" s="24"/>
      <c r="M598" s="103"/>
    </row>
    <row r="599" spans="1:13" ht="22.5" customHeight="1">
      <c r="A599" s="50"/>
      <c r="B599" s="102"/>
      <c r="C599" s="17"/>
      <c r="D599" s="102"/>
      <c r="E599" s="48"/>
      <c r="F599" s="48"/>
      <c r="G599" s="49"/>
      <c r="H599" s="49"/>
      <c r="I599" s="49"/>
      <c r="J599" s="49"/>
      <c r="K599" s="49"/>
      <c r="L599" s="24"/>
      <c r="M599" s="103"/>
    </row>
    <row r="600" spans="1:13" ht="22.5" customHeight="1">
      <c r="A600" s="50"/>
      <c r="B600" s="102"/>
      <c r="C600" s="17"/>
      <c r="D600" s="102"/>
      <c r="E600" s="48"/>
      <c r="F600" s="48"/>
      <c r="G600" s="49"/>
      <c r="H600" s="49"/>
      <c r="I600" s="49"/>
      <c r="J600" s="49"/>
      <c r="K600" s="49"/>
      <c r="L600" s="24"/>
      <c r="M600" s="103"/>
    </row>
    <row r="601" spans="1:13" ht="22.5" customHeight="1">
      <c r="A601" s="50"/>
      <c r="B601" s="102"/>
      <c r="C601" s="17"/>
      <c r="D601" s="102"/>
      <c r="E601" s="48"/>
      <c r="F601" s="48"/>
      <c r="G601" s="49"/>
      <c r="H601" s="49"/>
      <c r="I601" s="49"/>
      <c r="J601" s="49"/>
      <c r="K601" s="49"/>
      <c r="L601" s="24"/>
      <c r="M601" s="103"/>
    </row>
    <row r="602" spans="1:13" ht="22.5" customHeight="1">
      <c r="A602" s="50"/>
      <c r="B602" s="102"/>
      <c r="C602" s="17"/>
      <c r="D602" s="102"/>
      <c r="E602" s="48"/>
      <c r="F602" s="48"/>
      <c r="G602" s="49"/>
      <c r="H602" s="49"/>
      <c r="I602" s="49"/>
      <c r="J602" s="49"/>
      <c r="K602" s="49"/>
      <c r="L602" s="24"/>
      <c r="M602" s="103"/>
    </row>
    <row r="603" spans="1:13" ht="22.5" customHeight="1">
      <c r="A603" s="50"/>
      <c r="B603" s="102"/>
      <c r="C603" s="17"/>
      <c r="D603" s="102"/>
      <c r="E603" s="48"/>
      <c r="F603" s="48"/>
      <c r="G603" s="49"/>
      <c r="H603" s="49"/>
      <c r="I603" s="49"/>
      <c r="J603" s="49"/>
      <c r="K603" s="49"/>
      <c r="L603" s="24"/>
      <c r="M603" s="103"/>
    </row>
    <row r="604" spans="1:13" ht="22.5" customHeight="1">
      <c r="A604" s="50"/>
      <c r="B604" s="102"/>
      <c r="C604" s="17"/>
      <c r="D604" s="102"/>
      <c r="E604" s="48"/>
      <c r="F604" s="48"/>
      <c r="G604" s="49"/>
      <c r="H604" s="49"/>
      <c r="I604" s="49"/>
      <c r="J604" s="49"/>
      <c r="K604" s="49"/>
      <c r="L604" s="24"/>
      <c r="M604" s="103"/>
    </row>
    <row r="605" spans="1:13" ht="22.5" customHeight="1">
      <c r="A605" s="50"/>
      <c r="B605" s="102"/>
      <c r="C605" s="17"/>
      <c r="D605" s="102"/>
      <c r="E605" s="48"/>
      <c r="F605" s="48"/>
      <c r="G605" s="49"/>
      <c r="H605" s="49"/>
      <c r="I605" s="49"/>
      <c r="J605" s="49"/>
      <c r="K605" s="49"/>
      <c r="L605" s="24"/>
      <c r="M605" s="103"/>
    </row>
    <row r="606" spans="1:13" ht="22.5" customHeight="1">
      <c r="A606" s="50"/>
      <c r="B606" s="102"/>
      <c r="C606" s="17"/>
      <c r="D606" s="102"/>
      <c r="E606" s="48"/>
      <c r="F606" s="48"/>
      <c r="G606" s="49"/>
      <c r="H606" s="49"/>
      <c r="I606" s="49"/>
      <c r="J606" s="49"/>
      <c r="K606" s="49"/>
      <c r="L606" s="24"/>
      <c r="M606" s="103"/>
    </row>
    <row r="607" spans="1:13" ht="22.5" customHeight="1">
      <c r="A607" s="50"/>
      <c r="B607" s="102"/>
      <c r="C607" s="17"/>
      <c r="D607" s="102"/>
      <c r="E607" s="48"/>
      <c r="F607" s="48"/>
      <c r="G607" s="49"/>
      <c r="H607" s="49"/>
      <c r="I607" s="49"/>
      <c r="J607" s="49"/>
      <c r="K607" s="49"/>
      <c r="L607" s="24"/>
      <c r="M607" s="103"/>
    </row>
    <row r="608" spans="1:13" ht="22.5" customHeight="1">
      <c r="A608" s="50"/>
      <c r="B608" s="102"/>
      <c r="C608" s="17"/>
      <c r="D608" s="102"/>
      <c r="E608" s="48"/>
      <c r="F608" s="48"/>
      <c r="G608" s="49"/>
      <c r="H608" s="49"/>
      <c r="I608" s="49"/>
      <c r="J608" s="49"/>
      <c r="K608" s="49"/>
      <c r="L608" s="24"/>
      <c r="M608" s="103"/>
    </row>
    <row r="609" spans="1:13" ht="22.5" customHeight="1">
      <c r="A609" s="50"/>
      <c r="B609" s="102"/>
      <c r="C609" s="17"/>
      <c r="D609" s="102"/>
      <c r="E609" s="48"/>
      <c r="F609" s="48"/>
      <c r="G609" s="49"/>
      <c r="H609" s="49"/>
      <c r="I609" s="49"/>
      <c r="J609" s="49"/>
      <c r="K609" s="49"/>
      <c r="L609" s="24"/>
      <c r="M609" s="103"/>
    </row>
    <row r="610" spans="1:13" ht="22.5" customHeight="1">
      <c r="A610" s="50"/>
      <c r="B610" s="102"/>
      <c r="C610" s="17"/>
      <c r="D610" s="102"/>
      <c r="E610" s="48"/>
      <c r="F610" s="48"/>
      <c r="G610" s="49"/>
      <c r="H610" s="49"/>
      <c r="I610" s="49"/>
      <c r="J610" s="49"/>
      <c r="K610" s="49"/>
      <c r="L610" s="24"/>
      <c r="M610" s="103"/>
    </row>
    <row r="611" spans="1:13" ht="22.5" customHeight="1">
      <c r="A611" s="50"/>
      <c r="B611" s="102"/>
      <c r="C611" s="17"/>
      <c r="D611" s="102"/>
      <c r="E611" s="48"/>
      <c r="F611" s="48"/>
      <c r="G611" s="49"/>
      <c r="H611" s="49"/>
      <c r="I611" s="49"/>
      <c r="J611" s="49"/>
      <c r="K611" s="49"/>
      <c r="L611" s="24"/>
      <c r="M611" s="103"/>
    </row>
    <row r="612" spans="1:13" ht="22.5" customHeight="1">
      <c r="A612" s="50"/>
      <c r="B612" s="102"/>
      <c r="C612" s="17"/>
      <c r="D612" s="102"/>
      <c r="E612" s="48"/>
      <c r="F612" s="48"/>
      <c r="G612" s="49"/>
      <c r="H612" s="49"/>
      <c r="I612" s="49"/>
      <c r="J612" s="49"/>
      <c r="K612" s="49"/>
      <c r="L612" s="24"/>
      <c r="M612" s="103"/>
    </row>
    <row r="613" spans="1:13" ht="22.5" customHeight="1">
      <c r="A613" s="50"/>
      <c r="B613" s="102"/>
      <c r="C613" s="17"/>
      <c r="D613" s="102"/>
      <c r="E613" s="48"/>
      <c r="F613" s="48"/>
      <c r="G613" s="49"/>
      <c r="H613" s="49"/>
      <c r="I613" s="49"/>
      <c r="J613" s="49"/>
      <c r="K613" s="49"/>
      <c r="L613" s="24"/>
      <c r="M613" s="103"/>
    </row>
    <row r="614" spans="1:13" ht="22.5" customHeight="1">
      <c r="A614" s="50"/>
      <c r="B614" s="102"/>
      <c r="C614" s="17"/>
      <c r="D614" s="102"/>
      <c r="E614" s="48"/>
      <c r="F614" s="48"/>
      <c r="G614" s="49"/>
      <c r="H614" s="49"/>
      <c r="I614" s="49"/>
      <c r="J614" s="49"/>
      <c r="K614" s="49"/>
      <c r="L614" s="24"/>
      <c r="M614" s="103"/>
    </row>
    <row r="615" spans="1:13" ht="22.5" customHeight="1">
      <c r="A615" s="50"/>
      <c r="B615" s="102"/>
      <c r="C615" s="17"/>
      <c r="D615" s="102"/>
      <c r="E615" s="48"/>
      <c r="F615" s="48"/>
      <c r="G615" s="49"/>
      <c r="H615" s="49"/>
      <c r="I615" s="49"/>
      <c r="J615" s="49"/>
      <c r="K615" s="49"/>
      <c r="L615" s="24"/>
      <c r="M615" s="103"/>
    </row>
    <row r="616" spans="1:13" ht="22.5" customHeight="1">
      <c r="A616" s="50"/>
      <c r="B616" s="102"/>
      <c r="C616" s="17"/>
      <c r="D616" s="102"/>
      <c r="E616" s="48"/>
      <c r="F616" s="48"/>
      <c r="G616" s="49"/>
      <c r="H616" s="49"/>
      <c r="I616" s="49"/>
      <c r="J616" s="49"/>
      <c r="K616" s="49"/>
      <c r="L616" s="24"/>
      <c r="M616" s="103"/>
    </row>
    <row r="617" spans="1:13" ht="22.5" customHeight="1">
      <c r="A617" s="50"/>
      <c r="B617" s="102"/>
      <c r="C617" s="17"/>
      <c r="D617" s="102"/>
      <c r="E617" s="48"/>
      <c r="F617" s="48"/>
      <c r="G617" s="49"/>
      <c r="H617" s="49"/>
      <c r="I617" s="49"/>
      <c r="J617" s="49"/>
      <c r="K617" s="49"/>
      <c r="L617" s="24"/>
      <c r="M617" s="103"/>
    </row>
    <row r="618" spans="1:13" ht="22.5" customHeight="1">
      <c r="A618" s="50"/>
      <c r="B618" s="102"/>
      <c r="C618" s="17"/>
      <c r="D618" s="102"/>
      <c r="E618" s="48"/>
      <c r="F618" s="48"/>
      <c r="G618" s="49"/>
      <c r="H618" s="49"/>
      <c r="I618" s="49"/>
      <c r="J618" s="49"/>
      <c r="K618" s="49"/>
      <c r="L618" s="24"/>
      <c r="M618" s="103"/>
    </row>
    <row r="619" spans="1:13" ht="22.5" customHeight="1">
      <c r="A619" s="50"/>
      <c r="B619" s="102"/>
      <c r="C619" s="17"/>
      <c r="D619" s="102"/>
      <c r="E619" s="48"/>
      <c r="F619" s="48"/>
      <c r="G619" s="49"/>
      <c r="H619" s="49"/>
      <c r="I619" s="49"/>
      <c r="J619" s="49"/>
      <c r="K619" s="49"/>
      <c r="L619" s="24"/>
      <c r="M619" s="103"/>
    </row>
    <row r="620" spans="1:13" ht="22.5" customHeight="1">
      <c r="A620" s="50"/>
      <c r="B620" s="102"/>
      <c r="C620" s="17"/>
      <c r="D620" s="102"/>
      <c r="E620" s="48"/>
      <c r="F620" s="48"/>
      <c r="G620" s="49"/>
      <c r="H620" s="49"/>
      <c r="I620" s="49"/>
      <c r="J620" s="49"/>
      <c r="K620" s="49"/>
      <c r="L620" s="24"/>
      <c r="M620" s="103"/>
    </row>
    <row r="621" spans="1:13" ht="22.5" customHeight="1">
      <c r="A621" s="50"/>
      <c r="B621" s="102"/>
      <c r="C621" s="17"/>
      <c r="D621" s="102"/>
      <c r="E621" s="48"/>
      <c r="F621" s="48"/>
      <c r="G621" s="49"/>
      <c r="H621" s="49"/>
      <c r="I621" s="49"/>
      <c r="J621" s="49"/>
      <c r="K621" s="49"/>
      <c r="L621" s="24"/>
      <c r="M621" s="103"/>
    </row>
    <row r="622" spans="1:13" ht="22.5" customHeight="1">
      <c r="A622" s="50"/>
      <c r="B622" s="102"/>
      <c r="C622" s="17"/>
      <c r="D622" s="102"/>
      <c r="E622" s="48"/>
      <c r="F622" s="48"/>
      <c r="G622" s="49"/>
      <c r="H622" s="49"/>
      <c r="I622" s="49"/>
      <c r="J622" s="49"/>
      <c r="K622" s="49"/>
      <c r="L622" s="24"/>
      <c r="M622" s="103"/>
    </row>
    <row r="623" spans="1:13" ht="22.5" customHeight="1">
      <c r="A623" s="50"/>
      <c r="B623" s="102"/>
      <c r="C623" s="17"/>
      <c r="D623" s="102"/>
      <c r="E623" s="48"/>
      <c r="F623" s="48"/>
      <c r="G623" s="49"/>
      <c r="H623" s="49"/>
      <c r="I623" s="49"/>
      <c r="J623" s="49"/>
      <c r="K623" s="49"/>
      <c r="L623" s="24"/>
      <c r="M623" s="103"/>
    </row>
    <row r="624" spans="1:13" ht="22.5" customHeight="1">
      <c r="A624" s="50"/>
      <c r="B624" s="102"/>
      <c r="C624" s="17"/>
      <c r="D624" s="102"/>
      <c r="E624" s="48"/>
      <c r="F624" s="48"/>
      <c r="G624" s="49"/>
      <c r="H624" s="49"/>
      <c r="I624" s="49"/>
      <c r="J624" s="49"/>
      <c r="K624" s="49"/>
      <c r="L624" s="24"/>
      <c r="M624" s="103"/>
    </row>
    <row r="625" spans="1:13" ht="22.5" customHeight="1">
      <c r="A625" s="50"/>
      <c r="B625" s="102"/>
      <c r="C625" s="17"/>
      <c r="D625" s="102"/>
      <c r="E625" s="48"/>
      <c r="F625" s="48"/>
      <c r="G625" s="49"/>
      <c r="H625" s="49"/>
      <c r="I625" s="49"/>
      <c r="J625" s="49"/>
      <c r="K625" s="49"/>
      <c r="L625" s="24"/>
      <c r="M625" s="103"/>
    </row>
    <row r="626" spans="1:13" ht="22.5" customHeight="1">
      <c r="A626" s="50"/>
      <c r="B626" s="102"/>
      <c r="C626" s="17"/>
      <c r="D626" s="102"/>
      <c r="E626" s="48"/>
      <c r="F626" s="48"/>
      <c r="G626" s="49"/>
      <c r="H626" s="49"/>
      <c r="I626" s="49"/>
      <c r="J626" s="49"/>
      <c r="K626" s="49"/>
      <c r="L626" s="24"/>
      <c r="M626" s="103"/>
    </row>
    <row r="627" spans="1:13" ht="22.5" customHeight="1">
      <c r="A627" s="50"/>
      <c r="B627" s="102"/>
      <c r="C627" s="17"/>
      <c r="D627" s="102"/>
      <c r="E627" s="48"/>
      <c r="F627" s="48"/>
      <c r="G627" s="49"/>
      <c r="H627" s="49"/>
      <c r="I627" s="49"/>
      <c r="J627" s="49"/>
      <c r="K627" s="49"/>
      <c r="L627" s="24"/>
      <c r="M627" s="103"/>
    </row>
    <row r="628" spans="1:13" ht="22.5" customHeight="1">
      <c r="A628" s="50"/>
      <c r="B628" s="102"/>
      <c r="C628" s="17"/>
      <c r="D628" s="102"/>
      <c r="E628" s="48"/>
      <c r="F628" s="48"/>
      <c r="G628" s="49"/>
      <c r="H628" s="49"/>
      <c r="I628" s="49"/>
      <c r="J628" s="49"/>
      <c r="K628" s="49"/>
      <c r="L628" s="24"/>
      <c r="M628" s="103"/>
    </row>
    <row r="629" spans="1:13" ht="22.5" customHeight="1">
      <c r="A629" s="50"/>
      <c r="B629" s="102"/>
      <c r="C629" s="17"/>
      <c r="D629" s="102"/>
      <c r="E629" s="48"/>
      <c r="F629" s="48"/>
      <c r="G629" s="49"/>
      <c r="H629" s="49"/>
      <c r="I629" s="49"/>
      <c r="J629" s="49"/>
      <c r="K629" s="49"/>
      <c r="L629" s="24"/>
      <c r="M629" s="103"/>
    </row>
    <row r="630" spans="1:13" ht="22.5" customHeight="1">
      <c r="A630" s="50"/>
      <c r="B630" s="102"/>
      <c r="C630" s="17"/>
      <c r="D630" s="102"/>
      <c r="E630" s="48"/>
      <c r="F630" s="48"/>
      <c r="G630" s="49"/>
      <c r="H630" s="49"/>
      <c r="I630" s="49"/>
      <c r="J630" s="49"/>
      <c r="K630" s="49"/>
      <c r="L630" s="24"/>
      <c r="M630" s="103"/>
    </row>
    <row r="631" spans="1:13" ht="22.5" customHeight="1">
      <c r="A631" s="50"/>
      <c r="B631" s="102"/>
      <c r="C631" s="17"/>
      <c r="D631" s="102"/>
      <c r="E631" s="48"/>
      <c r="F631" s="48"/>
      <c r="G631" s="49"/>
      <c r="H631" s="49"/>
      <c r="I631" s="49"/>
      <c r="J631" s="49"/>
      <c r="K631" s="49"/>
      <c r="L631" s="24"/>
      <c r="M631" s="103"/>
    </row>
    <row r="632" spans="1:13" ht="22.5" customHeight="1">
      <c r="A632" s="50"/>
      <c r="B632" s="102"/>
      <c r="C632" s="17"/>
      <c r="D632" s="102"/>
      <c r="E632" s="48"/>
      <c r="F632" s="48"/>
      <c r="G632" s="49"/>
      <c r="H632" s="49"/>
      <c r="I632" s="49"/>
      <c r="J632" s="49"/>
      <c r="K632" s="49"/>
      <c r="L632" s="24"/>
      <c r="M632" s="103"/>
    </row>
    <row r="633" spans="1:13" ht="22.5" customHeight="1">
      <c r="A633" s="50"/>
      <c r="B633" s="102"/>
      <c r="C633" s="17"/>
      <c r="D633" s="102"/>
      <c r="E633" s="48"/>
      <c r="F633" s="48"/>
      <c r="G633" s="49"/>
      <c r="H633" s="49"/>
      <c r="I633" s="49"/>
      <c r="J633" s="49"/>
      <c r="K633" s="49"/>
      <c r="L633" s="24"/>
      <c r="M633" s="103"/>
    </row>
    <row r="634" spans="1:13" ht="22.5" customHeight="1">
      <c r="A634" s="50"/>
      <c r="B634" s="102"/>
      <c r="C634" s="17"/>
      <c r="D634" s="102"/>
      <c r="E634" s="48"/>
      <c r="F634" s="48"/>
      <c r="G634" s="49"/>
      <c r="H634" s="49"/>
      <c r="I634" s="49"/>
      <c r="J634" s="49"/>
      <c r="K634" s="49"/>
      <c r="L634" s="24"/>
      <c r="M634" s="103"/>
    </row>
    <row r="635" spans="1:13" ht="22.5" customHeight="1">
      <c r="A635" s="50"/>
      <c r="B635" s="102"/>
      <c r="C635" s="17"/>
      <c r="D635" s="102"/>
      <c r="E635" s="48"/>
      <c r="F635" s="48"/>
      <c r="G635" s="49"/>
      <c r="H635" s="49"/>
      <c r="I635" s="49"/>
      <c r="J635" s="49"/>
      <c r="K635" s="49"/>
      <c r="L635" s="24"/>
      <c r="M635" s="103"/>
    </row>
    <row r="636" spans="1:13" ht="22.5" customHeight="1">
      <c r="A636" s="50"/>
      <c r="B636" s="102"/>
      <c r="C636" s="17"/>
      <c r="D636" s="102"/>
      <c r="E636" s="48"/>
      <c r="F636" s="48"/>
      <c r="G636" s="49"/>
      <c r="H636" s="49"/>
      <c r="I636" s="49"/>
      <c r="J636" s="49"/>
      <c r="K636" s="49"/>
      <c r="L636" s="24"/>
      <c r="M636" s="103"/>
    </row>
    <row r="637" spans="1:13" ht="22.5" customHeight="1">
      <c r="A637" s="50"/>
      <c r="B637" s="102"/>
      <c r="C637" s="17"/>
      <c r="D637" s="102"/>
      <c r="E637" s="48"/>
      <c r="F637" s="48"/>
      <c r="G637" s="49"/>
      <c r="H637" s="49"/>
      <c r="I637" s="49"/>
      <c r="J637" s="49"/>
      <c r="K637" s="49"/>
      <c r="L637" s="24"/>
      <c r="M637" s="103"/>
    </row>
    <row r="638" spans="1:13" ht="22.5" customHeight="1">
      <c r="A638" s="50"/>
      <c r="B638" s="102"/>
      <c r="C638" s="17"/>
      <c r="D638" s="102"/>
      <c r="E638" s="48"/>
      <c r="F638" s="48"/>
      <c r="G638" s="49"/>
      <c r="H638" s="49"/>
      <c r="I638" s="49"/>
      <c r="J638" s="49"/>
      <c r="K638" s="49"/>
      <c r="L638" s="24"/>
      <c r="M638" s="103"/>
    </row>
    <row r="639" spans="1:13" ht="22.5" customHeight="1">
      <c r="A639" s="50"/>
      <c r="B639" s="102"/>
      <c r="C639" s="17"/>
      <c r="D639" s="102"/>
      <c r="E639" s="48"/>
      <c r="F639" s="48"/>
      <c r="G639" s="49"/>
      <c r="H639" s="49"/>
      <c r="I639" s="49"/>
      <c r="J639" s="49"/>
      <c r="K639" s="49"/>
      <c r="L639" s="24"/>
      <c r="M639" s="103"/>
    </row>
    <row r="640" spans="1:13" ht="22.5" customHeight="1">
      <c r="A640" s="50"/>
      <c r="B640" s="102"/>
      <c r="C640" s="17"/>
      <c r="D640" s="102"/>
      <c r="E640" s="48"/>
      <c r="F640" s="48"/>
      <c r="G640" s="49"/>
      <c r="H640" s="49"/>
      <c r="I640" s="49"/>
      <c r="J640" s="49"/>
      <c r="K640" s="49"/>
      <c r="L640" s="24"/>
      <c r="M640" s="103"/>
    </row>
    <row r="641" spans="1:13" ht="22.5" customHeight="1">
      <c r="A641" s="50"/>
      <c r="B641" s="102"/>
      <c r="C641" s="17"/>
      <c r="D641" s="102"/>
      <c r="E641" s="48"/>
      <c r="F641" s="48"/>
      <c r="G641" s="49"/>
      <c r="H641" s="49"/>
      <c r="I641" s="49"/>
      <c r="J641" s="49"/>
      <c r="K641" s="49"/>
      <c r="L641" s="24"/>
      <c r="M641" s="103"/>
    </row>
    <row r="642" spans="1:13" ht="22.5" customHeight="1">
      <c r="A642" s="50"/>
      <c r="B642" s="102"/>
      <c r="C642" s="17"/>
      <c r="D642" s="102"/>
      <c r="E642" s="48"/>
      <c r="F642" s="48"/>
      <c r="G642" s="49"/>
      <c r="H642" s="49"/>
      <c r="I642" s="49"/>
      <c r="J642" s="49"/>
      <c r="K642" s="49"/>
      <c r="L642" s="24"/>
      <c r="M642" s="103"/>
    </row>
    <row r="643" spans="1:13" ht="22.5" customHeight="1">
      <c r="A643" s="50"/>
      <c r="B643" s="102"/>
      <c r="C643" s="17"/>
      <c r="D643" s="102"/>
      <c r="E643" s="48"/>
      <c r="F643" s="48"/>
      <c r="G643" s="49"/>
      <c r="H643" s="49"/>
      <c r="I643" s="49"/>
      <c r="J643" s="49"/>
      <c r="K643" s="49"/>
      <c r="L643" s="24"/>
      <c r="M643" s="103"/>
    </row>
    <row r="644" spans="1:13" ht="22.5" customHeight="1">
      <c r="A644" s="50"/>
      <c r="B644" s="102"/>
      <c r="C644" s="17"/>
      <c r="D644" s="102"/>
      <c r="E644" s="48"/>
      <c r="F644" s="48"/>
      <c r="G644" s="49"/>
      <c r="H644" s="49"/>
      <c r="I644" s="49"/>
      <c r="J644" s="49"/>
      <c r="K644" s="49"/>
      <c r="L644" s="24"/>
      <c r="M644" s="103"/>
    </row>
    <row r="645" spans="1:13" ht="22.5" customHeight="1">
      <c r="A645" s="50"/>
      <c r="B645" s="102"/>
      <c r="C645" s="17"/>
      <c r="D645" s="102"/>
      <c r="E645" s="48"/>
      <c r="F645" s="48"/>
      <c r="G645" s="49"/>
      <c r="H645" s="49"/>
      <c r="I645" s="49"/>
      <c r="J645" s="49"/>
      <c r="K645" s="49"/>
      <c r="L645" s="24"/>
      <c r="M645" s="103"/>
    </row>
    <row r="646" spans="1:13" ht="22.5" customHeight="1">
      <c r="A646" s="50"/>
      <c r="B646" s="102"/>
      <c r="C646" s="17"/>
      <c r="D646" s="102"/>
      <c r="E646" s="48"/>
      <c r="F646" s="48"/>
      <c r="G646" s="49"/>
      <c r="H646" s="49"/>
      <c r="I646" s="49"/>
      <c r="J646" s="49"/>
      <c r="K646" s="49"/>
      <c r="L646" s="24"/>
      <c r="M646" s="103"/>
    </row>
    <row r="647" spans="1:13" ht="22.5" customHeight="1">
      <c r="A647" s="50"/>
      <c r="B647" s="102"/>
      <c r="C647" s="17"/>
      <c r="D647" s="102"/>
      <c r="E647" s="48"/>
      <c r="F647" s="48"/>
      <c r="G647" s="49"/>
      <c r="H647" s="49"/>
      <c r="I647" s="49"/>
      <c r="J647" s="49"/>
      <c r="K647" s="49"/>
      <c r="L647" s="24"/>
      <c r="M647" s="103"/>
    </row>
    <row r="648" spans="1:13" ht="22.5" customHeight="1">
      <c r="A648" s="50"/>
      <c r="B648" s="102"/>
      <c r="C648" s="17"/>
      <c r="D648" s="102"/>
      <c r="E648" s="48"/>
      <c r="F648" s="48"/>
      <c r="G648" s="49"/>
      <c r="H648" s="49"/>
      <c r="I648" s="49"/>
      <c r="J648" s="49"/>
      <c r="K648" s="49"/>
      <c r="L648" s="24"/>
      <c r="M648" s="103"/>
    </row>
    <row r="649" spans="1:13" ht="22.5" customHeight="1">
      <c r="A649" s="50"/>
      <c r="B649" s="102"/>
      <c r="C649" s="17"/>
      <c r="D649" s="102"/>
      <c r="E649" s="48"/>
      <c r="F649" s="48"/>
      <c r="G649" s="49"/>
      <c r="H649" s="49"/>
      <c r="I649" s="49"/>
      <c r="J649" s="49"/>
      <c r="K649" s="49"/>
      <c r="L649" s="24"/>
      <c r="M649" s="103"/>
    </row>
    <row r="650" spans="1:13" ht="22.5" customHeight="1">
      <c r="A650" s="50"/>
      <c r="B650" s="102"/>
      <c r="C650" s="17"/>
      <c r="D650" s="102"/>
      <c r="E650" s="48"/>
      <c r="F650" s="48"/>
      <c r="G650" s="49"/>
      <c r="H650" s="49"/>
      <c r="I650" s="49"/>
      <c r="J650" s="49"/>
      <c r="K650" s="49"/>
      <c r="L650" s="24"/>
      <c r="M650" s="103"/>
    </row>
    <row r="651" spans="1:13" ht="22.5" customHeight="1">
      <c r="A651" s="50"/>
      <c r="B651" s="102"/>
      <c r="C651" s="17"/>
      <c r="D651" s="102"/>
      <c r="E651" s="48"/>
      <c r="F651" s="48"/>
      <c r="G651" s="49"/>
      <c r="H651" s="49"/>
      <c r="I651" s="49"/>
      <c r="J651" s="49"/>
      <c r="K651" s="49"/>
      <c r="L651" s="24"/>
      <c r="M651" s="103"/>
    </row>
    <row r="652" spans="1:13" ht="22.5" customHeight="1">
      <c r="A652" s="50"/>
      <c r="B652" s="102"/>
      <c r="C652" s="17"/>
      <c r="D652" s="102"/>
      <c r="E652" s="48"/>
      <c r="F652" s="48"/>
      <c r="G652" s="49"/>
      <c r="H652" s="49"/>
      <c r="I652" s="49"/>
      <c r="J652" s="49"/>
      <c r="K652" s="49"/>
      <c r="L652" s="24"/>
      <c r="M652" s="103"/>
    </row>
    <row r="653" spans="1:13" ht="22.5" customHeight="1">
      <c r="A653" s="50"/>
      <c r="B653" s="102"/>
      <c r="C653" s="17"/>
      <c r="D653" s="102"/>
      <c r="E653" s="48"/>
      <c r="F653" s="48"/>
      <c r="G653" s="49"/>
      <c r="H653" s="49"/>
      <c r="I653" s="49"/>
      <c r="J653" s="49"/>
      <c r="K653" s="49"/>
      <c r="L653" s="24"/>
      <c r="M653" s="103"/>
    </row>
    <row r="654" spans="1:13" ht="22.5" customHeight="1">
      <c r="A654" s="50"/>
      <c r="B654" s="102"/>
      <c r="C654" s="17"/>
      <c r="D654" s="102"/>
      <c r="E654" s="48"/>
      <c r="F654" s="48"/>
      <c r="G654" s="49"/>
      <c r="H654" s="49"/>
      <c r="I654" s="49"/>
      <c r="J654" s="49"/>
      <c r="K654" s="49"/>
      <c r="L654" s="24"/>
      <c r="M654" s="103"/>
    </row>
    <row r="655" spans="1:13" ht="22.5" customHeight="1">
      <c r="A655" s="50"/>
      <c r="B655" s="102"/>
      <c r="C655" s="17"/>
      <c r="D655" s="102"/>
      <c r="E655" s="48"/>
      <c r="F655" s="48"/>
      <c r="G655" s="49"/>
      <c r="H655" s="49"/>
      <c r="I655" s="49"/>
      <c r="J655" s="49"/>
      <c r="K655" s="49"/>
      <c r="L655" s="24"/>
      <c r="M655" s="103"/>
    </row>
    <row r="656" spans="1:13" ht="22.5" customHeight="1">
      <c r="A656" s="50"/>
      <c r="B656" s="102"/>
      <c r="C656" s="17"/>
      <c r="D656" s="102"/>
      <c r="E656" s="48"/>
      <c r="F656" s="48"/>
      <c r="G656" s="49"/>
      <c r="H656" s="49"/>
      <c r="I656" s="49"/>
      <c r="J656" s="49"/>
      <c r="K656" s="49"/>
      <c r="L656" s="24"/>
      <c r="M656" s="103"/>
    </row>
    <row r="657" spans="1:13" ht="22.5" customHeight="1">
      <c r="A657" s="50"/>
      <c r="B657" s="102"/>
      <c r="C657" s="17"/>
      <c r="D657" s="102"/>
      <c r="E657" s="48"/>
      <c r="F657" s="48"/>
      <c r="G657" s="49"/>
      <c r="H657" s="49"/>
      <c r="I657" s="49"/>
      <c r="J657" s="49"/>
      <c r="K657" s="49"/>
      <c r="L657" s="24"/>
      <c r="M657" s="103"/>
    </row>
    <row r="658" spans="1:13" ht="22.5" customHeight="1">
      <c r="A658" s="50"/>
      <c r="B658" s="102"/>
      <c r="C658" s="17"/>
      <c r="D658" s="102"/>
      <c r="E658" s="48"/>
      <c r="F658" s="48"/>
      <c r="G658" s="49"/>
      <c r="H658" s="49"/>
      <c r="I658" s="49"/>
      <c r="J658" s="49"/>
      <c r="K658" s="49"/>
      <c r="L658" s="24"/>
      <c r="M658" s="103"/>
    </row>
    <row r="659" spans="1:13" ht="22.5" customHeight="1">
      <c r="A659" s="50"/>
      <c r="B659" s="102"/>
      <c r="C659" s="17"/>
      <c r="D659" s="102"/>
      <c r="E659" s="48"/>
      <c r="F659" s="48"/>
      <c r="G659" s="49"/>
      <c r="H659" s="49"/>
      <c r="I659" s="49"/>
      <c r="J659" s="49"/>
      <c r="K659" s="49"/>
      <c r="L659" s="24"/>
      <c r="M659" s="103"/>
    </row>
    <row r="660" spans="1:13" ht="22.5" customHeight="1">
      <c r="A660" s="50"/>
      <c r="B660" s="102"/>
      <c r="C660" s="17"/>
      <c r="D660" s="102"/>
      <c r="E660" s="48"/>
      <c r="F660" s="48"/>
      <c r="G660" s="49"/>
      <c r="H660" s="49"/>
      <c r="I660" s="49"/>
      <c r="J660" s="49"/>
      <c r="K660" s="49"/>
      <c r="L660" s="24"/>
      <c r="M660" s="103"/>
    </row>
    <row r="661" spans="1:13" ht="22.5" customHeight="1">
      <c r="A661" s="50"/>
      <c r="B661" s="102"/>
      <c r="C661" s="17"/>
      <c r="D661" s="102"/>
      <c r="E661" s="48"/>
      <c r="F661" s="48"/>
      <c r="G661" s="49"/>
      <c r="H661" s="49"/>
      <c r="I661" s="49"/>
      <c r="J661" s="49"/>
      <c r="K661" s="49"/>
      <c r="L661" s="24"/>
      <c r="M661" s="103"/>
    </row>
    <row r="662" spans="1:13" ht="22.5" customHeight="1">
      <c r="A662" s="50"/>
      <c r="B662" s="102"/>
      <c r="C662" s="17"/>
      <c r="D662" s="102"/>
      <c r="E662" s="48"/>
      <c r="F662" s="48"/>
      <c r="G662" s="49"/>
      <c r="H662" s="49"/>
      <c r="I662" s="49"/>
      <c r="J662" s="49"/>
      <c r="K662" s="49"/>
      <c r="L662" s="24"/>
      <c r="M662" s="103"/>
    </row>
    <row r="663" spans="1:13" ht="22.5" customHeight="1">
      <c r="A663" s="50"/>
      <c r="B663" s="102"/>
      <c r="C663" s="17"/>
      <c r="D663" s="102"/>
      <c r="E663" s="48"/>
      <c r="F663" s="48"/>
      <c r="G663" s="49"/>
      <c r="H663" s="49"/>
      <c r="I663" s="49"/>
      <c r="J663" s="49"/>
      <c r="K663" s="49"/>
      <c r="L663" s="24"/>
      <c r="M663" s="103"/>
    </row>
    <row r="664" spans="1:13" ht="22.5" customHeight="1">
      <c r="A664" s="50"/>
      <c r="B664" s="102"/>
      <c r="C664" s="17"/>
      <c r="D664" s="102"/>
      <c r="E664" s="48"/>
      <c r="F664" s="48"/>
      <c r="G664" s="49"/>
      <c r="H664" s="49"/>
      <c r="I664" s="49"/>
      <c r="J664" s="49"/>
      <c r="K664" s="49"/>
      <c r="L664" s="24"/>
      <c r="M664" s="103"/>
    </row>
    <row r="665" spans="1:13" ht="22.5" customHeight="1">
      <c r="A665" s="50"/>
      <c r="B665" s="102"/>
      <c r="C665" s="17"/>
      <c r="D665" s="102"/>
      <c r="E665" s="48"/>
      <c r="F665" s="48"/>
      <c r="G665" s="49"/>
      <c r="H665" s="49"/>
      <c r="I665" s="49"/>
      <c r="J665" s="49"/>
      <c r="K665" s="49"/>
      <c r="L665" s="24"/>
      <c r="M665" s="103"/>
    </row>
    <row r="666" spans="1:13" ht="22.5" customHeight="1">
      <c r="A666" s="50"/>
      <c r="B666" s="102"/>
      <c r="C666" s="17"/>
      <c r="D666" s="102"/>
      <c r="E666" s="48"/>
      <c r="F666" s="48"/>
      <c r="G666" s="49"/>
      <c r="H666" s="49"/>
      <c r="I666" s="49"/>
      <c r="J666" s="49"/>
      <c r="K666" s="49"/>
      <c r="L666" s="24"/>
      <c r="M666" s="103"/>
    </row>
    <row r="667" spans="1:13" ht="22.5" customHeight="1">
      <c r="A667" s="50"/>
      <c r="B667" s="102"/>
      <c r="C667" s="17"/>
      <c r="D667" s="102"/>
      <c r="E667" s="48"/>
      <c r="F667" s="48"/>
      <c r="G667" s="49"/>
      <c r="H667" s="49"/>
      <c r="I667" s="49"/>
      <c r="J667" s="49"/>
      <c r="K667" s="49"/>
      <c r="L667" s="24"/>
      <c r="M667" s="103"/>
    </row>
    <row r="668" spans="1:13" ht="22.5" customHeight="1">
      <c r="A668" s="50"/>
      <c r="B668" s="102"/>
      <c r="C668" s="17"/>
      <c r="D668" s="102"/>
      <c r="E668" s="48"/>
      <c r="F668" s="48"/>
      <c r="G668" s="49"/>
      <c r="H668" s="49"/>
      <c r="I668" s="49"/>
      <c r="J668" s="49"/>
      <c r="K668" s="49"/>
      <c r="L668" s="24"/>
      <c r="M668" s="103"/>
    </row>
    <row r="669" spans="1:13" ht="22.5" customHeight="1">
      <c r="A669" s="50"/>
      <c r="B669" s="102"/>
      <c r="C669" s="17"/>
      <c r="D669" s="102"/>
      <c r="E669" s="48"/>
      <c r="F669" s="48"/>
      <c r="G669" s="49"/>
      <c r="H669" s="49"/>
      <c r="I669" s="49"/>
      <c r="J669" s="49"/>
      <c r="K669" s="49"/>
      <c r="L669" s="24"/>
      <c r="M669" s="103"/>
    </row>
    <row r="670" spans="1:13" ht="22.5" customHeight="1">
      <c r="A670" s="50"/>
      <c r="B670" s="102"/>
      <c r="C670" s="17"/>
      <c r="D670" s="102"/>
      <c r="E670" s="48"/>
      <c r="F670" s="48"/>
      <c r="G670" s="49"/>
      <c r="H670" s="49"/>
      <c r="I670" s="49"/>
      <c r="J670" s="49"/>
      <c r="K670" s="49"/>
      <c r="L670" s="24"/>
      <c r="M670" s="103"/>
    </row>
    <row r="671" spans="1:13" ht="22.5" customHeight="1">
      <c r="A671" s="50"/>
      <c r="B671" s="102"/>
      <c r="C671" s="17"/>
      <c r="D671" s="102"/>
      <c r="E671" s="48"/>
      <c r="F671" s="48"/>
      <c r="G671" s="49"/>
      <c r="H671" s="49"/>
      <c r="I671" s="49"/>
      <c r="J671" s="49"/>
      <c r="K671" s="49"/>
      <c r="L671" s="24"/>
      <c r="M671" s="103"/>
    </row>
    <row r="672" spans="1:13" ht="22.5" customHeight="1">
      <c r="A672" s="50"/>
      <c r="B672" s="102"/>
      <c r="C672" s="17"/>
      <c r="D672" s="102"/>
      <c r="E672" s="48"/>
      <c r="F672" s="48"/>
      <c r="G672" s="49"/>
      <c r="H672" s="49"/>
      <c r="I672" s="49"/>
      <c r="J672" s="49"/>
      <c r="K672" s="49"/>
      <c r="L672" s="24"/>
      <c r="M672" s="103"/>
    </row>
    <row r="673" spans="1:13" ht="22.5" customHeight="1">
      <c r="A673" s="50"/>
      <c r="B673" s="102"/>
      <c r="C673" s="17"/>
      <c r="D673" s="102"/>
      <c r="E673" s="48"/>
      <c r="F673" s="48"/>
      <c r="G673" s="49"/>
      <c r="H673" s="49"/>
      <c r="I673" s="49"/>
      <c r="J673" s="49"/>
      <c r="K673" s="49"/>
      <c r="L673" s="24"/>
      <c r="M673" s="103"/>
    </row>
    <row r="674" spans="1:13" ht="22.5" customHeight="1">
      <c r="A674" s="50"/>
      <c r="B674" s="102"/>
      <c r="C674" s="17"/>
      <c r="D674" s="102"/>
      <c r="E674" s="48"/>
      <c r="F674" s="48"/>
      <c r="G674" s="49"/>
      <c r="H674" s="49"/>
      <c r="I674" s="49"/>
      <c r="J674" s="49"/>
      <c r="K674" s="49"/>
      <c r="L674" s="24"/>
      <c r="M674" s="103"/>
    </row>
    <row r="675" spans="1:13" ht="22.5" customHeight="1">
      <c r="A675" s="50"/>
      <c r="B675" s="102"/>
      <c r="C675" s="17"/>
      <c r="D675" s="102"/>
      <c r="E675" s="48"/>
      <c r="F675" s="48"/>
      <c r="G675" s="49"/>
      <c r="H675" s="49"/>
      <c r="I675" s="49"/>
      <c r="J675" s="49"/>
      <c r="K675" s="49"/>
      <c r="L675" s="24"/>
      <c r="M675" s="103"/>
    </row>
    <row r="676" spans="1:13" ht="22.5" customHeight="1">
      <c r="A676" s="50"/>
      <c r="B676" s="102"/>
      <c r="C676" s="17"/>
      <c r="D676" s="102"/>
      <c r="E676" s="48"/>
      <c r="F676" s="48"/>
      <c r="G676" s="49"/>
      <c r="H676" s="49"/>
      <c r="I676" s="49"/>
      <c r="J676" s="49"/>
      <c r="K676" s="49"/>
      <c r="L676" s="24"/>
      <c r="M676" s="103"/>
    </row>
    <row r="677" spans="1:13" ht="22.5" customHeight="1">
      <c r="A677" s="50"/>
      <c r="B677" s="102"/>
      <c r="C677" s="17"/>
      <c r="D677" s="102"/>
      <c r="E677" s="48"/>
      <c r="F677" s="48"/>
      <c r="G677" s="49"/>
      <c r="H677" s="49"/>
      <c r="I677" s="49"/>
      <c r="J677" s="49"/>
      <c r="K677" s="49"/>
      <c r="L677" s="24"/>
      <c r="M677" s="103"/>
    </row>
    <row r="678" spans="1:13" ht="22.5" customHeight="1">
      <c r="A678" s="50"/>
      <c r="B678" s="102"/>
      <c r="C678" s="17"/>
      <c r="D678" s="102"/>
      <c r="E678" s="48"/>
      <c r="F678" s="48"/>
      <c r="G678" s="49"/>
      <c r="H678" s="49"/>
      <c r="I678" s="49"/>
      <c r="J678" s="49"/>
      <c r="K678" s="49"/>
      <c r="L678" s="24"/>
      <c r="M678" s="103"/>
    </row>
    <row r="679" spans="1:13" ht="22.5" customHeight="1">
      <c r="A679" s="50"/>
      <c r="B679" s="102"/>
      <c r="C679" s="17"/>
      <c r="D679" s="102"/>
      <c r="E679" s="48"/>
      <c r="F679" s="48"/>
      <c r="G679" s="49"/>
      <c r="H679" s="49"/>
      <c r="I679" s="49"/>
      <c r="J679" s="49"/>
      <c r="K679" s="49"/>
      <c r="L679" s="24"/>
      <c r="M679" s="103"/>
    </row>
    <row r="680" spans="1:13" ht="22.5" customHeight="1">
      <c r="A680" s="50"/>
      <c r="B680" s="102"/>
      <c r="C680" s="17"/>
      <c r="D680" s="102"/>
      <c r="E680" s="48"/>
      <c r="F680" s="48"/>
      <c r="G680" s="49"/>
      <c r="H680" s="49"/>
      <c r="I680" s="49"/>
      <c r="J680" s="49"/>
      <c r="K680" s="49"/>
      <c r="L680" s="24"/>
      <c r="M680" s="103"/>
    </row>
    <row r="681" spans="1:13" ht="22.5" customHeight="1">
      <c r="A681" s="50"/>
      <c r="B681" s="102"/>
      <c r="C681" s="17"/>
      <c r="D681" s="102"/>
      <c r="E681" s="48"/>
      <c r="F681" s="48"/>
      <c r="G681" s="49"/>
      <c r="H681" s="49"/>
      <c r="I681" s="49"/>
      <c r="J681" s="49"/>
      <c r="K681" s="49"/>
      <c r="L681" s="24"/>
      <c r="M681" s="103"/>
    </row>
    <row r="682" spans="1:13" ht="22.5" customHeight="1">
      <c r="A682" s="50"/>
      <c r="B682" s="102"/>
      <c r="C682" s="17"/>
      <c r="D682" s="102"/>
      <c r="E682" s="48"/>
      <c r="F682" s="48"/>
      <c r="G682" s="49"/>
      <c r="H682" s="49"/>
      <c r="I682" s="49"/>
      <c r="J682" s="49"/>
      <c r="K682" s="49"/>
      <c r="L682" s="24"/>
      <c r="M682" s="103"/>
    </row>
    <row r="683" spans="1:13" ht="22.5" customHeight="1">
      <c r="A683" s="50"/>
      <c r="B683" s="102"/>
      <c r="C683" s="17"/>
      <c r="D683" s="102"/>
      <c r="E683" s="48"/>
      <c r="F683" s="48"/>
      <c r="G683" s="49"/>
      <c r="H683" s="49"/>
      <c r="I683" s="49"/>
      <c r="J683" s="49"/>
      <c r="K683" s="49"/>
      <c r="L683" s="24"/>
      <c r="M683" s="103"/>
    </row>
    <row r="684" spans="1:13" ht="22.5" customHeight="1">
      <c r="A684" s="50"/>
      <c r="B684" s="102"/>
      <c r="C684" s="17"/>
      <c r="D684" s="102"/>
      <c r="E684" s="48"/>
      <c r="F684" s="48"/>
      <c r="G684" s="49"/>
      <c r="H684" s="49"/>
      <c r="I684" s="49"/>
      <c r="J684" s="49"/>
      <c r="K684" s="49"/>
      <c r="L684" s="24"/>
      <c r="M684" s="103"/>
    </row>
    <row r="685" spans="1:13" ht="22.5" customHeight="1">
      <c r="A685" s="50"/>
      <c r="B685" s="102"/>
      <c r="C685" s="17"/>
      <c r="D685" s="102"/>
      <c r="E685" s="48"/>
      <c r="F685" s="48"/>
      <c r="G685" s="49"/>
      <c r="H685" s="49"/>
      <c r="I685" s="49"/>
      <c r="J685" s="49"/>
      <c r="K685" s="49"/>
      <c r="L685" s="24"/>
      <c r="M685" s="103"/>
    </row>
    <row r="686" spans="1:13" ht="22.5" customHeight="1">
      <c r="A686" s="50"/>
      <c r="B686" s="102"/>
      <c r="C686" s="17"/>
      <c r="D686" s="102"/>
      <c r="E686" s="48"/>
      <c r="F686" s="48"/>
      <c r="G686" s="49"/>
      <c r="H686" s="49"/>
      <c r="I686" s="49"/>
      <c r="J686" s="49"/>
      <c r="K686" s="49"/>
      <c r="L686" s="24"/>
      <c r="M686" s="103"/>
    </row>
    <row r="687" spans="1:13" ht="22.5" customHeight="1">
      <c r="A687" s="50"/>
      <c r="B687" s="102"/>
      <c r="C687" s="17"/>
      <c r="D687" s="102"/>
      <c r="E687" s="48"/>
      <c r="F687" s="48"/>
      <c r="G687" s="49"/>
      <c r="H687" s="49"/>
      <c r="I687" s="49"/>
      <c r="J687" s="49"/>
      <c r="K687" s="49"/>
      <c r="L687" s="24"/>
      <c r="M687" s="103"/>
    </row>
    <row r="688" spans="1:13" ht="22.5" customHeight="1">
      <c r="A688" s="50"/>
      <c r="B688" s="102"/>
      <c r="C688" s="17"/>
      <c r="D688" s="102"/>
      <c r="E688" s="48"/>
      <c r="F688" s="48"/>
      <c r="G688" s="49"/>
      <c r="H688" s="49"/>
      <c r="I688" s="49"/>
      <c r="J688" s="49"/>
      <c r="K688" s="49"/>
      <c r="L688" s="24"/>
      <c r="M688" s="103"/>
    </row>
    <row r="689" spans="1:13" ht="22.5" customHeight="1">
      <c r="A689" s="50"/>
      <c r="B689" s="102"/>
      <c r="C689" s="17"/>
      <c r="D689" s="102"/>
      <c r="E689" s="48"/>
      <c r="F689" s="48"/>
      <c r="G689" s="49"/>
      <c r="H689" s="49"/>
      <c r="I689" s="49"/>
      <c r="J689" s="49"/>
      <c r="K689" s="49"/>
      <c r="L689" s="24"/>
      <c r="M689" s="103"/>
    </row>
    <row r="690" spans="1:13" ht="22.5" customHeight="1">
      <c r="A690" s="50"/>
      <c r="B690" s="102"/>
      <c r="C690" s="17"/>
      <c r="D690" s="102"/>
      <c r="E690" s="48"/>
      <c r="F690" s="48"/>
      <c r="G690" s="49"/>
      <c r="H690" s="49"/>
      <c r="I690" s="49"/>
      <c r="J690" s="49"/>
      <c r="K690" s="49"/>
      <c r="L690" s="24"/>
      <c r="M690" s="103"/>
    </row>
    <row r="691" spans="1:13" ht="22.5" customHeight="1">
      <c r="A691" s="50"/>
      <c r="B691" s="102"/>
      <c r="C691" s="17"/>
      <c r="D691" s="102"/>
      <c r="E691" s="48"/>
      <c r="F691" s="48"/>
      <c r="G691" s="49"/>
      <c r="H691" s="49"/>
      <c r="I691" s="49"/>
      <c r="J691" s="49"/>
      <c r="K691" s="49"/>
      <c r="L691" s="24"/>
      <c r="M691" s="103"/>
    </row>
    <row r="692" spans="1:13" ht="22.5" customHeight="1">
      <c r="A692" s="50"/>
      <c r="B692" s="102"/>
      <c r="C692" s="17"/>
      <c r="D692" s="102"/>
      <c r="E692" s="48"/>
      <c r="F692" s="48"/>
      <c r="G692" s="49"/>
      <c r="H692" s="49"/>
      <c r="I692" s="49"/>
      <c r="J692" s="49"/>
      <c r="K692" s="49"/>
      <c r="L692" s="24"/>
      <c r="M692" s="103"/>
    </row>
    <row r="693" spans="1:13" ht="22.5" customHeight="1">
      <c r="A693" s="50"/>
      <c r="B693" s="102"/>
      <c r="C693" s="17"/>
      <c r="D693" s="102"/>
      <c r="E693" s="48"/>
      <c r="F693" s="48"/>
      <c r="G693" s="49"/>
      <c r="H693" s="49"/>
      <c r="I693" s="49"/>
      <c r="J693" s="49"/>
      <c r="K693" s="49"/>
      <c r="L693" s="24"/>
      <c r="M693" s="103"/>
    </row>
    <row r="694" spans="1:13" ht="22.5" customHeight="1">
      <c r="A694" s="50"/>
      <c r="B694" s="102"/>
      <c r="C694" s="17"/>
      <c r="D694" s="102"/>
      <c r="E694" s="48"/>
      <c r="F694" s="48"/>
      <c r="G694" s="49"/>
      <c r="H694" s="49"/>
      <c r="I694" s="49"/>
      <c r="J694" s="49"/>
      <c r="K694" s="49"/>
      <c r="L694" s="24"/>
      <c r="M694" s="103"/>
    </row>
    <row r="695" spans="1:13" ht="22.5" customHeight="1">
      <c r="A695" s="50"/>
      <c r="B695" s="102"/>
      <c r="C695" s="17"/>
      <c r="D695" s="102"/>
      <c r="E695" s="48"/>
      <c r="F695" s="48"/>
      <c r="G695" s="49"/>
      <c r="H695" s="49"/>
      <c r="I695" s="49"/>
      <c r="J695" s="49"/>
      <c r="K695" s="49"/>
      <c r="L695" s="24"/>
      <c r="M695" s="103"/>
    </row>
    <row r="696" spans="1:13" ht="22.5" customHeight="1">
      <c r="A696" s="50"/>
      <c r="B696" s="102"/>
      <c r="C696" s="17"/>
      <c r="D696" s="102"/>
      <c r="E696" s="48"/>
      <c r="F696" s="48"/>
      <c r="G696" s="49"/>
      <c r="H696" s="49"/>
      <c r="I696" s="49"/>
      <c r="J696" s="49"/>
      <c r="K696" s="49"/>
      <c r="L696" s="24"/>
      <c r="M696" s="103"/>
    </row>
    <row r="697" spans="1:13" ht="22.5" customHeight="1">
      <c r="A697" s="50"/>
      <c r="B697" s="102"/>
      <c r="C697" s="17"/>
      <c r="D697" s="102"/>
      <c r="E697" s="48"/>
      <c r="F697" s="48"/>
      <c r="G697" s="49"/>
      <c r="H697" s="49"/>
      <c r="I697" s="49"/>
      <c r="J697" s="49"/>
      <c r="K697" s="49"/>
      <c r="L697" s="24"/>
      <c r="M697" s="103"/>
    </row>
    <row r="698" spans="1:13" ht="22.5" customHeight="1">
      <c r="A698" s="50"/>
      <c r="B698" s="102"/>
      <c r="C698" s="17"/>
      <c r="D698" s="102"/>
      <c r="E698" s="48"/>
      <c r="F698" s="48"/>
      <c r="G698" s="49"/>
      <c r="H698" s="49"/>
      <c r="I698" s="49"/>
      <c r="J698" s="49"/>
      <c r="K698" s="49"/>
      <c r="L698" s="24"/>
      <c r="M698" s="103"/>
    </row>
    <row r="699" spans="1:13" ht="22.5" customHeight="1">
      <c r="A699" s="50"/>
      <c r="B699" s="102"/>
      <c r="C699" s="17"/>
      <c r="D699" s="102"/>
      <c r="E699" s="48"/>
      <c r="F699" s="48"/>
      <c r="G699" s="49"/>
      <c r="H699" s="49"/>
      <c r="I699" s="49"/>
      <c r="J699" s="49"/>
      <c r="K699" s="49"/>
      <c r="L699" s="24"/>
      <c r="M699" s="103"/>
    </row>
    <row r="700" spans="1:13" ht="22.5" customHeight="1">
      <c r="A700" s="50"/>
      <c r="B700" s="102"/>
      <c r="C700" s="17"/>
      <c r="D700" s="102"/>
      <c r="E700" s="48"/>
      <c r="F700" s="48"/>
      <c r="G700" s="49"/>
      <c r="H700" s="49"/>
      <c r="I700" s="49"/>
      <c r="J700" s="49"/>
      <c r="K700" s="49"/>
      <c r="L700" s="24"/>
      <c r="M700" s="103"/>
    </row>
    <row r="701" spans="1:13" ht="22.5" customHeight="1">
      <c r="A701" s="50"/>
      <c r="B701" s="102"/>
      <c r="C701" s="17"/>
      <c r="D701" s="102"/>
      <c r="E701" s="48"/>
      <c r="F701" s="48"/>
      <c r="G701" s="49"/>
      <c r="H701" s="49"/>
      <c r="I701" s="49"/>
      <c r="J701" s="49"/>
      <c r="K701" s="49"/>
      <c r="L701" s="24"/>
      <c r="M701" s="103"/>
    </row>
    <row r="702" spans="1:13" ht="22.5" customHeight="1">
      <c r="A702" s="50"/>
      <c r="B702" s="102"/>
      <c r="C702" s="17"/>
      <c r="D702" s="102"/>
      <c r="E702" s="48"/>
      <c r="F702" s="48"/>
      <c r="G702" s="49"/>
      <c r="H702" s="49"/>
      <c r="I702" s="49"/>
      <c r="J702" s="49"/>
      <c r="K702" s="49"/>
      <c r="L702" s="24"/>
      <c r="M702" s="103"/>
    </row>
    <row r="703" spans="1:13" ht="22.5" customHeight="1">
      <c r="A703" s="50"/>
      <c r="B703" s="102"/>
      <c r="C703" s="17"/>
      <c r="D703" s="102"/>
      <c r="E703" s="48"/>
      <c r="F703" s="48"/>
      <c r="G703" s="49"/>
      <c r="H703" s="49"/>
      <c r="I703" s="49"/>
      <c r="J703" s="49"/>
      <c r="K703" s="49"/>
      <c r="L703" s="24"/>
      <c r="M703" s="103"/>
    </row>
    <row r="704" spans="1:13" ht="22.5" customHeight="1">
      <c r="A704" s="50"/>
      <c r="B704" s="102"/>
      <c r="C704" s="17"/>
      <c r="D704" s="102"/>
      <c r="E704" s="48"/>
      <c r="F704" s="48"/>
      <c r="G704" s="49"/>
      <c r="H704" s="49"/>
      <c r="I704" s="49"/>
      <c r="J704" s="49"/>
      <c r="K704" s="49"/>
      <c r="L704" s="24"/>
      <c r="M704" s="103"/>
    </row>
    <row r="705" spans="1:13" ht="22.5" customHeight="1">
      <c r="A705" s="50"/>
      <c r="B705" s="102"/>
      <c r="C705" s="17"/>
      <c r="D705" s="102"/>
      <c r="E705" s="48"/>
      <c r="F705" s="48"/>
      <c r="G705" s="49"/>
      <c r="H705" s="49"/>
      <c r="I705" s="49"/>
      <c r="J705" s="49"/>
      <c r="K705" s="49"/>
      <c r="L705" s="24"/>
      <c r="M705" s="103"/>
    </row>
    <row r="706" spans="1:13" ht="22.5" customHeight="1">
      <c r="A706" s="50"/>
      <c r="B706" s="102"/>
      <c r="C706" s="17"/>
      <c r="D706" s="102"/>
      <c r="E706" s="48"/>
      <c r="F706" s="48"/>
      <c r="G706" s="49"/>
      <c r="H706" s="49"/>
      <c r="I706" s="49"/>
      <c r="J706" s="49"/>
      <c r="K706" s="49"/>
      <c r="L706" s="24"/>
      <c r="M706" s="103"/>
    </row>
    <row r="707" spans="1:13" ht="22.5" customHeight="1">
      <c r="A707" s="50"/>
      <c r="B707" s="102"/>
      <c r="C707" s="17"/>
      <c r="D707" s="102"/>
      <c r="E707" s="48"/>
      <c r="F707" s="48"/>
      <c r="G707" s="49"/>
      <c r="H707" s="49"/>
      <c r="I707" s="49"/>
      <c r="J707" s="49"/>
      <c r="K707" s="49"/>
      <c r="L707" s="24"/>
      <c r="M707" s="103"/>
    </row>
    <row r="708" spans="1:13" ht="22.5" customHeight="1">
      <c r="A708" s="50"/>
      <c r="B708" s="102"/>
      <c r="C708" s="17"/>
      <c r="D708" s="102"/>
      <c r="E708" s="48"/>
      <c r="F708" s="48"/>
      <c r="G708" s="49"/>
      <c r="H708" s="49"/>
      <c r="I708" s="49"/>
      <c r="J708" s="49"/>
      <c r="K708" s="49"/>
      <c r="L708" s="24"/>
      <c r="M708" s="103"/>
    </row>
    <row r="709" spans="1:13" ht="22.5" customHeight="1">
      <c r="A709" s="50"/>
      <c r="B709" s="102"/>
      <c r="C709" s="17"/>
      <c r="D709" s="102"/>
      <c r="E709" s="48"/>
      <c r="F709" s="48"/>
      <c r="G709" s="49"/>
      <c r="H709" s="49"/>
      <c r="I709" s="49"/>
      <c r="J709" s="49"/>
      <c r="K709" s="49"/>
      <c r="L709" s="24"/>
      <c r="M709" s="103"/>
    </row>
    <row r="710" spans="1:13" ht="22.5" customHeight="1">
      <c r="A710" s="50"/>
      <c r="B710" s="102"/>
      <c r="C710" s="17"/>
      <c r="D710" s="102"/>
      <c r="E710" s="48"/>
      <c r="F710" s="48"/>
      <c r="G710" s="49"/>
      <c r="H710" s="49"/>
      <c r="I710" s="49"/>
      <c r="J710" s="49"/>
      <c r="K710" s="49"/>
      <c r="L710" s="24"/>
      <c r="M710" s="103"/>
    </row>
    <row r="711" spans="1:13" ht="22.5" customHeight="1">
      <c r="A711" s="50"/>
      <c r="B711" s="102"/>
      <c r="C711" s="17"/>
      <c r="D711" s="102"/>
      <c r="E711" s="48"/>
      <c r="F711" s="48"/>
      <c r="G711" s="49"/>
      <c r="H711" s="49"/>
      <c r="I711" s="49"/>
      <c r="J711" s="49"/>
      <c r="K711" s="49"/>
      <c r="L711" s="24"/>
      <c r="M711" s="103"/>
    </row>
    <row r="712" spans="1:13" ht="22.5" customHeight="1">
      <c r="A712" s="50"/>
      <c r="B712" s="102"/>
      <c r="C712" s="17"/>
      <c r="D712" s="102"/>
      <c r="E712" s="48"/>
      <c r="F712" s="48"/>
      <c r="G712" s="49"/>
      <c r="H712" s="49"/>
      <c r="I712" s="49"/>
      <c r="J712" s="49"/>
      <c r="K712" s="49"/>
      <c r="L712" s="24"/>
      <c r="M712" s="103"/>
    </row>
    <row r="713" spans="1:13" ht="22.5" customHeight="1">
      <c r="A713" s="50"/>
      <c r="B713" s="102"/>
      <c r="C713" s="17"/>
      <c r="D713" s="102"/>
      <c r="E713" s="48"/>
      <c r="F713" s="48"/>
      <c r="G713" s="49"/>
      <c r="H713" s="49"/>
      <c r="I713" s="49"/>
      <c r="J713" s="49"/>
      <c r="K713" s="49"/>
      <c r="L713" s="24"/>
      <c r="M713" s="103"/>
    </row>
    <row r="714" spans="1:13" ht="22.5" customHeight="1">
      <c r="A714" s="50"/>
      <c r="B714" s="102"/>
      <c r="C714" s="17"/>
      <c r="D714" s="102"/>
      <c r="E714" s="48"/>
      <c r="F714" s="48"/>
      <c r="G714" s="49"/>
      <c r="H714" s="49"/>
      <c r="I714" s="49"/>
      <c r="J714" s="49"/>
      <c r="K714" s="49"/>
      <c r="L714" s="24"/>
      <c r="M714" s="103"/>
    </row>
    <row r="715" spans="1:13" ht="22.5" customHeight="1">
      <c r="A715" s="50"/>
      <c r="B715" s="102"/>
      <c r="C715" s="17"/>
      <c r="D715" s="102"/>
      <c r="E715" s="48"/>
      <c r="F715" s="48"/>
      <c r="G715" s="49"/>
      <c r="H715" s="49"/>
      <c r="I715" s="49"/>
      <c r="J715" s="49"/>
      <c r="K715" s="49"/>
      <c r="L715" s="24"/>
      <c r="M715" s="103"/>
    </row>
    <row r="716" spans="1:13" ht="22.5" customHeight="1">
      <c r="A716" s="50"/>
      <c r="B716" s="102"/>
      <c r="C716" s="17"/>
      <c r="D716" s="102"/>
      <c r="E716" s="48"/>
      <c r="F716" s="48"/>
      <c r="G716" s="49"/>
      <c r="H716" s="49"/>
      <c r="I716" s="49"/>
      <c r="J716" s="49"/>
      <c r="K716" s="49"/>
      <c r="L716" s="24"/>
      <c r="M716" s="103"/>
    </row>
    <row r="717" spans="1:13" ht="22.5" customHeight="1">
      <c r="A717" s="50"/>
      <c r="B717" s="102"/>
      <c r="C717" s="17"/>
      <c r="D717" s="102"/>
      <c r="E717" s="48"/>
      <c r="F717" s="48"/>
      <c r="G717" s="49"/>
      <c r="H717" s="49"/>
      <c r="I717" s="49"/>
      <c r="J717" s="49"/>
      <c r="K717" s="49"/>
      <c r="L717" s="24"/>
      <c r="M717" s="103"/>
    </row>
    <row r="718" spans="1:13" ht="22.5" customHeight="1">
      <c r="A718" s="50"/>
      <c r="B718" s="102"/>
      <c r="C718" s="17"/>
      <c r="D718" s="102"/>
      <c r="E718" s="48"/>
      <c r="F718" s="48"/>
      <c r="G718" s="49"/>
      <c r="H718" s="49"/>
      <c r="I718" s="49"/>
      <c r="J718" s="49"/>
      <c r="K718" s="49"/>
      <c r="L718" s="24"/>
      <c r="M718" s="103"/>
    </row>
    <row r="719" spans="1:13" ht="22.5" customHeight="1">
      <c r="A719" s="50"/>
      <c r="B719" s="102"/>
      <c r="C719" s="17"/>
      <c r="D719" s="102"/>
      <c r="E719" s="48"/>
      <c r="F719" s="48"/>
      <c r="G719" s="49"/>
      <c r="H719" s="49"/>
      <c r="I719" s="49"/>
      <c r="J719" s="49"/>
      <c r="K719" s="49"/>
      <c r="L719" s="24"/>
      <c r="M719" s="103"/>
    </row>
    <row r="720" spans="1:13" ht="22.5" customHeight="1">
      <c r="A720" s="50"/>
      <c r="B720" s="102"/>
      <c r="C720" s="17"/>
      <c r="D720" s="102"/>
      <c r="E720" s="48"/>
      <c r="F720" s="48"/>
      <c r="G720" s="49"/>
      <c r="H720" s="49"/>
      <c r="I720" s="49"/>
      <c r="J720" s="49"/>
      <c r="K720" s="49"/>
      <c r="L720" s="24"/>
      <c r="M720" s="103"/>
    </row>
    <row r="721" spans="1:13" ht="22.5" customHeight="1">
      <c r="A721" s="50"/>
      <c r="B721" s="102"/>
      <c r="C721" s="17"/>
      <c r="D721" s="102"/>
      <c r="E721" s="48"/>
      <c r="F721" s="48"/>
      <c r="G721" s="49"/>
      <c r="H721" s="49"/>
      <c r="I721" s="49"/>
      <c r="J721" s="49"/>
      <c r="K721" s="49"/>
      <c r="L721" s="24"/>
      <c r="M721" s="103"/>
    </row>
    <row r="722" spans="1:13" ht="22.5" customHeight="1">
      <c r="A722" s="50"/>
      <c r="B722" s="102"/>
      <c r="C722" s="17"/>
      <c r="D722" s="102"/>
      <c r="E722" s="48"/>
      <c r="F722" s="48"/>
      <c r="G722" s="49"/>
      <c r="H722" s="49"/>
      <c r="I722" s="49"/>
      <c r="J722" s="49"/>
      <c r="K722" s="49"/>
      <c r="L722" s="24"/>
      <c r="M722" s="103"/>
    </row>
    <row r="723" spans="1:13" ht="22.5" customHeight="1">
      <c r="A723" s="50"/>
      <c r="B723" s="102"/>
      <c r="C723" s="17"/>
      <c r="D723" s="102"/>
      <c r="E723" s="48"/>
      <c r="F723" s="48"/>
      <c r="G723" s="49"/>
      <c r="H723" s="49"/>
      <c r="I723" s="49"/>
      <c r="J723" s="49"/>
      <c r="K723" s="49"/>
      <c r="L723" s="24"/>
      <c r="M723" s="103"/>
    </row>
    <row r="724" spans="1:13" ht="22.5" customHeight="1">
      <c r="A724" s="50"/>
      <c r="B724" s="102"/>
      <c r="C724" s="17"/>
      <c r="D724" s="102"/>
      <c r="E724" s="48"/>
      <c r="F724" s="48"/>
      <c r="G724" s="49"/>
      <c r="H724" s="49"/>
      <c r="I724" s="49"/>
      <c r="J724" s="49"/>
      <c r="K724" s="49"/>
      <c r="L724" s="24"/>
      <c r="M724" s="103"/>
    </row>
    <row r="725" spans="1:13" ht="22.5" customHeight="1">
      <c r="A725" s="50"/>
      <c r="B725" s="102"/>
      <c r="C725" s="17"/>
      <c r="D725" s="102"/>
      <c r="E725" s="48"/>
      <c r="F725" s="48"/>
      <c r="G725" s="49"/>
      <c r="H725" s="49"/>
      <c r="I725" s="49"/>
      <c r="J725" s="49"/>
      <c r="K725" s="49"/>
      <c r="L725" s="24"/>
      <c r="M725" s="103"/>
    </row>
    <row r="726" spans="1:13" ht="22.5" customHeight="1">
      <c r="A726" s="50"/>
      <c r="B726" s="102"/>
      <c r="C726" s="17"/>
      <c r="D726" s="102"/>
      <c r="E726" s="48"/>
      <c r="F726" s="48"/>
      <c r="G726" s="49"/>
      <c r="H726" s="49"/>
      <c r="I726" s="49"/>
      <c r="J726" s="49"/>
      <c r="K726" s="49"/>
      <c r="L726" s="24"/>
      <c r="M726" s="103"/>
    </row>
    <row r="727" spans="1:13" ht="22.5" customHeight="1">
      <c r="A727" s="50"/>
      <c r="B727" s="102"/>
      <c r="C727" s="17"/>
      <c r="D727" s="102"/>
      <c r="E727" s="48"/>
      <c r="F727" s="48"/>
      <c r="G727" s="49"/>
      <c r="H727" s="49"/>
      <c r="I727" s="49"/>
      <c r="J727" s="49"/>
      <c r="K727" s="49"/>
      <c r="L727" s="24"/>
      <c r="M727" s="103"/>
    </row>
    <row r="728" spans="1:13" ht="22.5" customHeight="1">
      <c r="A728" s="50"/>
      <c r="B728" s="102"/>
      <c r="C728" s="17"/>
      <c r="D728" s="102"/>
      <c r="E728" s="48"/>
      <c r="F728" s="48"/>
      <c r="G728" s="49"/>
      <c r="H728" s="49"/>
      <c r="I728" s="49"/>
      <c r="J728" s="49"/>
      <c r="K728" s="49"/>
      <c r="L728" s="24"/>
      <c r="M728" s="103"/>
    </row>
    <row r="729" spans="1:13" ht="22.5" customHeight="1">
      <c r="A729" s="50"/>
      <c r="B729" s="102"/>
      <c r="C729" s="17"/>
      <c r="D729" s="102"/>
      <c r="E729" s="48"/>
      <c r="F729" s="48"/>
      <c r="G729" s="49"/>
      <c r="H729" s="49"/>
      <c r="I729" s="49"/>
      <c r="J729" s="49"/>
      <c r="K729" s="49"/>
      <c r="L729" s="24"/>
      <c r="M729" s="103"/>
    </row>
    <row r="730" spans="1:13" ht="22.5" customHeight="1">
      <c r="A730" s="50"/>
      <c r="B730" s="102"/>
      <c r="C730" s="17"/>
      <c r="D730" s="102"/>
      <c r="E730" s="48"/>
      <c r="F730" s="48"/>
      <c r="G730" s="49"/>
      <c r="H730" s="49"/>
      <c r="I730" s="49"/>
      <c r="J730" s="49"/>
      <c r="K730" s="49"/>
      <c r="L730" s="24"/>
      <c r="M730" s="103"/>
    </row>
    <row r="731" spans="1:13" ht="22.5" customHeight="1">
      <c r="A731" s="50"/>
      <c r="B731" s="102"/>
      <c r="C731" s="17"/>
      <c r="D731" s="102"/>
      <c r="E731" s="48"/>
      <c r="F731" s="48"/>
      <c r="G731" s="49"/>
      <c r="H731" s="49"/>
      <c r="I731" s="49"/>
      <c r="J731" s="49"/>
      <c r="K731" s="49"/>
      <c r="L731" s="24"/>
      <c r="M731" s="103"/>
    </row>
    <row r="732" spans="1:13" ht="22.5" customHeight="1">
      <c r="A732" s="50"/>
      <c r="B732" s="102"/>
      <c r="C732" s="17"/>
      <c r="D732" s="102"/>
      <c r="E732" s="48"/>
      <c r="F732" s="48"/>
      <c r="G732" s="49"/>
      <c r="H732" s="49"/>
      <c r="I732" s="49"/>
      <c r="J732" s="49"/>
      <c r="K732" s="49"/>
      <c r="L732" s="24"/>
      <c r="M732" s="103"/>
    </row>
    <row r="733" spans="1:13" ht="22.5" customHeight="1">
      <c r="A733" s="50"/>
      <c r="B733" s="102"/>
      <c r="C733" s="17"/>
      <c r="D733" s="102"/>
      <c r="E733" s="48"/>
      <c r="F733" s="48"/>
      <c r="G733" s="49"/>
      <c r="H733" s="49"/>
      <c r="I733" s="49"/>
      <c r="J733" s="49"/>
      <c r="K733" s="49"/>
      <c r="L733" s="24"/>
      <c r="M733" s="103"/>
    </row>
    <row r="734" spans="1:13" ht="22.5" customHeight="1">
      <c r="A734" s="50"/>
      <c r="B734" s="102"/>
      <c r="C734" s="17"/>
      <c r="D734" s="102"/>
      <c r="E734" s="48"/>
      <c r="F734" s="48"/>
      <c r="G734" s="49"/>
      <c r="H734" s="49"/>
      <c r="I734" s="49"/>
      <c r="J734" s="49"/>
      <c r="K734" s="49"/>
      <c r="L734" s="24"/>
      <c r="M734" s="103"/>
    </row>
    <row r="735" spans="1:13" ht="22.5" customHeight="1">
      <c r="A735" s="50"/>
      <c r="B735" s="102"/>
      <c r="C735" s="17"/>
      <c r="D735" s="102"/>
      <c r="E735" s="48"/>
      <c r="F735" s="48"/>
      <c r="G735" s="49"/>
      <c r="H735" s="49"/>
      <c r="I735" s="49"/>
      <c r="J735" s="49"/>
      <c r="K735" s="49"/>
      <c r="L735" s="24"/>
      <c r="M735" s="103"/>
    </row>
    <row r="736" spans="1:13" ht="22.5" customHeight="1">
      <c r="A736" s="50"/>
      <c r="B736" s="102"/>
      <c r="C736" s="17"/>
      <c r="D736" s="102"/>
      <c r="E736" s="48"/>
      <c r="F736" s="48"/>
      <c r="G736" s="49"/>
      <c r="H736" s="49"/>
      <c r="I736" s="49"/>
      <c r="J736" s="49"/>
      <c r="K736" s="49"/>
      <c r="L736" s="24"/>
      <c r="M736" s="103"/>
    </row>
    <row r="737" spans="1:13" ht="22.5" customHeight="1">
      <c r="A737" s="50"/>
      <c r="B737" s="102"/>
      <c r="C737" s="17"/>
      <c r="D737" s="102"/>
      <c r="E737" s="48"/>
      <c r="F737" s="48"/>
      <c r="G737" s="49"/>
      <c r="H737" s="49"/>
      <c r="I737" s="49"/>
      <c r="J737" s="49"/>
      <c r="K737" s="49"/>
      <c r="L737" s="24"/>
      <c r="M737" s="103"/>
    </row>
    <row r="738" spans="1:13" ht="22.5" customHeight="1">
      <c r="A738" s="50"/>
      <c r="B738" s="102"/>
      <c r="C738" s="17"/>
      <c r="D738" s="102"/>
      <c r="E738" s="48"/>
      <c r="F738" s="48"/>
      <c r="G738" s="49"/>
      <c r="H738" s="49"/>
      <c r="I738" s="49"/>
      <c r="J738" s="49"/>
      <c r="K738" s="49"/>
      <c r="L738" s="24"/>
      <c r="M738" s="103"/>
    </row>
    <row r="739" spans="1:13" ht="22.5" customHeight="1">
      <c r="A739" s="50"/>
      <c r="B739" s="102"/>
      <c r="C739" s="17"/>
      <c r="D739" s="102"/>
      <c r="E739" s="48"/>
      <c r="F739" s="48"/>
      <c r="G739" s="49"/>
      <c r="H739" s="49"/>
      <c r="I739" s="49"/>
      <c r="J739" s="49"/>
      <c r="K739" s="49"/>
      <c r="L739" s="24"/>
      <c r="M739" s="103"/>
    </row>
    <row r="740" spans="1:13" ht="22.5" customHeight="1">
      <c r="A740" s="50"/>
      <c r="B740" s="102"/>
      <c r="C740" s="17"/>
      <c r="D740" s="102"/>
      <c r="E740" s="48"/>
      <c r="F740" s="48"/>
      <c r="G740" s="49"/>
      <c r="H740" s="49"/>
      <c r="I740" s="49"/>
      <c r="J740" s="49"/>
      <c r="K740" s="49"/>
      <c r="L740" s="24"/>
      <c r="M740" s="103"/>
    </row>
    <row r="741" spans="1:13" ht="22.5" customHeight="1">
      <c r="A741" s="50"/>
      <c r="B741" s="102"/>
      <c r="C741" s="17"/>
      <c r="D741" s="102"/>
      <c r="E741" s="48"/>
      <c r="F741" s="48"/>
      <c r="G741" s="49"/>
      <c r="H741" s="49"/>
      <c r="I741" s="49"/>
      <c r="J741" s="49"/>
      <c r="K741" s="49"/>
      <c r="L741" s="24"/>
      <c r="M741" s="103"/>
    </row>
    <row r="742" spans="1:13" ht="22.5" customHeight="1">
      <c r="A742" s="50"/>
      <c r="B742" s="102"/>
      <c r="C742" s="17"/>
      <c r="D742" s="102"/>
      <c r="E742" s="48"/>
      <c r="F742" s="48"/>
      <c r="G742" s="49"/>
      <c r="H742" s="49"/>
      <c r="I742" s="49"/>
      <c r="J742" s="49"/>
      <c r="K742" s="49"/>
      <c r="L742" s="24"/>
      <c r="M742" s="103"/>
    </row>
    <row r="743" spans="1:13" ht="22.5" customHeight="1">
      <c r="A743" s="50"/>
      <c r="B743" s="102"/>
      <c r="C743" s="17"/>
      <c r="D743" s="102"/>
      <c r="E743" s="48"/>
      <c r="F743" s="48"/>
      <c r="G743" s="49"/>
      <c r="H743" s="49"/>
      <c r="I743" s="49"/>
      <c r="J743" s="49"/>
      <c r="K743" s="49"/>
      <c r="L743" s="24"/>
      <c r="M743" s="103"/>
    </row>
    <row r="744" spans="1:13" ht="22.5" customHeight="1">
      <c r="A744" s="50"/>
      <c r="B744" s="102"/>
      <c r="C744" s="17"/>
      <c r="D744" s="102"/>
      <c r="E744" s="48"/>
      <c r="F744" s="48"/>
      <c r="G744" s="49"/>
      <c r="H744" s="49"/>
      <c r="I744" s="49"/>
      <c r="J744" s="49"/>
      <c r="K744" s="49"/>
      <c r="L744" s="24"/>
      <c r="M744" s="103"/>
    </row>
    <row r="745" spans="1:13" ht="22.5" customHeight="1">
      <c r="A745" s="50"/>
      <c r="B745" s="102"/>
      <c r="C745" s="17"/>
      <c r="D745" s="102"/>
      <c r="E745" s="48"/>
      <c r="F745" s="48"/>
      <c r="G745" s="49"/>
      <c r="H745" s="49"/>
      <c r="I745" s="49"/>
      <c r="J745" s="49"/>
      <c r="K745" s="49"/>
      <c r="L745" s="24"/>
      <c r="M745" s="103"/>
    </row>
    <row r="746" spans="1:13" ht="22.5" customHeight="1">
      <c r="A746" s="50"/>
      <c r="B746" s="102"/>
      <c r="C746" s="17"/>
      <c r="D746" s="102"/>
      <c r="E746" s="48"/>
      <c r="F746" s="48"/>
      <c r="G746" s="49"/>
      <c r="H746" s="49"/>
      <c r="I746" s="49"/>
      <c r="J746" s="49"/>
      <c r="K746" s="49"/>
      <c r="L746" s="24"/>
      <c r="M746" s="103"/>
    </row>
    <row r="747" spans="1:13" ht="22.5" customHeight="1">
      <c r="A747" s="50"/>
      <c r="B747" s="102"/>
      <c r="C747" s="17"/>
      <c r="D747" s="102"/>
      <c r="E747" s="48"/>
      <c r="F747" s="48"/>
      <c r="G747" s="49"/>
      <c r="H747" s="49"/>
      <c r="I747" s="49"/>
      <c r="J747" s="49"/>
      <c r="K747" s="49"/>
      <c r="L747" s="24"/>
      <c r="M747" s="103"/>
    </row>
    <row r="748" spans="1:13" ht="22.5" customHeight="1">
      <c r="A748" s="50"/>
      <c r="B748" s="102"/>
      <c r="C748" s="17"/>
      <c r="D748" s="102"/>
      <c r="E748" s="48"/>
      <c r="F748" s="48"/>
      <c r="G748" s="49"/>
      <c r="H748" s="49"/>
      <c r="I748" s="49"/>
      <c r="J748" s="49"/>
      <c r="K748" s="49"/>
      <c r="L748" s="24"/>
      <c r="M748" s="103"/>
    </row>
    <row r="749" spans="1:13" ht="22.5" customHeight="1">
      <c r="A749" s="50"/>
      <c r="B749" s="102"/>
      <c r="C749" s="17"/>
      <c r="D749" s="102"/>
      <c r="E749" s="48"/>
      <c r="F749" s="48"/>
      <c r="G749" s="49"/>
      <c r="H749" s="49"/>
      <c r="I749" s="49"/>
      <c r="J749" s="49"/>
      <c r="K749" s="49"/>
      <c r="L749" s="24"/>
      <c r="M749" s="103"/>
    </row>
    <row r="750" spans="1:13" ht="22.5" customHeight="1">
      <c r="A750" s="50"/>
      <c r="B750" s="102"/>
      <c r="C750" s="17"/>
      <c r="D750" s="102"/>
      <c r="E750" s="48"/>
      <c r="F750" s="48"/>
      <c r="G750" s="49"/>
      <c r="H750" s="49"/>
      <c r="I750" s="49"/>
      <c r="J750" s="49"/>
      <c r="K750" s="49"/>
      <c r="L750" s="24"/>
      <c r="M750" s="103"/>
    </row>
    <row r="751" spans="1:13" ht="22.5" customHeight="1">
      <c r="A751" s="50"/>
      <c r="B751" s="102"/>
      <c r="C751" s="17"/>
      <c r="D751" s="102"/>
      <c r="E751" s="48"/>
      <c r="F751" s="48"/>
      <c r="G751" s="49"/>
      <c r="H751" s="49"/>
      <c r="I751" s="49"/>
      <c r="J751" s="49"/>
      <c r="K751" s="49"/>
      <c r="L751" s="24"/>
      <c r="M751" s="103"/>
    </row>
    <row r="752" spans="1:13" ht="22.5" customHeight="1">
      <c r="A752" s="50"/>
      <c r="B752" s="102"/>
      <c r="C752" s="17"/>
      <c r="D752" s="102"/>
      <c r="E752" s="48"/>
      <c r="F752" s="48"/>
      <c r="G752" s="49"/>
      <c r="H752" s="49"/>
      <c r="I752" s="49"/>
      <c r="J752" s="49"/>
      <c r="K752" s="49"/>
      <c r="L752" s="24"/>
      <c r="M752" s="103"/>
    </row>
    <row r="753" spans="1:13" ht="22.5" customHeight="1">
      <c r="A753" s="50"/>
      <c r="B753" s="102"/>
      <c r="C753" s="17"/>
      <c r="D753" s="102"/>
      <c r="E753" s="48"/>
      <c r="F753" s="48"/>
      <c r="G753" s="49"/>
      <c r="H753" s="49"/>
      <c r="I753" s="49"/>
      <c r="J753" s="49"/>
      <c r="K753" s="49"/>
      <c r="L753" s="24"/>
      <c r="M753" s="103"/>
    </row>
    <row r="754" spans="1:13" ht="22.5" customHeight="1">
      <c r="A754" s="50"/>
      <c r="B754" s="102"/>
      <c r="C754" s="17"/>
      <c r="D754" s="102"/>
      <c r="E754" s="48"/>
      <c r="F754" s="48"/>
      <c r="G754" s="49"/>
      <c r="H754" s="49"/>
      <c r="I754" s="49"/>
      <c r="J754" s="49"/>
      <c r="K754" s="49"/>
      <c r="L754" s="24"/>
      <c r="M754" s="103"/>
    </row>
    <row r="755" spans="1:13" ht="22.5" customHeight="1">
      <c r="A755" s="50"/>
      <c r="B755" s="102"/>
      <c r="C755" s="17"/>
      <c r="D755" s="102"/>
      <c r="E755" s="48"/>
      <c r="F755" s="48"/>
      <c r="G755" s="49"/>
      <c r="H755" s="49"/>
      <c r="I755" s="49"/>
      <c r="J755" s="49"/>
      <c r="K755" s="49"/>
      <c r="L755" s="24"/>
      <c r="M755" s="103"/>
    </row>
    <row r="756" spans="1:13" ht="22.5" customHeight="1">
      <c r="A756" s="50"/>
      <c r="B756" s="102"/>
      <c r="C756" s="17"/>
      <c r="D756" s="102"/>
      <c r="E756" s="48"/>
      <c r="F756" s="48"/>
      <c r="G756" s="49"/>
      <c r="H756" s="49"/>
      <c r="I756" s="49"/>
      <c r="J756" s="49"/>
      <c r="K756" s="49"/>
      <c r="L756" s="24"/>
      <c r="M756" s="103"/>
    </row>
    <row r="757" spans="1:13" ht="22.5" customHeight="1">
      <c r="A757" s="50"/>
      <c r="B757" s="102"/>
      <c r="C757" s="17"/>
      <c r="D757" s="102"/>
      <c r="E757" s="48"/>
      <c r="F757" s="48"/>
      <c r="G757" s="49"/>
      <c r="H757" s="49"/>
      <c r="I757" s="49"/>
      <c r="J757" s="49"/>
      <c r="K757" s="49"/>
      <c r="L757" s="24"/>
      <c r="M757" s="103"/>
    </row>
    <row r="758" spans="1:13" ht="22.5" customHeight="1">
      <c r="A758" s="50"/>
      <c r="B758" s="102"/>
      <c r="C758" s="17"/>
      <c r="D758" s="102"/>
      <c r="E758" s="48"/>
      <c r="F758" s="48"/>
      <c r="G758" s="49"/>
      <c r="H758" s="49"/>
      <c r="I758" s="49"/>
      <c r="J758" s="49"/>
      <c r="K758" s="49"/>
      <c r="L758" s="24"/>
      <c r="M758" s="103"/>
    </row>
    <row r="759" spans="1:13" ht="22.5" customHeight="1">
      <c r="A759" s="50"/>
      <c r="B759" s="102"/>
      <c r="C759" s="17"/>
      <c r="D759" s="102"/>
      <c r="E759" s="48"/>
      <c r="F759" s="48"/>
      <c r="G759" s="49"/>
      <c r="H759" s="49"/>
      <c r="I759" s="49"/>
      <c r="J759" s="49"/>
      <c r="K759" s="49"/>
      <c r="L759" s="24"/>
      <c r="M759" s="103"/>
    </row>
    <row r="760" spans="1:13" ht="22.5" customHeight="1">
      <c r="A760" s="50"/>
      <c r="B760" s="102"/>
      <c r="C760" s="17"/>
      <c r="D760" s="102"/>
      <c r="E760" s="48"/>
      <c r="F760" s="48"/>
      <c r="G760" s="49"/>
      <c r="H760" s="49"/>
      <c r="I760" s="49"/>
      <c r="J760" s="49"/>
      <c r="K760" s="49"/>
      <c r="L760" s="24"/>
      <c r="M760" s="103"/>
    </row>
    <row r="761" spans="1:13" ht="22.5" customHeight="1">
      <c r="A761" s="50"/>
      <c r="B761" s="102"/>
      <c r="C761" s="17"/>
      <c r="D761" s="102"/>
      <c r="E761" s="48"/>
      <c r="F761" s="48"/>
      <c r="G761" s="49"/>
      <c r="H761" s="49"/>
      <c r="I761" s="49"/>
      <c r="J761" s="49"/>
      <c r="K761" s="49"/>
      <c r="L761" s="24"/>
      <c r="M761" s="103"/>
    </row>
    <row r="762" spans="1:13" ht="22.5" customHeight="1">
      <c r="A762" s="50"/>
      <c r="B762" s="102"/>
      <c r="C762" s="17"/>
      <c r="D762" s="102"/>
      <c r="E762" s="48"/>
      <c r="F762" s="48"/>
      <c r="G762" s="49"/>
      <c r="H762" s="49"/>
      <c r="I762" s="49"/>
      <c r="J762" s="49"/>
      <c r="K762" s="49"/>
      <c r="L762" s="24"/>
      <c r="M762" s="103"/>
    </row>
    <row r="763" spans="1:13" ht="22.5" customHeight="1">
      <c r="A763" s="50"/>
      <c r="B763" s="102"/>
      <c r="C763" s="17"/>
      <c r="D763" s="102"/>
      <c r="E763" s="48"/>
      <c r="F763" s="48"/>
      <c r="G763" s="49"/>
      <c r="H763" s="49"/>
      <c r="I763" s="49"/>
      <c r="J763" s="49"/>
      <c r="K763" s="49"/>
      <c r="L763" s="24"/>
      <c r="M763" s="103"/>
    </row>
    <row r="764" spans="1:13" ht="22.5" customHeight="1">
      <c r="A764" s="50"/>
      <c r="B764" s="102"/>
      <c r="C764" s="17"/>
      <c r="D764" s="102"/>
      <c r="E764" s="48"/>
      <c r="F764" s="48"/>
      <c r="G764" s="49"/>
      <c r="H764" s="49"/>
      <c r="I764" s="49"/>
      <c r="J764" s="49"/>
      <c r="K764" s="49"/>
      <c r="L764" s="24"/>
      <c r="M764" s="103"/>
    </row>
    <row r="765" spans="1:13" ht="22.5" customHeight="1">
      <c r="A765" s="50"/>
      <c r="B765" s="102"/>
      <c r="C765" s="17"/>
      <c r="D765" s="102"/>
      <c r="E765" s="48"/>
      <c r="F765" s="48"/>
      <c r="G765" s="49"/>
      <c r="H765" s="49"/>
      <c r="I765" s="49"/>
      <c r="J765" s="49"/>
      <c r="K765" s="49"/>
      <c r="L765" s="24"/>
      <c r="M765" s="103"/>
    </row>
    <row r="766" spans="1:13" ht="22.5" customHeight="1">
      <c r="A766" s="50"/>
      <c r="B766" s="102"/>
      <c r="C766" s="17"/>
      <c r="D766" s="102"/>
      <c r="E766" s="48"/>
      <c r="F766" s="48"/>
      <c r="G766" s="49"/>
      <c r="H766" s="49"/>
      <c r="I766" s="49"/>
      <c r="J766" s="49"/>
      <c r="K766" s="49"/>
      <c r="L766" s="24"/>
      <c r="M766" s="103"/>
    </row>
    <row r="767" spans="1:13" ht="22.5" customHeight="1">
      <c r="A767" s="50"/>
      <c r="B767" s="102"/>
      <c r="C767" s="17"/>
      <c r="D767" s="102"/>
      <c r="E767" s="48"/>
      <c r="F767" s="48"/>
      <c r="G767" s="49"/>
      <c r="H767" s="49"/>
      <c r="I767" s="49"/>
      <c r="J767" s="49"/>
      <c r="K767" s="49"/>
      <c r="L767" s="24"/>
      <c r="M767" s="103"/>
    </row>
    <row r="768" spans="1:13" ht="22.5" customHeight="1">
      <c r="A768" s="50"/>
      <c r="B768" s="102"/>
      <c r="C768" s="17"/>
      <c r="D768" s="102"/>
      <c r="E768" s="48"/>
      <c r="F768" s="48"/>
      <c r="G768" s="49"/>
      <c r="H768" s="49"/>
      <c r="I768" s="49"/>
      <c r="J768" s="49"/>
      <c r="K768" s="49"/>
      <c r="L768" s="24"/>
      <c r="M768" s="103"/>
    </row>
    <row r="769" spans="1:13" ht="22.5" customHeight="1">
      <c r="A769" s="50"/>
      <c r="B769" s="102"/>
      <c r="C769" s="17"/>
      <c r="D769" s="102"/>
      <c r="E769" s="48"/>
      <c r="F769" s="48"/>
      <c r="G769" s="49"/>
      <c r="H769" s="49"/>
      <c r="I769" s="49"/>
      <c r="J769" s="49"/>
      <c r="K769" s="49"/>
      <c r="L769" s="24"/>
      <c r="M769" s="103"/>
    </row>
    <row r="770" spans="1:13" ht="22.5" customHeight="1">
      <c r="A770" s="50"/>
      <c r="B770" s="102"/>
      <c r="C770" s="17"/>
      <c r="D770" s="102"/>
      <c r="E770" s="48"/>
      <c r="F770" s="48"/>
      <c r="G770" s="49"/>
      <c r="H770" s="49"/>
      <c r="I770" s="49"/>
      <c r="J770" s="49"/>
      <c r="K770" s="49"/>
      <c r="L770" s="24"/>
      <c r="M770" s="103"/>
    </row>
    <row r="771" spans="1:13" ht="22.5" customHeight="1">
      <c r="A771" s="50"/>
      <c r="B771" s="102"/>
      <c r="C771" s="17"/>
      <c r="D771" s="102"/>
      <c r="E771" s="48"/>
      <c r="F771" s="48"/>
      <c r="G771" s="49"/>
      <c r="H771" s="49"/>
      <c r="I771" s="49"/>
      <c r="J771" s="49"/>
      <c r="K771" s="49"/>
      <c r="L771" s="24"/>
      <c r="M771" s="103"/>
    </row>
    <row r="772" spans="1:13" ht="22.5" customHeight="1">
      <c r="A772" s="50"/>
      <c r="B772" s="102"/>
      <c r="C772" s="17"/>
      <c r="D772" s="102"/>
      <c r="E772" s="48"/>
      <c r="F772" s="48"/>
      <c r="G772" s="49"/>
      <c r="H772" s="49"/>
      <c r="I772" s="49"/>
      <c r="J772" s="49"/>
      <c r="K772" s="49"/>
      <c r="L772" s="24"/>
      <c r="M772" s="103"/>
    </row>
    <row r="773" spans="1:13" ht="22.5" customHeight="1">
      <c r="A773" s="50"/>
      <c r="B773" s="102"/>
      <c r="C773" s="17"/>
      <c r="D773" s="102"/>
      <c r="E773" s="48"/>
      <c r="F773" s="48"/>
      <c r="G773" s="49"/>
      <c r="H773" s="49"/>
      <c r="I773" s="49"/>
      <c r="J773" s="49"/>
      <c r="K773" s="49"/>
      <c r="L773" s="24"/>
      <c r="M773" s="103"/>
    </row>
    <row r="774" spans="1:13" ht="22.5" customHeight="1">
      <c r="A774" s="50"/>
      <c r="B774" s="102"/>
      <c r="C774" s="17"/>
      <c r="D774" s="102"/>
      <c r="E774" s="48"/>
      <c r="F774" s="48"/>
      <c r="G774" s="49"/>
      <c r="H774" s="49"/>
      <c r="I774" s="49"/>
      <c r="J774" s="49"/>
      <c r="K774" s="49"/>
      <c r="L774" s="24"/>
      <c r="M774" s="103"/>
    </row>
    <row r="775" spans="1:13" ht="22.5" customHeight="1">
      <c r="A775" s="50"/>
      <c r="B775" s="102"/>
      <c r="C775" s="17"/>
      <c r="D775" s="102"/>
      <c r="E775" s="48"/>
      <c r="F775" s="48"/>
      <c r="G775" s="49"/>
      <c r="H775" s="49"/>
      <c r="I775" s="49"/>
      <c r="J775" s="49"/>
      <c r="K775" s="49"/>
      <c r="L775" s="24"/>
      <c r="M775" s="103"/>
    </row>
    <row r="776" spans="1:13" ht="22.5" customHeight="1">
      <c r="A776" s="50"/>
      <c r="B776" s="102"/>
      <c r="C776" s="17"/>
      <c r="D776" s="102"/>
      <c r="E776" s="48"/>
      <c r="F776" s="48"/>
      <c r="G776" s="49"/>
      <c r="H776" s="49"/>
      <c r="I776" s="49"/>
      <c r="J776" s="49"/>
      <c r="K776" s="49"/>
      <c r="L776" s="24"/>
      <c r="M776" s="103"/>
    </row>
    <row r="777" spans="1:13" ht="22.5" customHeight="1">
      <c r="A777" s="50"/>
      <c r="B777" s="102"/>
      <c r="C777" s="17"/>
      <c r="D777" s="102"/>
      <c r="E777" s="48"/>
      <c r="F777" s="48"/>
      <c r="G777" s="49"/>
      <c r="H777" s="49"/>
      <c r="I777" s="49"/>
      <c r="J777" s="49"/>
      <c r="K777" s="49"/>
      <c r="L777" s="24"/>
      <c r="M777" s="103"/>
    </row>
    <row r="778" spans="1:13" ht="22.5" customHeight="1">
      <c r="A778" s="50"/>
      <c r="B778" s="102"/>
      <c r="C778" s="17"/>
      <c r="D778" s="102"/>
      <c r="E778" s="48"/>
      <c r="F778" s="48"/>
      <c r="G778" s="49"/>
      <c r="H778" s="49"/>
      <c r="I778" s="49"/>
      <c r="J778" s="49"/>
      <c r="K778" s="49"/>
      <c r="L778" s="24"/>
      <c r="M778" s="103"/>
    </row>
    <row r="779" spans="1:13" ht="22.5" customHeight="1">
      <c r="A779" s="50"/>
      <c r="B779" s="102"/>
      <c r="C779" s="17"/>
      <c r="D779" s="102"/>
      <c r="E779" s="48"/>
      <c r="F779" s="48"/>
      <c r="G779" s="49"/>
      <c r="H779" s="49"/>
      <c r="I779" s="49"/>
      <c r="J779" s="49"/>
      <c r="K779" s="49"/>
      <c r="L779" s="24"/>
      <c r="M779" s="103"/>
    </row>
    <row r="780" spans="1:13" ht="22.5" customHeight="1">
      <c r="A780" s="50"/>
      <c r="B780" s="102"/>
      <c r="C780" s="17"/>
      <c r="D780" s="102"/>
      <c r="E780" s="48"/>
      <c r="F780" s="48"/>
      <c r="G780" s="49"/>
      <c r="H780" s="49"/>
      <c r="I780" s="49"/>
      <c r="J780" s="49"/>
      <c r="K780" s="49"/>
      <c r="L780" s="24"/>
      <c r="M780" s="103"/>
    </row>
    <row r="781" spans="1:13" ht="22.5" customHeight="1">
      <c r="A781" s="50"/>
      <c r="B781" s="102"/>
      <c r="C781" s="17"/>
      <c r="D781" s="102"/>
      <c r="E781" s="48"/>
      <c r="F781" s="48"/>
      <c r="G781" s="49"/>
      <c r="H781" s="49"/>
      <c r="I781" s="49"/>
      <c r="J781" s="49"/>
      <c r="K781" s="49"/>
      <c r="L781" s="24"/>
      <c r="M781" s="103"/>
    </row>
    <row r="782" spans="1:13" ht="22.5" customHeight="1">
      <c r="A782" s="50"/>
      <c r="B782" s="102"/>
      <c r="C782" s="17"/>
      <c r="D782" s="102"/>
      <c r="E782" s="48"/>
      <c r="F782" s="48"/>
      <c r="G782" s="49"/>
      <c r="H782" s="49"/>
      <c r="I782" s="49"/>
      <c r="J782" s="49"/>
      <c r="K782" s="49"/>
      <c r="L782" s="24"/>
      <c r="M782" s="103"/>
    </row>
    <row r="783" spans="1:13" ht="22.5" customHeight="1">
      <c r="A783" s="50"/>
      <c r="B783" s="102"/>
      <c r="C783" s="17"/>
      <c r="D783" s="102"/>
      <c r="E783" s="48"/>
      <c r="F783" s="48"/>
      <c r="G783" s="49"/>
      <c r="H783" s="49"/>
      <c r="I783" s="49"/>
      <c r="J783" s="49"/>
      <c r="K783" s="49"/>
      <c r="L783" s="24"/>
      <c r="M783" s="103"/>
    </row>
    <row r="784" spans="1:13" ht="22.5" customHeight="1">
      <c r="A784" s="50"/>
      <c r="B784" s="102"/>
      <c r="C784" s="17"/>
      <c r="D784" s="102"/>
      <c r="E784" s="48"/>
      <c r="F784" s="48"/>
      <c r="G784" s="49"/>
      <c r="H784" s="49"/>
      <c r="I784" s="49"/>
      <c r="J784" s="49"/>
      <c r="K784" s="49"/>
      <c r="L784" s="24"/>
      <c r="M784" s="103"/>
    </row>
    <row r="785" spans="1:13" ht="22.5" customHeight="1">
      <c r="A785" s="50"/>
      <c r="B785" s="102"/>
      <c r="C785" s="17"/>
      <c r="D785" s="102"/>
      <c r="E785" s="48"/>
      <c r="F785" s="48"/>
      <c r="G785" s="49"/>
      <c r="H785" s="49"/>
      <c r="I785" s="49"/>
      <c r="J785" s="49"/>
      <c r="K785" s="49"/>
      <c r="L785" s="24"/>
      <c r="M785" s="103"/>
    </row>
    <row r="786" spans="1:13" ht="22.5" customHeight="1">
      <c r="A786" s="50"/>
      <c r="B786" s="102"/>
      <c r="C786" s="17"/>
      <c r="D786" s="102"/>
      <c r="E786" s="48"/>
      <c r="F786" s="48"/>
      <c r="G786" s="49"/>
      <c r="H786" s="49"/>
      <c r="I786" s="49"/>
      <c r="J786" s="49"/>
      <c r="K786" s="49"/>
      <c r="L786" s="24"/>
      <c r="M786" s="103"/>
    </row>
    <row r="787" spans="1:13" ht="22.5" customHeight="1">
      <c r="A787" s="50"/>
      <c r="B787" s="102"/>
      <c r="C787" s="17"/>
      <c r="D787" s="102"/>
      <c r="E787" s="48"/>
      <c r="F787" s="48"/>
      <c r="G787" s="49"/>
      <c r="H787" s="49"/>
      <c r="I787" s="49"/>
      <c r="J787" s="49"/>
      <c r="K787" s="49"/>
      <c r="L787" s="24"/>
      <c r="M787" s="103"/>
    </row>
    <row r="788" spans="1:13" ht="22.5" customHeight="1">
      <c r="A788" s="50"/>
      <c r="B788" s="102"/>
      <c r="C788" s="17"/>
      <c r="D788" s="102"/>
      <c r="E788" s="48"/>
      <c r="F788" s="48"/>
      <c r="G788" s="49"/>
      <c r="H788" s="49"/>
      <c r="I788" s="49"/>
      <c r="J788" s="49"/>
      <c r="K788" s="49"/>
      <c r="L788" s="24"/>
      <c r="M788" s="103"/>
    </row>
    <row r="789" spans="1:13" ht="22.5" customHeight="1">
      <c r="A789" s="50"/>
      <c r="B789" s="102"/>
      <c r="C789" s="17"/>
      <c r="D789" s="102"/>
      <c r="E789" s="48"/>
      <c r="F789" s="48"/>
      <c r="G789" s="49"/>
      <c r="H789" s="49"/>
      <c r="I789" s="49"/>
      <c r="J789" s="49"/>
      <c r="K789" s="49"/>
      <c r="L789" s="24"/>
      <c r="M789" s="103"/>
    </row>
    <row r="790" spans="1:13" ht="22.5" customHeight="1">
      <c r="A790" s="50"/>
      <c r="B790" s="102"/>
      <c r="C790" s="17"/>
      <c r="D790" s="102"/>
      <c r="E790" s="48"/>
      <c r="F790" s="48"/>
      <c r="G790" s="49"/>
      <c r="H790" s="49"/>
      <c r="I790" s="49"/>
      <c r="J790" s="49"/>
      <c r="K790" s="49"/>
      <c r="L790" s="24"/>
      <c r="M790" s="103"/>
    </row>
    <row r="791" spans="1:13" ht="22.5" customHeight="1">
      <c r="A791" s="50"/>
      <c r="B791" s="102"/>
      <c r="C791" s="17"/>
      <c r="D791" s="102"/>
      <c r="E791" s="48"/>
      <c r="F791" s="48"/>
      <c r="G791" s="49"/>
      <c r="H791" s="49"/>
      <c r="I791" s="49"/>
      <c r="J791" s="49"/>
      <c r="K791" s="49"/>
      <c r="L791" s="24"/>
      <c r="M791" s="103"/>
    </row>
    <row r="792" spans="1:13" ht="22.5" customHeight="1">
      <c r="A792" s="50"/>
      <c r="B792" s="102"/>
      <c r="C792" s="17"/>
      <c r="D792" s="102"/>
      <c r="E792" s="48"/>
      <c r="F792" s="48"/>
      <c r="G792" s="49"/>
      <c r="H792" s="49"/>
      <c r="I792" s="49"/>
      <c r="J792" s="49"/>
      <c r="K792" s="49"/>
      <c r="L792" s="24"/>
      <c r="M792" s="103"/>
    </row>
    <row r="793" spans="1:13" ht="22.5" customHeight="1">
      <c r="A793" s="50"/>
      <c r="B793" s="102"/>
      <c r="C793" s="17"/>
      <c r="D793" s="102"/>
      <c r="E793" s="48"/>
      <c r="F793" s="48"/>
      <c r="G793" s="49"/>
      <c r="H793" s="49"/>
      <c r="I793" s="49"/>
      <c r="J793" s="49"/>
      <c r="K793" s="49"/>
      <c r="L793" s="24"/>
      <c r="M793" s="103"/>
    </row>
    <row r="794" spans="1:13" ht="22.5" customHeight="1">
      <c r="A794" s="50"/>
      <c r="B794" s="102"/>
      <c r="C794" s="17"/>
      <c r="D794" s="102"/>
      <c r="E794" s="48"/>
      <c r="F794" s="48"/>
      <c r="G794" s="49"/>
      <c r="H794" s="49"/>
      <c r="I794" s="49"/>
      <c r="J794" s="49"/>
      <c r="K794" s="49"/>
      <c r="L794" s="24"/>
      <c r="M794" s="103"/>
    </row>
    <row r="795" spans="1:13" ht="22.5" customHeight="1">
      <c r="A795" s="50"/>
      <c r="B795" s="102"/>
      <c r="C795" s="17"/>
      <c r="D795" s="102"/>
      <c r="E795" s="48"/>
      <c r="F795" s="48"/>
      <c r="G795" s="49"/>
      <c r="H795" s="49"/>
      <c r="I795" s="49"/>
      <c r="J795" s="49"/>
      <c r="K795" s="49"/>
      <c r="L795" s="24"/>
      <c r="M795" s="103"/>
    </row>
    <row r="796" spans="1:13" ht="22.5" customHeight="1">
      <c r="A796" s="50"/>
      <c r="B796" s="102"/>
      <c r="C796" s="17"/>
      <c r="D796" s="102"/>
      <c r="E796" s="48"/>
      <c r="F796" s="48"/>
      <c r="G796" s="49"/>
      <c r="H796" s="49"/>
      <c r="I796" s="49"/>
      <c r="J796" s="49"/>
      <c r="K796" s="49"/>
      <c r="L796" s="24"/>
      <c r="M796" s="103"/>
    </row>
    <row r="797" spans="1:13" ht="22.5" customHeight="1">
      <c r="A797" s="50"/>
      <c r="B797" s="102"/>
      <c r="C797" s="17"/>
      <c r="D797" s="102"/>
      <c r="E797" s="48"/>
      <c r="F797" s="48"/>
      <c r="G797" s="49"/>
      <c r="H797" s="49"/>
      <c r="I797" s="49"/>
      <c r="J797" s="49"/>
      <c r="K797" s="49"/>
      <c r="L797" s="24"/>
      <c r="M797" s="103"/>
    </row>
    <row r="798" spans="1:13" ht="22.5" customHeight="1">
      <c r="A798" s="50"/>
      <c r="B798" s="102"/>
      <c r="C798" s="17"/>
      <c r="D798" s="102"/>
      <c r="E798" s="48"/>
      <c r="F798" s="48"/>
      <c r="G798" s="49"/>
      <c r="H798" s="49"/>
      <c r="I798" s="49"/>
      <c r="J798" s="49"/>
      <c r="K798" s="49"/>
      <c r="L798" s="24"/>
      <c r="M798" s="103"/>
    </row>
    <row r="799" spans="1:13" ht="22.5" customHeight="1">
      <c r="A799" s="50"/>
      <c r="B799" s="102"/>
      <c r="C799" s="17"/>
      <c r="D799" s="102"/>
      <c r="E799" s="48"/>
      <c r="F799" s="48"/>
      <c r="G799" s="49"/>
      <c r="H799" s="49"/>
      <c r="I799" s="49"/>
      <c r="J799" s="49"/>
      <c r="K799" s="49"/>
      <c r="L799" s="24"/>
      <c r="M799" s="103"/>
    </row>
    <row r="800" spans="1:13" ht="22.5" customHeight="1">
      <c r="A800" s="50"/>
      <c r="B800" s="102"/>
      <c r="C800" s="17"/>
      <c r="D800" s="102"/>
      <c r="E800" s="48"/>
      <c r="F800" s="48"/>
      <c r="G800" s="49"/>
      <c r="H800" s="49"/>
      <c r="I800" s="49"/>
      <c r="J800" s="49"/>
      <c r="K800" s="49"/>
      <c r="L800" s="24"/>
      <c r="M800" s="103"/>
    </row>
    <row r="801" spans="1:13" ht="22.5" customHeight="1">
      <c r="A801" s="50"/>
      <c r="B801" s="102"/>
      <c r="C801" s="17"/>
      <c r="D801" s="102"/>
      <c r="E801" s="48"/>
      <c r="F801" s="48"/>
      <c r="G801" s="49"/>
      <c r="H801" s="49"/>
      <c r="I801" s="49"/>
      <c r="J801" s="49"/>
      <c r="K801" s="49"/>
      <c r="L801" s="24"/>
      <c r="M801" s="103"/>
    </row>
    <row r="802" spans="1:13" ht="22.5" customHeight="1">
      <c r="A802" s="50"/>
      <c r="B802" s="102"/>
      <c r="C802" s="17"/>
      <c r="D802" s="102"/>
      <c r="E802" s="48"/>
      <c r="F802" s="48"/>
      <c r="G802" s="49"/>
      <c r="H802" s="49"/>
      <c r="I802" s="49"/>
      <c r="J802" s="49"/>
      <c r="K802" s="49"/>
      <c r="L802" s="24"/>
      <c r="M802" s="103"/>
    </row>
    <row r="803" spans="1:13" ht="22.5" customHeight="1">
      <c r="A803" s="50"/>
      <c r="B803" s="102"/>
      <c r="C803" s="17"/>
      <c r="D803" s="102"/>
      <c r="E803" s="48"/>
      <c r="F803" s="48"/>
      <c r="G803" s="49"/>
      <c r="H803" s="49"/>
      <c r="I803" s="49"/>
      <c r="J803" s="49"/>
      <c r="K803" s="49"/>
      <c r="L803" s="24"/>
      <c r="M803" s="103"/>
    </row>
    <row r="804" spans="1:13" ht="22.5" customHeight="1">
      <c r="A804" s="50"/>
      <c r="B804" s="102"/>
      <c r="C804" s="17"/>
      <c r="D804" s="102"/>
      <c r="E804" s="48"/>
      <c r="F804" s="48"/>
      <c r="G804" s="49"/>
      <c r="H804" s="49"/>
      <c r="I804" s="49"/>
      <c r="J804" s="49"/>
      <c r="K804" s="49"/>
      <c r="L804" s="24"/>
      <c r="M804" s="103"/>
    </row>
    <row r="805" spans="1:13" ht="22.5" customHeight="1">
      <c r="A805" s="50"/>
      <c r="B805" s="102"/>
      <c r="C805" s="17"/>
      <c r="D805" s="102"/>
      <c r="E805" s="48"/>
      <c r="F805" s="48"/>
      <c r="G805" s="49"/>
      <c r="H805" s="49"/>
      <c r="I805" s="49"/>
      <c r="J805" s="49"/>
      <c r="K805" s="49"/>
      <c r="L805" s="24"/>
      <c r="M805" s="103"/>
    </row>
    <row r="806" spans="1:13" ht="22.5" customHeight="1">
      <c r="A806" s="50"/>
      <c r="B806" s="102"/>
      <c r="C806" s="17"/>
      <c r="D806" s="102"/>
      <c r="E806" s="48"/>
      <c r="F806" s="48"/>
      <c r="G806" s="49"/>
      <c r="H806" s="49"/>
      <c r="I806" s="49"/>
      <c r="J806" s="49"/>
      <c r="K806" s="49"/>
      <c r="L806" s="24"/>
      <c r="M806" s="103"/>
    </row>
    <row r="807" spans="1:13" ht="22.5" customHeight="1">
      <c r="A807" s="50"/>
      <c r="B807" s="102"/>
      <c r="C807" s="17"/>
      <c r="D807" s="102"/>
      <c r="E807" s="48"/>
      <c r="F807" s="48"/>
      <c r="G807" s="49"/>
      <c r="H807" s="49"/>
      <c r="I807" s="49"/>
      <c r="J807" s="49"/>
      <c r="K807" s="49"/>
      <c r="L807" s="24"/>
      <c r="M807" s="103"/>
    </row>
    <row r="808" spans="1:13" ht="22.5" customHeight="1">
      <c r="A808" s="50"/>
      <c r="B808" s="102"/>
      <c r="C808" s="17"/>
      <c r="D808" s="102"/>
      <c r="E808" s="48"/>
      <c r="F808" s="48"/>
      <c r="G808" s="49"/>
      <c r="H808" s="49"/>
      <c r="I808" s="49"/>
      <c r="J808" s="49"/>
      <c r="K808" s="49"/>
      <c r="L808" s="24"/>
      <c r="M808" s="103"/>
    </row>
    <row r="809" spans="1:13" ht="22.5" customHeight="1">
      <c r="A809" s="50"/>
      <c r="B809" s="102"/>
      <c r="C809" s="17"/>
      <c r="D809" s="102"/>
      <c r="E809" s="48"/>
      <c r="F809" s="48"/>
      <c r="G809" s="49"/>
      <c r="H809" s="49"/>
      <c r="I809" s="49"/>
      <c r="J809" s="49"/>
      <c r="K809" s="49"/>
      <c r="L809" s="24"/>
      <c r="M809" s="103"/>
    </row>
    <row r="810" spans="1:13" ht="22.5" customHeight="1">
      <c r="A810" s="50"/>
      <c r="B810" s="102"/>
      <c r="C810" s="17"/>
      <c r="D810" s="102"/>
      <c r="E810" s="48"/>
      <c r="F810" s="48"/>
      <c r="G810" s="49"/>
      <c r="H810" s="49"/>
      <c r="I810" s="49"/>
      <c r="J810" s="49"/>
      <c r="K810" s="49"/>
      <c r="L810" s="24"/>
      <c r="M810" s="103"/>
    </row>
    <row r="811" spans="1:13" ht="22.5" customHeight="1">
      <c r="A811" s="50"/>
      <c r="B811" s="102"/>
      <c r="C811" s="17"/>
      <c r="D811" s="102"/>
      <c r="E811" s="48"/>
      <c r="F811" s="48"/>
      <c r="G811" s="49"/>
      <c r="H811" s="49"/>
      <c r="I811" s="49"/>
      <c r="J811" s="49"/>
      <c r="K811" s="49"/>
      <c r="L811" s="24"/>
      <c r="M811" s="103"/>
    </row>
    <row r="812" spans="1:13" ht="22.5" customHeight="1">
      <c r="A812" s="50"/>
      <c r="B812" s="102"/>
      <c r="C812" s="17"/>
      <c r="D812" s="102"/>
      <c r="E812" s="48"/>
      <c r="F812" s="48"/>
      <c r="G812" s="49"/>
      <c r="H812" s="49"/>
      <c r="I812" s="49"/>
      <c r="J812" s="49"/>
      <c r="K812" s="49"/>
      <c r="L812" s="24"/>
      <c r="M812" s="103"/>
    </row>
    <row r="813" spans="1:13" ht="22.5" customHeight="1">
      <c r="A813" s="50"/>
      <c r="B813" s="102"/>
      <c r="C813" s="17"/>
      <c r="D813" s="102"/>
      <c r="E813" s="48"/>
      <c r="F813" s="48"/>
      <c r="G813" s="49"/>
      <c r="H813" s="49"/>
      <c r="I813" s="49"/>
      <c r="J813" s="49"/>
      <c r="K813" s="49"/>
      <c r="L813" s="24"/>
      <c r="M813" s="103"/>
    </row>
    <row r="814" spans="1:13" ht="22.5" customHeight="1">
      <c r="A814" s="50"/>
      <c r="B814" s="102"/>
      <c r="C814" s="17"/>
      <c r="D814" s="102"/>
      <c r="E814" s="48"/>
      <c r="F814" s="48"/>
      <c r="G814" s="49"/>
      <c r="H814" s="49"/>
      <c r="I814" s="49"/>
      <c r="J814" s="49"/>
      <c r="K814" s="49"/>
      <c r="L814" s="24"/>
      <c r="M814" s="103"/>
    </row>
    <row r="815" spans="1:13" ht="22.5" customHeight="1">
      <c r="A815" s="50"/>
      <c r="B815" s="102"/>
      <c r="C815" s="17"/>
      <c r="D815" s="102"/>
      <c r="E815" s="48"/>
      <c r="F815" s="48"/>
      <c r="G815" s="49"/>
      <c r="H815" s="49"/>
      <c r="I815" s="49"/>
      <c r="J815" s="49"/>
      <c r="K815" s="49"/>
      <c r="L815" s="24"/>
      <c r="M815" s="103"/>
    </row>
    <row r="816" spans="1:13" ht="22.5" customHeight="1">
      <c r="A816" s="50"/>
      <c r="B816" s="102"/>
      <c r="C816" s="17"/>
      <c r="D816" s="102"/>
      <c r="E816" s="48"/>
      <c r="F816" s="48"/>
      <c r="G816" s="49"/>
      <c r="H816" s="49"/>
      <c r="I816" s="49"/>
      <c r="J816" s="49"/>
      <c r="K816" s="49"/>
      <c r="L816" s="24"/>
      <c r="M816" s="103"/>
    </row>
    <row r="817" spans="1:13" ht="22.5" customHeight="1">
      <c r="A817" s="50"/>
      <c r="B817" s="102"/>
      <c r="C817" s="17"/>
      <c r="D817" s="102"/>
      <c r="E817" s="48"/>
      <c r="F817" s="48"/>
      <c r="G817" s="49"/>
      <c r="H817" s="49"/>
      <c r="I817" s="49"/>
      <c r="J817" s="49"/>
      <c r="K817" s="49"/>
      <c r="L817" s="24"/>
      <c r="M817" s="103"/>
    </row>
    <row r="818" spans="1:13" ht="22.5" customHeight="1">
      <c r="A818" s="50"/>
      <c r="B818" s="102"/>
      <c r="C818" s="17"/>
      <c r="D818" s="102"/>
      <c r="E818" s="48"/>
      <c r="F818" s="48"/>
      <c r="G818" s="49"/>
      <c r="H818" s="49"/>
      <c r="I818" s="49"/>
      <c r="J818" s="49"/>
      <c r="K818" s="49"/>
      <c r="L818" s="24"/>
      <c r="M818" s="103"/>
    </row>
    <row r="819" spans="1:13" ht="22.5" customHeight="1">
      <c r="A819" s="50"/>
      <c r="B819" s="102"/>
      <c r="C819" s="17"/>
      <c r="D819" s="102"/>
      <c r="E819" s="48"/>
      <c r="F819" s="48"/>
      <c r="G819" s="49"/>
      <c r="H819" s="49"/>
      <c r="I819" s="49"/>
      <c r="J819" s="49"/>
      <c r="K819" s="49"/>
      <c r="L819" s="24"/>
      <c r="M819" s="103"/>
    </row>
    <row r="820" spans="1:13" ht="22.5" customHeight="1">
      <c r="A820" s="50"/>
      <c r="B820" s="102"/>
      <c r="C820" s="17"/>
      <c r="D820" s="102"/>
      <c r="E820" s="48"/>
      <c r="F820" s="48"/>
      <c r="G820" s="49"/>
      <c r="H820" s="49"/>
      <c r="I820" s="49"/>
      <c r="J820" s="49"/>
      <c r="K820" s="49"/>
      <c r="L820" s="24"/>
      <c r="M820" s="103"/>
    </row>
    <row r="821" spans="1:13" ht="22.5" customHeight="1">
      <c r="A821" s="50"/>
      <c r="B821" s="102"/>
      <c r="C821" s="17"/>
      <c r="D821" s="102"/>
      <c r="E821" s="48"/>
      <c r="F821" s="48"/>
      <c r="G821" s="49"/>
      <c r="H821" s="49"/>
      <c r="I821" s="49"/>
      <c r="J821" s="49"/>
      <c r="K821" s="49"/>
      <c r="L821" s="24"/>
      <c r="M821" s="103"/>
    </row>
    <row r="822" spans="1:13" ht="22.5" customHeight="1">
      <c r="A822" s="50"/>
      <c r="B822" s="102"/>
      <c r="C822" s="17"/>
      <c r="D822" s="102"/>
      <c r="E822" s="48"/>
      <c r="F822" s="48"/>
      <c r="G822" s="49"/>
      <c r="H822" s="49"/>
      <c r="I822" s="49"/>
      <c r="J822" s="49"/>
      <c r="K822" s="49"/>
      <c r="L822" s="24"/>
      <c r="M822" s="103"/>
    </row>
    <row r="823" spans="1:13" ht="22.5" customHeight="1">
      <c r="A823" s="50"/>
      <c r="B823" s="102"/>
      <c r="C823" s="17"/>
      <c r="D823" s="102"/>
      <c r="E823" s="48"/>
      <c r="F823" s="48"/>
      <c r="G823" s="49"/>
      <c r="H823" s="49"/>
      <c r="I823" s="49"/>
      <c r="J823" s="49"/>
      <c r="K823" s="49"/>
      <c r="L823" s="24"/>
      <c r="M823" s="103"/>
    </row>
    <row r="824" spans="1:13" ht="22.5" customHeight="1">
      <c r="A824" s="50"/>
      <c r="B824" s="102"/>
      <c r="C824" s="17"/>
      <c r="D824" s="102"/>
      <c r="E824" s="48"/>
      <c r="F824" s="48"/>
      <c r="G824" s="49"/>
      <c r="H824" s="49"/>
      <c r="I824" s="49"/>
      <c r="J824" s="49"/>
      <c r="K824" s="49"/>
      <c r="L824" s="24"/>
      <c r="M824" s="103"/>
    </row>
    <row r="825" spans="1:13" ht="22.5" customHeight="1">
      <c r="A825" s="50"/>
      <c r="B825" s="102"/>
      <c r="C825" s="17"/>
      <c r="D825" s="102"/>
      <c r="E825" s="48"/>
      <c r="F825" s="48"/>
      <c r="G825" s="49"/>
      <c r="H825" s="49"/>
      <c r="I825" s="49"/>
      <c r="J825" s="49"/>
      <c r="K825" s="49"/>
      <c r="L825" s="24"/>
      <c r="M825" s="103"/>
    </row>
    <row r="826" spans="1:13" ht="22.5" customHeight="1">
      <c r="A826" s="50"/>
      <c r="B826" s="102"/>
      <c r="C826" s="17"/>
      <c r="D826" s="102"/>
      <c r="E826" s="48"/>
      <c r="F826" s="48"/>
      <c r="G826" s="49"/>
      <c r="H826" s="49"/>
      <c r="I826" s="49"/>
      <c r="J826" s="49"/>
      <c r="K826" s="49"/>
      <c r="L826" s="24"/>
      <c r="M826" s="103"/>
    </row>
    <row r="827" spans="1:13" ht="22.5" customHeight="1">
      <c r="A827" s="50"/>
      <c r="B827" s="102"/>
      <c r="C827" s="17"/>
      <c r="D827" s="102"/>
      <c r="E827" s="48"/>
      <c r="F827" s="48"/>
      <c r="G827" s="49"/>
      <c r="H827" s="49"/>
      <c r="I827" s="49"/>
      <c r="J827" s="49"/>
      <c r="K827" s="49"/>
      <c r="L827" s="24"/>
      <c r="M827" s="103"/>
    </row>
    <row r="828" spans="1:13" ht="22.5" customHeight="1">
      <c r="A828" s="50"/>
      <c r="B828" s="102"/>
      <c r="C828" s="17"/>
      <c r="D828" s="102"/>
      <c r="E828" s="48"/>
      <c r="F828" s="48"/>
      <c r="G828" s="49"/>
      <c r="H828" s="49"/>
      <c r="I828" s="49"/>
      <c r="J828" s="49"/>
      <c r="K828" s="49"/>
      <c r="L828" s="24"/>
      <c r="M828" s="103"/>
    </row>
    <row r="829" spans="1:13" ht="22.5" customHeight="1">
      <c r="A829" s="50"/>
      <c r="B829" s="102"/>
      <c r="C829" s="17"/>
      <c r="D829" s="102"/>
      <c r="E829" s="48"/>
      <c r="F829" s="48"/>
      <c r="G829" s="49"/>
      <c r="H829" s="49"/>
      <c r="I829" s="49"/>
      <c r="J829" s="49"/>
      <c r="K829" s="49"/>
      <c r="L829" s="24"/>
      <c r="M829" s="103"/>
    </row>
    <row r="830" spans="1:13" ht="22.5" customHeight="1">
      <c r="A830" s="50"/>
      <c r="B830" s="102"/>
      <c r="C830" s="17"/>
      <c r="D830" s="102"/>
      <c r="E830" s="48"/>
      <c r="F830" s="48"/>
      <c r="G830" s="49"/>
      <c r="H830" s="49"/>
      <c r="I830" s="49"/>
      <c r="J830" s="49"/>
      <c r="K830" s="49"/>
      <c r="L830" s="24"/>
      <c r="M830" s="103"/>
    </row>
    <row r="831" spans="1:13" ht="22.5" customHeight="1">
      <c r="A831" s="50"/>
      <c r="B831" s="102"/>
      <c r="C831" s="17"/>
      <c r="D831" s="102"/>
      <c r="E831" s="48"/>
      <c r="F831" s="48"/>
      <c r="G831" s="49"/>
      <c r="H831" s="49"/>
      <c r="I831" s="49"/>
      <c r="J831" s="49"/>
      <c r="K831" s="49"/>
      <c r="L831" s="24"/>
      <c r="M831" s="103"/>
    </row>
    <row r="832" spans="1:13" ht="22.5" customHeight="1">
      <c r="A832" s="50"/>
      <c r="B832" s="102"/>
      <c r="C832" s="17"/>
      <c r="D832" s="102"/>
      <c r="E832" s="48"/>
      <c r="F832" s="48"/>
      <c r="G832" s="49"/>
      <c r="H832" s="49"/>
      <c r="I832" s="49"/>
      <c r="J832" s="49"/>
      <c r="K832" s="49"/>
      <c r="L832" s="24"/>
      <c r="M832" s="103"/>
    </row>
    <row r="833" spans="1:13" ht="22.5" customHeight="1">
      <c r="A833" s="50"/>
      <c r="B833" s="102"/>
      <c r="C833" s="17"/>
      <c r="D833" s="102"/>
      <c r="E833" s="48"/>
      <c r="F833" s="48"/>
      <c r="G833" s="49"/>
      <c r="H833" s="49"/>
      <c r="I833" s="49"/>
      <c r="J833" s="49"/>
      <c r="K833" s="49"/>
      <c r="L833" s="24"/>
      <c r="M833" s="103"/>
    </row>
    <row r="834" spans="1:13" ht="22.5" customHeight="1">
      <c r="A834" s="50"/>
      <c r="B834" s="102"/>
      <c r="C834" s="17"/>
      <c r="D834" s="102"/>
      <c r="E834" s="48"/>
      <c r="F834" s="48"/>
      <c r="G834" s="49"/>
      <c r="H834" s="49"/>
      <c r="I834" s="49"/>
      <c r="J834" s="49"/>
      <c r="K834" s="49"/>
      <c r="L834" s="24"/>
      <c r="M834" s="103"/>
    </row>
    <row r="835" spans="1:13" ht="22.5" customHeight="1">
      <c r="A835" s="50"/>
      <c r="B835" s="102"/>
      <c r="C835" s="17"/>
      <c r="D835" s="102"/>
      <c r="E835" s="48"/>
      <c r="F835" s="48"/>
      <c r="G835" s="49"/>
      <c r="H835" s="49"/>
      <c r="I835" s="49"/>
      <c r="J835" s="49"/>
      <c r="K835" s="49"/>
      <c r="L835" s="24"/>
      <c r="M835" s="103"/>
    </row>
    <row r="836" spans="1:13" ht="22.5" customHeight="1">
      <c r="A836" s="50"/>
      <c r="B836" s="102"/>
      <c r="C836" s="17"/>
      <c r="D836" s="102"/>
      <c r="E836" s="48"/>
      <c r="F836" s="48"/>
      <c r="G836" s="49"/>
      <c r="H836" s="49"/>
      <c r="I836" s="49"/>
      <c r="J836" s="49"/>
      <c r="K836" s="49"/>
      <c r="L836" s="24"/>
      <c r="M836" s="103"/>
    </row>
    <row r="837" spans="1:13" ht="22.5" customHeight="1">
      <c r="A837" s="50"/>
      <c r="B837" s="102"/>
      <c r="C837" s="17"/>
      <c r="D837" s="102"/>
      <c r="E837" s="48"/>
      <c r="F837" s="48"/>
      <c r="G837" s="49"/>
      <c r="H837" s="49"/>
      <c r="I837" s="49"/>
      <c r="J837" s="49"/>
      <c r="K837" s="49"/>
      <c r="L837" s="24"/>
      <c r="M837" s="103"/>
    </row>
    <row r="838" spans="1:13" ht="22.5" customHeight="1">
      <c r="A838" s="50"/>
      <c r="B838" s="102"/>
      <c r="C838" s="17"/>
      <c r="D838" s="102"/>
      <c r="E838" s="48"/>
      <c r="F838" s="48"/>
      <c r="G838" s="49"/>
      <c r="H838" s="49"/>
      <c r="I838" s="49"/>
      <c r="J838" s="49"/>
      <c r="K838" s="49"/>
      <c r="L838" s="24"/>
      <c r="M838" s="103"/>
    </row>
    <row r="839" spans="1:13" ht="22.5" customHeight="1">
      <c r="A839" s="50"/>
      <c r="B839" s="102"/>
      <c r="C839" s="17"/>
      <c r="D839" s="102"/>
      <c r="E839" s="48"/>
      <c r="F839" s="48"/>
      <c r="G839" s="49"/>
      <c r="H839" s="49"/>
      <c r="I839" s="49"/>
      <c r="J839" s="49"/>
      <c r="K839" s="49"/>
      <c r="L839" s="24"/>
      <c r="M839" s="103"/>
    </row>
    <row r="840" spans="1:13" ht="22.5" customHeight="1">
      <c r="A840" s="50"/>
      <c r="B840" s="102"/>
      <c r="C840" s="17"/>
      <c r="D840" s="102"/>
      <c r="E840" s="48"/>
      <c r="F840" s="48"/>
      <c r="G840" s="49"/>
      <c r="H840" s="49"/>
      <c r="I840" s="49"/>
      <c r="J840" s="49"/>
      <c r="K840" s="49"/>
      <c r="L840" s="24"/>
      <c r="M840" s="103"/>
    </row>
    <row r="841" spans="1:13" ht="22.5" customHeight="1">
      <c r="A841" s="50"/>
      <c r="B841" s="102"/>
      <c r="C841" s="17"/>
      <c r="D841" s="102"/>
      <c r="E841" s="48"/>
      <c r="F841" s="48"/>
      <c r="G841" s="49"/>
      <c r="H841" s="49"/>
      <c r="I841" s="49"/>
      <c r="J841" s="49"/>
      <c r="K841" s="49"/>
      <c r="L841" s="24"/>
      <c r="M841" s="103"/>
    </row>
    <row r="842" spans="1:13" ht="22.5" customHeight="1">
      <c r="A842" s="50"/>
      <c r="B842" s="102"/>
      <c r="C842" s="17"/>
      <c r="D842" s="102"/>
      <c r="E842" s="48"/>
      <c r="F842" s="48"/>
      <c r="G842" s="49"/>
      <c r="H842" s="49"/>
      <c r="I842" s="49"/>
      <c r="J842" s="49"/>
      <c r="K842" s="49"/>
      <c r="L842" s="24"/>
      <c r="M842" s="103"/>
    </row>
    <row r="843" spans="1:13" ht="22.5" customHeight="1">
      <c r="A843" s="50"/>
      <c r="B843" s="102"/>
      <c r="C843" s="17"/>
      <c r="D843" s="102"/>
      <c r="E843" s="48"/>
      <c r="F843" s="48"/>
      <c r="G843" s="49"/>
      <c r="H843" s="49"/>
      <c r="I843" s="49"/>
      <c r="J843" s="49"/>
      <c r="K843" s="49"/>
      <c r="L843" s="24"/>
      <c r="M843" s="103"/>
    </row>
    <row r="844" spans="1:13" ht="22.5" customHeight="1">
      <c r="A844" s="50"/>
      <c r="B844" s="102"/>
      <c r="C844" s="17"/>
      <c r="D844" s="102"/>
      <c r="E844" s="48"/>
      <c r="F844" s="48"/>
      <c r="G844" s="49"/>
      <c r="H844" s="49"/>
      <c r="I844" s="49"/>
      <c r="J844" s="49"/>
      <c r="K844" s="49"/>
      <c r="L844" s="24"/>
      <c r="M844" s="103"/>
    </row>
    <row r="845" spans="1:13" ht="22.5" customHeight="1">
      <c r="A845" s="50"/>
      <c r="B845" s="102"/>
      <c r="C845" s="17"/>
      <c r="D845" s="102"/>
      <c r="E845" s="48"/>
      <c r="F845" s="48"/>
      <c r="G845" s="49"/>
      <c r="H845" s="49"/>
      <c r="I845" s="49"/>
      <c r="J845" s="49"/>
      <c r="K845" s="49"/>
      <c r="L845" s="24"/>
      <c r="M845" s="103"/>
    </row>
    <row r="846" spans="1:13" ht="22.5" customHeight="1">
      <c r="A846" s="50"/>
      <c r="B846" s="102"/>
      <c r="C846" s="17"/>
      <c r="D846" s="102"/>
      <c r="E846" s="48"/>
      <c r="F846" s="48"/>
      <c r="G846" s="49"/>
      <c r="H846" s="49"/>
      <c r="I846" s="49"/>
      <c r="J846" s="49"/>
      <c r="K846" s="49"/>
      <c r="L846" s="24"/>
      <c r="M846" s="103"/>
    </row>
    <row r="847" spans="1:13" ht="22.5" customHeight="1">
      <c r="A847" s="50"/>
      <c r="B847" s="102"/>
      <c r="C847" s="17"/>
      <c r="D847" s="102"/>
      <c r="E847" s="48"/>
      <c r="F847" s="48"/>
      <c r="G847" s="49"/>
      <c r="H847" s="49"/>
      <c r="I847" s="49"/>
      <c r="J847" s="49"/>
      <c r="K847" s="49"/>
      <c r="L847" s="24"/>
      <c r="M847" s="103"/>
    </row>
    <row r="848" spans="1:13" ht="22.5" customHeight="1">
      <c r="A848" s="50"/>
      <c r="B848" s="102"/>
      <c r="C848" s="17"/>
      <c r="D848" s="102"/>
      <c r="E848" s="48"/>
      <c r="F848" s="48"/>
      <c r="G848" s="49"/>
      <c r="H848" s="49"/>
      <c r="I848" s="49"/>
      <c r="J848" s="49"/>
      <c r="K848" s="49"/>
      <c r="L848" s="24"/>
      <c r="M848" s="103"/>
    </row>
    <row r="849" spans="1:13" ht="22.5" customHeight="1">
      <c r="A849" s="50"/>
      <c r="B849" s="102"/>
      <c r="C849" s="17"/>
      <c r="D849" s="102"/>
      <c r="E849" s="48"/>
      <c r="F849" s="48"/>
      <c r="G849" s="49"/>
      <c r="H849" s="49"/>
      <c r="I849" s="49"/>
      <c r="J849" s="49"/>
      <c r="K849" s="49"/>
      <c r="L849" s="24"/>
      <c r="M849" s="103"/>
    </row>
    <row r="850" spans="1:13" ht="22.5" customHeight="1">
      <c r="A850" s="50"/>
      <c r="B850" s="102"/>
      <c r="C850" s="17"/>
      <c r="D850" s="102"/>
      <c r="E850" s="48"/>
      <c r="F850" s="48"/>
      <c r="G850" s="49"/>
      <c r="H850" s="49"/>
      <c r="I850" s="49"/>
      <c r="J850" s="49"/>
      <c r="K850" s="49"/>
      <c r="L850" s="24"/>
      <c r="M850" s="103"/>
    </row>
    <row r="851" spans="1:13" ht="22.5" customHeight="1">
      <c r="A851" s="50"/>
      <c r="B851" s="102"/>
      <c r="C851" s="17"/>
      <c r="D851" s="102"/>
      <c r="E851" s="48"/>
      <c r="F851" s="48"/>
      <c r="G851" s="49"/>
      <c r="H851" s="49"/>
      <c r="I851" s="49"/>
      <c r="J851" s="49"/>
      <c r="K851" s="49"/>
      <c r="L851" s="24"/>
      <c r="M851" s="103"/>
    </row>
    <row r="852" spans="1:13" ht="22.5" customHeight="1">
      <c r="A852" s="50"/>
      <c r="B852" s="102"/>
      <c r="C852" s="17"/>
      <c r="D852" s="102"/>
      <c r="E852" s="48"/>
      <c r="F852" s="48"/>
      <c r="G852" s="49"/>
      <c r="H852" s="49"/>
      <c r="I852" s="49"/>
      <c r="J852" s="49"/>
      <c r="K852" s="49"/>
      <c r="L852" s="24"/>
      <c r="M852" s="103"/>
    </row>
    <row r="853" spans="1:13" ht="22.5" customHeight="1">
      <c r="A853" s="50"/>
      <c r="B853" s="102"/>
      <c r="C853" s="17"/>
      <c r="D853" s="102"/>
      <c r="E853" s="48"/>
      <c r="F853" s="48"/>
      <c r="G853" s="49"/>
      <c r="H853" s="49"/>
      <c r="I853" s="49"/>
      <c r="J853" s="49"/>
      <c r="K853" s="49"/>
      <c r="L853" s="24"/>
      <c r="M853" s="103"/>
    </row>
    <row r="854" spans="1:13" ht="22.5" customHeight="1">
      <c r="A854" s="50"/>
      <c r="B854" s="102"/>
      <c r="C854" s="17"/>
      <c r="D854" s="102"/>
      <c r="E854" s="48"/>
      <c r="F854" s="48"/>
      <c r="G854" s="49"/>
      <c r="H854" s="49"/>
      <c r="I854" s="49"/>
      <c r="J854" s="49"/>
      <c r="K854" s="49"/>
      <c r="L854" s="24"/>
      <c r="M854" s="103"/>
    </row>
    <row r="855" spans="1:13" ht="22.5" customHeight="1">
      <c r="A855" s="50"/>
      <c r="B855" s="102"/>
      <c r="C855" s="17"/>
      <c r="D855" s="102"/>
      <c r="E855" s="48"/>
      <c r="F855" s="48"/>
      <c r="G855" s="49"/>
      <c r="H855" s="49"/>
      <c r="I855" s="49"/>
      <c r="J855" s="49"/>
      <c r="K855" s="49"/>
      <c r="L855" s="24"/>
      <c r="M855" s="103"/>
    </row>
    <row r="856" spans="1:13" ht="22.5" customHeight="1">
      <c r="A856" s="50"/>
      <c r="B856" s="102"/>
      <c r="C856" s="17"/>
      <c r="D856" s="102"/>
      <c r="E856" s="48"/>
      <c r="F856" s="48"/>
      <c r="G856" s="49"/>
      <c r="H856" s="49"/>
      <c r="I856" s="49"/>
      <c r="J856" s="49"/>
      <c r="K856" s="49"/>
      <c r="L856" s="24"/>
      <c r="M856" s="103"/>
    </row>
    <row r="857" spans="1:13" ht="22.5" customHeight="1">
      <c r="A857" s="50"/>
      <c r="B857" s="102"/>
      <c r="C857" s="17"/>
      <c r="D857" s="102"/>
      <c r="E857" s="48"/>
      <c r="F857" s="48"/>
      <c r="G857" s="49"/>
      <c r="H857" s="49"/>
      <c r="I857" s="49"/>
      <c r="J857" s="49"/>
      <c r="K857" s="49"/>
      <c r="L857" s="24"/>
      <c r="M857" s="103"/>
    </row>
    <row r="858" spans="1:13" ht="22.5" customHeight="1">
      <c r="A858" s="50"/>
      <c r="B858" s="102"/>
      <c r="C858" s="17"/>
      <c r="D858" s="102"/>
      <c r="E858" s="48"/>
      <c r="F858" s="48"/>
      <c r="G858" s="49"/>
      <c r="H858" s="49"/>
      <c r="I858" s="49"/>
      <c r="J858" s="49"/>
      <c r="K858" s="49"/>
      <c r="L858" s="24"/>
      <c r="M858" s="103"/>
    </row>
    <row r="859" spans="1:13" ht="22.5" customHeight="1">
      <c r="A859" s="50"/>
      <c r="B859" s="102"/>
      <c r="C859" s="17"/>
      <c r="D859" s="102"/>
      <c r="E859" s="48"/>
      <c r="F859" s="48"/>
      <c r="G859" s="49"/>
      <c r="H859" s="49"/>
      <c r="I859" s="49"/>
      <c r="J859" s="49"/>
      <c r="K859" s="49"/>
      <c r="L859" s="24"/>
      <c r="M859" s="103"/>
    </row>
    <row r="860" spans="1:13" ht="22.5" customHeight="1">
      <c r="A860" s="50"/>
      <c r="B860" s="102"/>
      <c r="C860" s="17"/>
      <c r="D860" s="102"/>
      <c r="E860" s="48"/>
      <c r="F860" s="48"/>
      <c r="G860" s="49"/>
      <c r="H860" s="49"/>
      <c r="I860" s="49"/>
      <c r="J860" s="49"/>
      <c r="K860" s="49"/>
      <c r="L860" s="24"/>
      <c r="M860" s="103"/>
    </row>
    <row r="861" spans="1:13" ht="22.5" customHeight="1">
      <c r="A861" s="50"/>
      <c r="B861" s="102"/>
      <c r="C861" s="17"/>
      <c r="D861" s="102"/>
      <c r="E861" s="48"/>
      <c r="F861" s="48"/>
      <c r="G861" s="49"/>
      <c r="H861" s="49"/>
      <c r="I861" s="49"/>
      <c r="J861" s="49"/>
      <c r="K861" s="49"/>
      <c r="L861" s="24"/>
      <c r="M861" s="103"/>
    </row>
    <row r="862" spans="1:13" ht="22.5" customHeight="1">
      <c r="A862" s="50"/>
      <c r="B862" s="102"/>
      <c r="C862" s="17"/>
      <c r="D862" s="102"/>
      <c r="E862" s="48"/>
      <c r="F862" s="48"/>
      <c r="G862" s="49"/>
      <c r="H862" s="49"/>
      <c r="I862" s="49"/>
      <c r="J862" s="49"/>
      <c r="K862" s="49"/>
      <c r="L862" s="24"/>
      <c r="M862" s="103"/>
    </row>
    <row r="863" spans="1:13" ht="22.5" customHeight="1">
      <c r="A863" s="50"/>
      <c r="B863" s="102"/>
      <c r="C863" s="17"/>
      <c r="D863" s="102"/>
      <c r="E863" s="48"/>
      <c r="F863" s="48"/>
      <c r="G863" s="49"/>
      <c r="H863" s="49"/>
      <c r="I863" s="49"/>
      <c r="J863" s="49"/>
      <c r="K863" s="49"/>
      <c r="L863" s="24"/>
      <c r="M863" s="103"/>
    </row>
    <row r="864" spans="1:13" ht="22.5" customHeight="1">
      <c r="A864" s="50"/>
      <c r="B864" s="102"/>
      <c r="C864" s="17"/>
      <c r="D864" s="102"/>
      <c r="E864" s="48"/>
      <c r="F864" s="48"/>
      <c r="G864" s="49"/>
      <c r="H864" s="49"/>
      <c r="I864" s="49"/>
      <c r="J864" s="49"/>
      <c r="K864" s="49"/>
      <c r="L864" s="24"/>
      <c r="M864" s="103"/>
    </row>
    <row r="865" spans="1:13" ht="22.5" customHeight="1">
      <c r="A865" s="50"/>
      <c r="B865" s="102"/>
      <c r="C865" s="17"/>
      <c r="D865" s="102"/>
      <c r="E865" s="48"/>
      <c r="F865" s="48"/>
      <c r="G865" s="49"/>
      <c r="H865" s="49"/>
      <c r="I865" s="49"/>
      <c r="J865" s="49"/>
      <c r="K865" s="49"/>
      <c r="L865" s="24"/>
      <c r="M865" s="103"/>
    </row>
    <row r="866" spans="1:13" ht="22.5" customHeight="1">
      <c r="A866" s="50"/>
      <c r="B866" s="102"/>
      <c r="C866" s="17"/>
      <c r="D866" s="102"/>
      <c r="E866" s="48"/>
      <c r="F866" s="48"/>
      <c r="G866" s="49"/>
      <c r="H866" s="49"/>
      <c r="I866" s="49"/>
      <c r="J866" s="49"/>
      <c r="K866" s="49"/>
      <c r="L866" s="24"/>
      <c r="M866" s="103"/>
    </row>
    <row r="867" spans="1:13" ht="22.5" customHeight="1">
      <c r="A867" s="50"/>
      <c r="B867" s="102"/>
      <c r="C867" s="17"/>
      <c r="D867" s="102"/>
      <c r="E867" s="48"/>
      <c r="F867" s="48"/>
      <c r="G867" s="49"/>
      <c r="H867" s="49"/>
      <c r="I867" s="49"/>
      <c r="J867" s="49"/>
      <c r="K867" s="49"/>
      <c r="L867" s="24"/>
      <c r="M867" s="103"/>
    </row>
    <row r="868" spans="1:13" ht="22.5" customHeight="1">
      <c r="A868" s="50"/>
      <c r="B868" s="102"/>
      <c r="C868" s="17"/>
      <c r="D868" s="102"/>
      <c r="E868" s="48"/>
      <c r="F868" s="48"/>
      <c r="G868" s="49"/>
      <c r="H868" s="49"/>
      <c r="I868" s="49"/>
      <c r="J868" s="49"/>
      <c r="K868" s="49"/>
      <c r="L868" s="24"/>
      <c r="M868" s="103"/>
    </row>
    <row r="869" spans="1:13" ht="22.5" customHeight="1">
      <c r="A869" s="50"/>
      <c r="B869" s="102"/>
      <c r="C869" s="17"/>
      <c r="D869" s="102"/>
      <c r="E869" s="48"/>
      <c r="F869" s="48"/>
      <c r="G869" s="49"/>
      <c r="H869" s="49"/>
      <c r="I869" s="49"/>
      <c r="J869" s="49"/>
      <c r="K869" s="49"/>
      <c r="L869" s="24"/>
      <c r="M869" s="103"/>
    </row>
    <row r="870" spans="1:13" ht="22.5" customHeight="1">
      <c r="A870" s="50"/>
      <c r="B870" s="102"/>
      <c r="C870" s="17"/>
      <c r="D870" s="102"/>
      <c r="E870" s="48"/>
      <c r="F870" s="48"/>
      <c r="G870" s="49"/>
      <c r="H870" s="49"/>
      <c r="I870" s="49"/>
      <c r="J870" s="49"/>
      <c r="K870" s="49"/>
      <c r="L870" s="24"/>
      <c r="M870" s="103"/>
    </row>
    <row r="871" spans="1:13" ht="22.5" customHeight="1">
      <c r="A871" s="50"/>
      <c r="B871" s="102"/>
      <c r="C871" s="17"/>
      <c r="D871" s="102"/>
      <c r="E871" s="48"/>
      <c r="F871" s="48"/>
      <c r="G871" s="49"/>
      <c r="H871" s="49"/>
      <c r="I871" s="49"/>
      <c r="J871" s="49"/>
      <c r="K871" s="49"/>
      <c r="L871" s="24"/>
      <c r="M871" s="103"/>
    </row>
    <row r="872" spans="1:13" ht="22.5" customHeight="1">
      <c r="A872" s="50"/>
      <c r="B872" s="102"/>
      <c r="C872" s="17"/>
      <c r="D872" s="102"/>
      <c r="E872" s="48"/>
      <c r="F872" s="48"/>
      <c r="G872" s="49"/>
      <c r="H872" s="49"/>
      <c r="I872" s="49"/>
      <c r="J872" s="49"/>
      <c r="K872" s="49"/>
      <c r="L872" s="24"/>
      <c r="M872" s="103"/>
    </row>
    <row r="873" spans="1:13" ht="22.5" customHeight="1">
      <c r="A873" s="50"/>
      <c r="B873" s="102"/>
      <c r="C873" s="17"/>
      <c r="D873" s="102"/>
      <c r="E873" s="48"/>
      <c r="F873" s="48"/>
      <c r="G873" s="49"/>
      <c r="H873" s="49"/>
      <c r="I873" s="49"/>
      <c r="J873" s="49"/>
      <c r="K873" s="49"/>
      <c r="L873" s="24"/>
      <c r="M873" s="103"/>
    </row>
    <row r="874" spans="1:13" ht="22.5" customHeight="1">
      <c r="A874" s="50"/>
      <c r="B874" s="102"/>
      <c r="C874" s="17"/>
      <c r="D874" s="102"/>
      <c r="E874" s="48"/>
      <c r="F874" s="48"/>
      <c r="G874" s="49"/>
      <c r="H874" s="49"/>
      <c r="I874" s="49"/>
      <c r="J874" s="49"/>
      <c r="K874" s="49"/>
      <c r="L874" s="24"/>
      <c r="M874" s="103"/>
    </row>
    <row r="875" spans="1:13" ht="22.5" customHeight="1">
      <c r="A875" s="50"/>
      <c r="B875" s="102"/>
      <c r="C875" s="17"/>
      <c r="D875" s="102"/>
      <c r="E875" s="48"/>
      <c r="F875" s="48"/>
      <c r="G875" s="49"/>
      <c r="H875" s="49"/>
      <c r="I875" s="49"/>
      <c r="J875" s="49"/>
      <c r="K875" s="49"/>
      <c r="L875" s="24"/>
      <c r="M875" s="103"/>
    </row>
    <row r="876" spans="1:13" ht="22.5" customHeight="1">
      <c r="A876" s="50"/>
      <c r="B876" s="102"/>
      <c r="C876" s="17"/>
      <c r="D876" s="102"/>
      <c r="E876" s="48"/>
      <c r="F876" s="48"/>
      <c r="G876" s="49"/>
      <c r="H876" s="49"/>
      <c r="I876" s="49"/>
      <c r="J876" s="49"/>
      <c r="K876" s="49"/>
      <c r="L876" s="24"/>
      <c r="M876" s="103"/>
    </row>
    <row r="877" spans="1:13" ht="22.5" customHeight="1">
      <c r="A877" s="50"/>
      <c r="B877" s="102"/>
      <c r="C877" s="17"/>
      <c r="D877" s="102"/>
      <c r="E877" s="48"/>
      <c r="F877" s="48"/>
      <c r="G877" s="49"/>
      <c r="H877" s="49"/>
      <c r="I877" s="49"/>
      <c r="J877" s="49"/>
      <c r="K877" s="49"/>
      <c r="L877" s="24"/>
      <c r="M877" s="103"/>
    </row>
    <row r="878" spans="1:13" ht="22.5" customHeight="1">
      <c r="A878" s="50"/>
      <c r="B878" s="102"/>
      <c r="C878" s="17"/>
      <c r="D878" s="102"/>
      <c r="E878" s="48"/>
      <c r="F878" s="48"/>
      <c r="G878" s="49"/>
      <c r="H878" s="49"/>
      <c r="I878" s="49"/>
      <c r="J878" s="49"/>
      <c r="K878" s="49"/>
      <c r="L878" s="24"/>
      <c r="M878" s="103"/>
    </row>
    <row r="879" spans="1:13" ht="22.5" customHeight="1">
      <c r="A879" s="50"/>
      <c r="B879" s="102"/>
      <c r="C879" s="17"/>
      <c r="D879" s="102"/>
      <c r="E879" s="48"/>
      <c r="F879" s="48"/>
      <c r="G879" s="49"/>
      <c r="H879" s="49"/>
      <c r="I879" s="49"/>
      <c r="J879" s="49"/>
      <c r="K879" s="49"/>
      <c r="L879" s="24"/>
      <c r="M879" s="103"/>
    </row>
    <row r="880" spans="1:13" ht="22.5" customHeight="1">
      <c r="A880" s="50"/>
      <c r="B880" s="102"/>
      <c r="C880" s="17"/>
      <c r="D880" s="102"/>
      <c r="E880" s="48"/>
      <c r="F880" s="48"/>
      <c r="G880" s="49"/>
      <c r="H880" s="49"/>
      <c r="I880" s="49"/>
      <c r="J880" s="49"/>
      <c r="K880" s="49"/>
      <c r="L880" s="24"/>
      <c r="M880" s="103"/>
    </row>
    <row r="881" spans="1:13" ht="22.5" customHeight="1">
      <c r="A881" s="50"/>
      <c r="B881" s="102"/>
      <c r="C881" s="17"/>
      <c r="D881" s="102"/>
      <c r="E881" s="48"/>
      <c r="F881" s="48"/>
      <c r="G881" s="49"/>
      <c r="H881" s="49"/>
      <c r="I881" s="49"/>
      <c r="J881" s="49"/>
      <c r="K881" s="49"/>
      <c r="L881" s="24"/>
      <c r="M881" s="103"/>
    </row>
    <row r="882" spans="1:13" ht="22.5" customHeight="1">
      <c r="A882" s="50"/>
      <c r="B882" s="102"/>
      <c r="C882" s="17"/>
      <c r="D882" s="102"/>
      <c r="E882" s="48"/>
      <c r="F882" s="48"/>
      <c r="G882" s="49"/>
      <c r="H882" s="49"/>
      <c r="I882" s="49"/>
      <c r="J882" s="49"/>
      <c r="K882" s="49"/>
      <c r="L882" s="24"/>
      <c r="M882" s="103"/>
    </row>
    <row r="883" spans="1:13" ht="22.5" customHeight="1">
      <c r="A883" s="50"/>
      <c r="B883" s="102"/>
      <c r="C883" s="17"/>
      <c r="D883" s="102"/>
      <c r="E883" s="48"/>
      <c r="F883" s="48"/>
      <c r="G883" s="49"/>
      <c r="H883" s="49"/>
      <c r="I883" s="49"/>
      <c r="J883" s="49"/>
      <c r="K883" s="49"/>
      <c r="L883" s="24"/>
      <c r="M883" s="103"/>
    </row>
    <row r="884" spans="1:13" ht="22.5" customHeight="1">
      <c r="A884" s="50"/>
      <c r="B884" s="102"/>
      <c r="C884" s="17"/>
      <c r="D884" s="102"/>
      <c r="E884" s="48"/>
      <c r="F884" s="48"/>
      <c r="G884" s="49"/>
      <c r="H884" s="49"/>
      <c r="I884" s="49"/>
      <c r="J884" s="49"/>
      <c r="K884" s="49"/>
      <c r="L884" s="24"/>
      <c r="M884" s="103"/>
    </row>
    <row r="885" spans="1:13" ht="22.5" customHeight="1">
      <c r="A885" s="50"/>
      <c r="B885" s="102"/>
      <c r="C885" s="17"/>
      <c r="D885" s="102"/>
      <c r="E885" s="48"/>
      <c r="F885" s="48"/>
      <c r="G885" s="49"/>
      <c r="H885" s="49"/>
      <c r="I885" s="49"/>
      <c r="J885" s="49"/>
      <c r="K885" s="49"/>
      <c r="L885" s="24"/>
      <c r="M885" s="103"/>
    </row>
    <row r="886" spans="1:13" ht="22.5" customHeight="1">
      <c r="A886" s="50"/>
      <c r="B886" s="102"/>
      <c r="C886" s="17"/>
      <c r="D886" s="102"/>
      <c r="E886" s="48"/>
      <c r="F886" s="48"/>
      <c r="G886" s="49"/>
      <c r="H886" s="49"/>
      <c r="I886" s="49"/>
      <c r="J886" s="49"/>
      <c r="K886" s="49"/>
      <c r="L886" s="24"/>
      <c r="M886" s="103"/>
    </row>
    <row r="887" spans="1:13" ht="22.5" customHeight="1">
      <c r="A887" s="50"/>
      <c r="B887" s="102"/>
      <c r="C887" s="17"/>
      <c r="D887" s="102"/>
      <c r="E887" s="48"/>
      <c r="F887" s="48"/>
      <c r="G887" s="49"/>
      <c r="H887" s="49"/>
      <c r="I887" s="49"/>
      <c r="J887" s="49"/>
      <c r="K887" s="49"/>
      <c r="L887" s="24"/>
      <c r="M887" s="103"/>
    </row>
    <row r="888" spans="1:13" ht="22.5" customHeight="1">
      <c r="A888" s="50"/>
      <c r="B888" s="102"/>
      <c r="C888" s="17"/>
      <c r="D888" s="102"/>
      <c r="E888" s="48"/>
      <c r="F888" s="48"/>
      <c r="G888" s="49"/>
      <c r="H888" s="49"/>
      <c r="I888" s="49"/>
      <c r="J888" s="49"/>
      <c r="K888" s="49"/>
      <c r="L888" s="24"/>
      <c r="M888" s="103"/>
    </row>
    <row r="889" spans="1:13" ht="22.5" customHeight="1">
      <c r="A889" s="50"/>
      <c r="B889" s="102"/>
      <c r="C889" s="17"/>
      <c r="D889" s="102"/>
      <c r="E889" s="48"/>
      <c r="F889" s="48"/>
      <c r="G889" s="49"/>
      <c r="H889" s="49"/>
      <c r="I889" s="49"/>
      <c r="J889" s="49"/>
      <c r="K889" s="49"/>
      <c r="L889" s="24"/>
      <c r="M889" s="103"/>
    </row>
    <row r="890" spans="1:13" ht="22.5" customHeight="1">
      <c r="A890" s="50"/>
      <c r="B890" s="102"/>
      <c r="C890" s="17"/>
      <c r="D890" s="102"/>
      <c r="E890" s="48"/>
      <c r="F890" s="48"/>
      <c r="G890" s="49"/>
      <c r="H890" s="49"/>
      <c r="I890" s="49"/>
      <c r="J890" s="49"/>
      <c r="K890" s="49"/>
      <c r="L890" s="24"/>
      <c r="M890" s="103"/>
    </row>
    <row r="891" spans="1:13" ht="22.5" customHeight="1">
      <c r="A891" s="50"/>
      <c r="B891" s="102"/>
      <c r="C891" s="17"/>
      <c r="D891" s="102"/>
      <c r="E891" s="48"/>
      <c r="F891" s="48"/>
      <c r="G891" s="49"/>
      <c r="H891" s="49"/>
      <c r="I891" s="49"/>
      <c r="J891" s="49"/>
      <c r="K891" s="49"/>
      <c r="L891" s="24"/>
      <c r="M891" s="103"/>
    </row>
    <row r="892" spans="1:13" ht="22.5" customHeight="1">
      <c r="A892" s="50"/>
      <c r="B892" s="102"/>
      <c r="C892" s="17"/>
      <c r="D892" s="102"/>
      <c r="E892" s="48"/>
      <c r="F892" s="48"/>
      <c r="G892" s="49"/>
      <c r="H892" s="49"/>
      <c r="I892" s="49"/>
      <c r="J892" s="49"/>
      <c r="K892" s="49"/>
      <c r="L892" s="24"/>
      <c r="M892" s="103"/>
    </row>
    <row r="893" spans="1:13" ht="22.5" customHeight="1">
      <c r="A893" s="50"/>
      <c r="B893" s="102"/>
      <c r="C893" s="17"/>
      <c r="D893" s="102"/>
      <c r="E893" s="48"/>
      <c r="F893" s="48"/>
      <c r="G893" s="49"/>
      <c r="H893" s="49"/>
      <c r="I893" s="49"/>
      <c r="J893" s="49"/>
      <c r="K893" s="49"/>
      <c r="L893" s="24"/>
      <c r="M893" s="103"/>
    </row>
    <row r="894" spans="1:13" ht="22.5" customHeight="1">
      <c r="A894" s="50"/>
      <c r="B894" s="102"/>
      <c r="C894" s="17"/>
      <c r="D894" s="102"/>
      <c r="E894" s="48"/>
      <c r="F894" s="48"/>
      <c r="G894" s="49"/>
      <c r="H894" s="49"/>
      <c r="I894" s="49"/>
      <c r="J894" s="49"/>
      <c r="K894" s="49"/>
      <c r="L894" s="24"/>
      <c r="M894" s="103"/>
    </row>
    <row r="895" spans="1:13" ht="22.5" customHeight="1">
      <c r="A895" s="50"/>
      <c r="B895" s="102"/>
      <c r="C895" s="17"/>
      <c r="D895" s="102"/>
      <c r="E895" s="48"/>
      <c r="F895" s="48"/>
      <c r="G895" s="49"/>
      <c r="H895" s="49"/>
      <c r="I895" s="49"/>
      <c r="J895" s="49"/>
      <c r="K895" s="49"/>
      <c r="L895" s="24"/>
      <c r="M895" s="103"/>
    </row>
    <row r="896" spans="1:13" ht="22.5" customHeight="1">
      <c r="A896" s="50"/>
      <c r="B896" s="102"/>
      <c r="C896" s="17"/>
      <c r="D896" s="102"/>
      <c r="E896" s="48"/>
      <c r="F896" s="48"/>
      <c r="G896" s="49"/>
      <c r="H896" s="49"/>
      <c r="I896" s="49"/>
      <c r="J896" s="49"/>
      <c r="K896" s="49"/>
      <c r="L896" s="24"/>
      <c r="M896" s="103"/>
    </row>
    <row r="897" spans="1:13" ht="22.5" customHeight="1">
      <c r="A897" s="50"/>
      <c r="B897" s="102"/>
      <c r="C897" s="17"/>
      <c r="D897" s="102"/>
      <c r="E897" s="48"/>
      <c r="F897" s="48"/>
      <c r="G897" s="49"/>
      <c r="H897" s="49"/>
      <c r="I897" s="49"/>
      <c r="J897" s="49"/>
      <c r="K897" s="49"/>
      <c r="L897" s="24"/>
      <c r="M897" s="103"/>
    </row>
    <row r="898" spans="1:13" ht="22.5" customHeight="1">
      <c r="A898" s="50"/>
      <c r="B898" s="102"/>
      <c r="C898" s="17"/>
      <c r="D898" s="102"/>
      <c r="E898" s="48"/>
      <c r="F898" s="48"/>
      <c r="G898" s="49"/>
      <c r="H898" s="49"/>
      <c r="I898" s="49"/>
      <c r="J898" s="49"/>
      <c r="K898" s="49"/>
      <c r="L898" s="24"/>
      <c r="M898" s="103"/>
    </row>
    <row r="899" spans="1:13" ht="22.5" customHeight="1">
      <c r="A899" s="50"/>
      <c r="B899" s="102"/>
      <c r="C899" s="17"/>
      <c r="D899" s="102"/>
      <c r="E899" s="48"/>
      <c r="F899" s="48"/>
      <c r="G899" s="49"/>
      <c r="H899" s="49"/>
      <c r="I899" s="49"/>
      <c r="J899" s="49"/>
      <c r="K899" s="49"/>
      <c r="L899" s="24"/>
      <c r="M899" s="103"/>
    </row>
    <row r="900" spans="1:13" ht="22.5" customHeight="1">
      <c r="A900" s="50"/>
      <c r="B900" s="102"/>
      <c r="C900" s="17"/>
      <c r="D900" s="102"/>
      <c r="E900" s="48"/>
      <c r="F900" s="48"/>
      <c r="G900" s="49"/>
      <c r="H900" s="49"/>
      <c r="I900" s="49"/>
      <c r="J900" s="49"/>
      <c r="K900" s="49"/>
      <c r="L900" s="24"/>
      <c r="M900" s="103"/>
    </row>
    <row r="901" spans="1:13" ht="22.5" customHeight="1">
      <c r="A901" s="50"/>
      <c r="B901" s="102"/>
      <c r="C901" s="17"/>
      <c r="D901" s="102"/>
      <c r="E901" s="48"/>
      <c r="F901" s="48"/>
      <c r="G901" s="49"/>
      <c r="H901" s="49"/>
      <c r="I901" s="49"/>
      <c r="J901" s="49"/>
      <c r="K901" s="49"/>
      <c r="L901" s="24"/>
      <c r="M901" s="103"/>
    </row>
    <row r="902" spans="1:13" ht="22.5" customHeight="1">
      <c r="A902" s="50"/>
      <c r="B902" s="102"/>
      <c r="C902" s="17"/>
      <c r="D902" s="102"/>
      <c r="E902" s="48"/>
      <c r="F902" s="48"/>
      <c r="G902" s="49"/>
      <c r="H902" s="49"/>
      <c r="I902" s="49"/>
      <c r="J902" s="49"/>
      <c r="K902" s="49"/>
      <c r="L902" s="24"/>
      <c r="M902" s="103"/>
    </row>
    <row r="903" spans="1:13" ht="22.5" customHeight="1">
      <c r="A903" s="50"/>
      <c r="B903" s="102"/>
      <c r="C903" s="17"/>
      <c r="D903" s="102"/>
      <c r="E903" s="48"/>
      <c r="F903" s="48"/>
      <c r="G903" s="49"/>
      <c r="H903" s="49"/>
      <c r="I903" s="49"/>
      <c r="J903" s="49"/>
      <c r="K903" s="49"/>
      <c r="L903" s="24"/>
      <c r="M903" s="103"/>
    </row>
    <row r="904" spans="1:13" ht="22.5" customHeight="1">
      <c r="A904" s="50"/>
      <c r="B904" s="102"/>
      <c r="C904" s="17"/>
      <c r="D904" s="102"/>
      <c r="E904" s="48"/>
      <c r="F904" s="48"/>
      <c r="G904" s="49"/>
      <c r="H904" s="49"/>
      <c r="I904" s="49"/>
      <c r="J904" s="49"/>
      <c r="K904" s="49"/>
      <c r="L904" s="24"/>
      <c r="M904" s="103"/>
    </row>
    <row r="905" spans="1:13" ht="22.5" customHeight="1">
      <c r="A905" s="50"/>
      <c r="B905" s="102"/>
      <c r="C905" s="17"/>
      <c r="D905" s="102"/>
      <c r="E905" s="48"/>
      <c r="F905" s="48"/>
      <c r="G905" s="49"/>
      <c r="H905" s="49"/>
      <c r="I905" s="49"/>
      <c r="J905" s="49"/>
      <c r="K905" s="49"/>
      <c r="L905" s="24"/>
      <c r="M905" s="103"/>
    </row>
    <row r="906" spans="1:13" ht="22.5" customHeight="1">
      <c r="A906" s="50"/>
      <c r="B906" s="102"/>
      <c r="C906" s="17"/>
      <c r="D906" s="102"/>
      <c r="E906" s="48"/>
      <c r="F906" s="48"/>
      <c r="G906" s="49"/>
      <c r="H906" s="49"/>
      <c r="I906" s="49"/>
      <c r="J906" s="49"/>
      <c r="K906" s="49"/>
      <c r="L906" s="24"/>
      <c r="M906" s="103"/>
    </row>
    <row r="907" spans="1:13" ht="22.5" customHeight="1">
      <c r="A907" s="50"/>
      <c r="B907" s="102"/>
      <c r="C907" s="17"/>
      <c r="D907" s="102"/>
      <c r="E907" s="48"/>
      <c r="F907" s="48"/>
      <c r="G907" s="49"/>
      <c r="H907" s="49"/>
      <c r="I907" s="49"/>
      <c r="J907" s="49"/>
      <c r="K907" s="49"/>
      <c r="L907" s="24"/>
      <c r="M907" s="103"/>
    </row>
    <row r="908" spans="1:13" ht="22.5" customHeight="1">
      <c r="A908" s="50"/>
      <c r="B908" s="102"/>
      <c r="C908" s="17"/>
      <c r="D908" s="102"/>
      <c r="E908" s="48"/>
      <c r="F908" s="48"/>
      <c r="G908" s="49"/>
      <c r="H908" s="49"/>
      <c r="I908" s="49"/>
      <c r="J908" s="49"/>
      <c r="K908" s="49"/>
      <c r="L908" s="24"/>
      <c r="M908" s="103"/>
    </row>
    <row r="909" spans="1:13" ht="22.5" customHeight="1">
      <c r="A909" s="50"/>
      <c r="B909" s="102"/>
      <c r="C909" s="17"/>
      <c r="D909" s="102"/>
      <c r="E909" s="48"/>
      <c r="F909" s="48"/>
      <c r="G909" s="49"/>
      <c r="H909" s="49"/>
      <c r="I909" s="49"/>
      <c r="J909" s="49"/>
      <c r="K909" s="49"/>
      <c r="L909" s="24"/>
      <c r="M909" s="103"/>
    </row>
    <row r="910" spans="1:13" ht="22.5" customHeight="1">
      <c r="A910" s="50"/>
      <c r="B910" s="102"/>
      <c r="C910" s="17"/>
      <c r="D910" s="102"/>
      <c r="E910" s="48"/>
      <c r="F910" s="48"/>
      <c r="G910" s="49"/>
      <c r="H910" s="49"/>
      <c r="I910" s="49"/>
      <c r="J910" s="49"/>
      <c r="K910" s="49"/>
      <c r="L910" s="24"/>
      <c r="M910" s="103"/>
    </row>
    <row r="911" spans="1:13" ht="22.5" customHeight="1">
      <c r="A911" s="50"/>
      <c r="B911" s="102"/>
      <c r="C911" s="17"/>
      <c r="D911" s="102"/>
      <c r="E911" s="48"/>
      <c r="F911" s="48"/>
      <c r="G911" s="49"/>
      <c r="H911" s="49"/>
      <c r="I911" s="49"/>
      <c r="J911" s="49"/>
      <c r="K911" s="49"/>
      <c r="L911" s="24"/>
      <c r="M911" s="103"/>
    </row>
    <row r="912" spans="1:13" ht="22.5" customHeight="1">
      <c r="A912" s="50"/>
      <c r="B912" s="102"/>
      <c r="C912" s="17"/>
      <c r="D912" s="102"/>
      <c r="E912" s="48"/>
      <c r="F912" s="48"/>
      <c r="G912" s="49"/>
      <c r="H912" s="49"/>
      <c r="I912" s="49"/>
      <c r="J912" s="49"/>
      <c r="K912" s="49"/>
      <c r="L912" s="24"/>
      <c r="M912" s="103"/>
    </row>
    <row r="913" spans="1:13" ht="22.5" customHeight="1">
      <c r="A913" s="50"/>
      <c r="B913" s="102"/>
      <c r="C913" s="17"/>
      <c r="D913" s="102"/>
      <c r="E913" s="48"/>
      <c r="F913" s="48"/>
      <c r="G913" s="49"/>
      <c r="H913" s="49"/>
      <c r="I913" s="49"/>
      <c r="J913" s="49"/>
      <c r="K913" s="49"/>
      <c r="L913" s="24"/>
      <c r="M913" s="103"/>
    </row>
    <row r="914" spans="1:13" ht="22.5" customHeight="1">
      <c r="A914" s="50"/>
      <c r="B914" s="102"/>
      <c r="C914" s="17"/>
      <c r="D914" s="102"/>
      <c r="E914" s="48"/>
      <c r="F914" s="48"/>
      <c r="G914" s="49"/>
      <c r="H914" s="49"/>
      <c r="I914" s="49"/>
      <c r="J914" s="49"/>
      <c r="K914" s="49"/>
      <c r="L914" s="24"/>
      <c r="M914" s="103"/>
    </row>
    <row r="915" spans="1:13" ht="22.5" customHeight="1">
      <c r="A915" s="50"/>
      <c r="B915" s="102"/>
      <c r="C915" s="17"/>
      <c r="D915" s="102"/>
      <c r="E915" s="48"/>
      <c r="F915" s="48"/>
      <c r="G915" s="49"/>
      <c r="H915" s="49"/>
      <c r="I915" s="49"/>
      <c r="J915" s="49"/>
      <c r="K915" s="49"/>
      <c r="L915" s="24"/>
      <c r="M915" s="103"/>
    </row>
    <row r="916" spans="1:13" ht="22.5" customHeight="1">
      <c r="A916" s="50"/>
      <c r="B916" s="102"/>
      <c r="C916" s="17"/>
      <c r="D916" s="102"/>
      <c r="E916" s="48"/>
      <c r="F916" s="48"/>
      <c r="G916" s="49"/>
      <c r="H916" s="49"/>
      <c r="I916" s="49"/>
      <c r="J916" s="49"/>
      <c r="K916" s="49"/>
      <c r="L916" s="24"/>
      <c r="M916" s="103"/>
    </row>
    <row r="917" spans="1:13" ht="22.5" customHeight="1">
      <c r="A917" s="50"/>
      <c r="B917" s="102"/>
      <c r="C917" s="17"/>
      <c r="D917" s="102"/>
      <c r="E917" s="48"/>
      <c r="F917" s="48"/>
      <c r="G917" s="49"/>
      <c r="H917" s="49"/>
      <c r="I917" s="49"/>
      <c r="J917" s="49"/>
      <c r="K917" s="49"/>
      <c r="L917" s="24"/>
      <c r="M917" s="103"/>
    </row>
    <row r="918" spans="1:13" ht="22.5" customHeight="1">
      <c r="A918" s="50"/>
      <c r="B918" s="102"/>
      <c r="C918" s="17"/>
      <c r="D918" s="102"/>
      <c r="E918" s="48"/>
      <c r="F918" s="48"/>
      <c r="G918" s="49"/>
      <c r="H918" s="49"/>
      <c r="I918" s="49"/>
      <c r="J918" s="49"/>
      <c r="K918" s="49"/>
      <c r="L918" s="24"/>
      <c r="M918" s="103"/>
    </row>
    <row r="919" spans="1:13" ht="22.5" customHeight="1">
      <c r="A919" s="50"/>
      <c r="B919" s="102"/>
      <c r="C919" s="17"/>
      <c r="D919" s="102"/>
      <c r="E919" s="48"/>
      <c r="F919" s="48"/>
      <c r="G919" s="49"/>
      <c r="H919" s="49"/>
      <c r="I919" s="49"/>
      <c r="J919" s="49"/>
      <c r="K919" s="49"/>
      <c r="L919" s="24"/>
      <c r="M919" s="103"/>
    </row>
    <row r="920" spans="1:13" ht="22.5" customHeight="1">
      <c r="A920" s="50"/>
      <c r="B920" s="102"/>
      <c r="C920" s="17"/>
      <c r="D920" s="102"/>
      <c r="E920" s="48"/>
      <c r="F920" s="48"/>
      <c r="G920" s="49"/>
      <c r="H920" s="49"/>
      <c r="I920" s="49"/>
      <c r="J920" s="49"/>
      <c r="K920" s="49"/>
      <c r="L920" s="24"/>
      <c r="M920" s="103"/>
    </row>
    <row r="921" spans="1:13" ht="22.5" customHeight="1">
      <c r="A921" s="50"/>
      <c r="B921" s="102"/>
      <c r="C921" s="17"/>
      <c r="D921" s="102"/>
      <c r="E921" s="48"/>
      <c r="F921" s="48"/>
      <c r="G921" s="49"/>
      <c r="H921" s="49"/>
      <c r="I921" s="49"/>
      <c r="J921" s="49"/>
      <c r="K921" s="49"/>
      <c r="L921" s="24"/>
      <c r="M921" s="103"/>
    </row>
    <row r="922" spans="1:13" ht="22.5" customHeight="1">
      <c r="A922" s="50"/>
      <c r="B922" s="102"/>
      <c r="C922" s="17"/>
      <c r="D922" s="102"/>
      <c r="E922" s="48"/>
      <c r="F922" s="48"/>
      <c r="G922" s="49"/>
      <c r="H922" s="49"/>
      <c r="I922" s="49"/>
      <c r="J922" s="49"/>
      <c r="K922" s="49"/>
      <c r="L922" s="24"/>
      <c r="M922" s="103"/>
    </row>
    <row r="923" spans="1:13" ht="22.5" customHeight="1">
      <c r="A923" s="50"/>
      <c r="B923" s="102"/>
      <c r="C923" s="17"/>
      <c r="D923" s="102"/>
      <c r="E923" s="48"/>
      <c r="F923" s="48"/>
      <c r="G923" s="49"/>
      <c r="H923" s="49"/>
      <c r="I923" s="49"/>
      <c r="J923" s="49"/>
      <c r="K923" s="49"/>
      <c r="L923" s="24"/>
      <c r="M923" s="103"/>
    </row>
    <row r="924" spans="1:13" ht="22.5" customHeight="1">
      <c r="A924" s="50"/>
      <c r="B924" s="102"/>
      <c r="C924" s="17"/>
      <c r="D924" s="102"/>
      <c r="E924" s="48"/>
      <c r="F924" s="48"/>
      <c r="G924" s="49"/>
      <c r="H924" s="49"/>
      <c r="I924" s="49"/>
      <c r="J924" s="49"/>
      <c r="K924" s="49"/>
      <c r="L924" s="24"/>
      <c r="M924" s="103"/>
    </row>
    <row r="925" spans="1:13" ht="22.5" customHeight="1">
      <c r="A925" s="50"/>
      <c r="B925" s="102"/>
      <c r="C925" s="17"/>
      <c r="D925" s="102"/>
      <c r="E925" s="48"/>
      <c r="F925" s="48"/>
      <c r="G925" s="49"/>
      <c r="H925" s="49"/>
      <c r="I925" s="49"/>
      <c r="J925" s="49"/>
      <c r="K925" s="49"/>
      <c r="L925" s="24"/>
      <c r="M925" s="103"/>
    </row>
    <row r="926" spans="1:13" ht="22.5" customHeight="1">
      <c r="A926" s="50"/>
      <c r="B926" s="102"/>
      <c r="C926" s="17"/>
      <c r="D926" s="102"/>
      <c r="E926" s="48"/>
      <c r="F926" s="48"/>
      <c r="G926" s="49"/>
      <c r="H926" s="49"/>
      <c r="I926" s="49"/>
      <c r="J926" s="49"/>
      <c r="K926" s="49"/>
      <c r="L926" s="24"/>
      <c r="M926" s="103"/>
    </row>
    <row r="927" spans="1:13" ht="22.5" customHeight="1">
      <c r="A927" s="50"/>
      <c r="B927" s="102"/>
      <c r="C927" s="17"/>
      <c r="D927" s="102"/>
      <c r="E927" s="48"/>
      <c r="F927" s="48"/>
      <c r="G927" s="49"/>
      <c r="H927" s="49"/>
      <c r="I927" s="49"/>
      <c r="J927" s="49"/>
      <c r="K927" s="49"/>
      <c r="L927" s="24"/>
      <c r="M927" s="103"/>
    </row>
    <row r="928" spans="1:13" ht="22.5" customHeight="1">
      <c r="A928" s="50"/>
      <c r="B928" s="102"/>
      <c r="C928" s="17"/>
      <c r="D928" s="102"/>
      <c r="E928" s="48"/>
      <c r="F928" s="48"/>
      <c r="G928" s="49"/>
      <c r="H928" s="49"/>
      <c r="I928" s="49"/>
      <c r="J928" s="49"/>
      <c r="K928" s="49"/>
      <c r="L928" s="24"/>
      <c r="M928" s="103"/>
    </row>
    <row r="929" spans="1:13" ht="22.5" customHeight="1">
      <c r="A929" s="50"/>
      <c r="B929" s="102"/>
      <c r="C929" s="17"/>
      <c r="D929" s="102"/>
      <c r="E929" s="48"/>
      <c r="F929" s="48"/>
      <c r="G929" s="49"/>
      <c r="H929" s="49"/>
      <c r="I929" s="49"/>
      <c r="J929" s="49"/>
      <c r="K929" s="49"/>
      <c r="L929" s="24"/>
      <c r="M929" s="103"/>
    </row>
    <row r="930" spans="1:13" ht="22.5" customHeight="1">
      <c r="A930" s="50"/>
      <c r="B930" s="102"/>
      <c r="C930" s="17"/>
      <c r="D930" s="102"/>
      <c r="E930" s="48"/>
      <c r="F930" s="48"/>
      <c r="G930" s="49"/>
      <c r="H930" s="49"/>
      <c r="I930" s="49"/>
      <c r="J930" s="49"/>
      <c r="K930" s="49"/>
      <c r="L930" s="24"/>
      <c r="M930" s="103"/>
    </row>
    <row r="931" spans="1:13" ht="22.5" customHeight="1">
      <c r="A931" s="50"/>
      <c r="B931" s="102"/>
      <c r="C931" s="17"/>
      <c r="D931" s="102"/>
      <c r="E931" s="48"/>
      <c r="F931" s="48"/>
      <c r="G931" s="49"/>
      <c r="H931" s="49"/>
      <c r="I931" s="49"/>
      <c r="J931" s="49"/>
      <c r="K931" s="49"/>
      <c r="L931" s="24"/>
      <c r="M931" s="103"/>
    </row>
    <row r="932" spans="1:13" ht="22.5" customHeight="1">
      <c r="A932" s="50"/>
      <c r="B932" s="102"/>
      <c r="C932" s="17"/>
      <c r="D932" s="102"/>
      <c r="E932" s="48"/>
      <c r="F932" s="48"/>
      <c r="G932" s="49"/>
      <c r="H932" s="49"/>
      <c r="I932" s="49"/>
      <c r="J932" s="49"/>
      <c r="K932" s="49"/>
      <c r="L932" s="24"/>
      <c r="M932" s="103"/>
    </row>
    <row r="933" spans="1:13" ht="22.5" customHeight="1">
      <c r="A933" s="50"/>
      <c r="B933" s="102"/>
      <c r="C933" s="17"/>
      <c r="D933" s="102"/>
      <c r="E933" s="48"/>
      <c r="F933" s="48"/>
      <c r="G933" s="49"/>
      <c r="H933" s="49"/>
      <c r="I933" s="49"/>
      <c r="J933" s="49"/>
      <c r="K933" s="49"/>
      <c r="L933" s="24"/>
      <c r="M933" s="103"/>
    </row>
    <row r="934" spans="1:13" ht="22.5" customHeight="1">
      <c r="A934" s="50"/>
      <c r="B934" s="102"/>
      <c r="C934" s="17"/>
      <c r="D934" s="102"/>
      <c r="E934" s="48"/>
      <c r="F934" s="48"/>
      <c r="G934" s="49"/>
      <c r="H934" s="49"/>
      <c r="I934" s="49"/>
      <c r="J934" s="49"/>
      <c r="K934" s="49"/>
      <c r="L934" s="24"/>
      <c r="M934" s="103"/>
    </row>
    <row r="935" spans="1:13" ht="22.5" customHeight="1">
      <c r="A935" s="50"/>
      <c r="B935" s="102"/>
      <c r="C935" s="17"/>
      <c r="D935" s="102"/>
      <c r="E935" s="48"/>
      <c r="F935" s="48"/>
      <c r="G935" s="49"/>
      <c r="H935" s="49"/>
      <c r="I935" s="49"/>
      <c r="J935" s="49"/>
      <c r="K935" s="49"/>
      <c r="L935" s="24"/>
      <c r="M935" s="103"/>
    </row>
    <row r="936" spans="1:13" ht="22.5" customHeight="1">
      <c r="A936" s="50"/>
      <c r="B936" s="102"/>
      <c r="C936" s="17"/>
      <c r="D936" s="102"/>
      <c r="E936" s="48"/>
      <c r="F936" s="48"/>
      <c r="G936" s="49"/>
      <c r="H936" s="49"/>
      <c r="I936" s="49"/>
      <c r="J936" s="49"/>
      <c r="K936" s="49"/>
      <c r="L936" s="24"/>
      <c r="M936" s="103"/>
    </row>
    <row r="937" spans="1:13" ht="22.5" customHeight="1">
      <c r="A937" s="50"/>
      <c r="B937" s="102"/>
      <c r="C937" s="17"/>
      <c r="D937" s="102"/>
      <c r="E937" s="48"/>
      <c r="F937" s="48"/>
      <c r="G937" s="49"/>
      <c r="H937" s="49"/>
      <c r="I937" s="49"/>
      <c r="J937" s="49"/>
      <c r="K937" s="49"/>
      <c r="L937" s="24"/>
      <c r="M937" s="103"/>
    </row>
    <row r="938" spans="1:13" ht="22.5" customHeight="1">
      <c r="A938" s="50"/>
      <c r="B938" s="102"/>
      <c r="C938" s="17"/>
      <c r="D938" s="102"/>
      <c r="E938" s="48"/>
      <c r="F938" s="48"/>
      <c r="G938" s="49"/>
      <c r="H938" s="49"/>
      <c r="I938" s="49"/>
      <c r="J938" s="49"/>
      <c r="K938" s="49"/>
      <c r="L938" s="24"/>
      <c r="M938" s="103"/>
    </row>
    <row r="939" spans="1:13" ht="22.5" customHeight="1">
      <c r="A939" s="50"/>
      <c r="B939" s="102"/>
      <c r="C939" s="17"/>
      <c r="D939" s="102"/>
      <c r="E939" s="48"/>
      <c r="F939" s="48"/>
      <c r="G939" s="49"/>
      <c r="H939" s="49"/>
      <c r="I939" s="49"/>
      <c r="J939" s="49"/>
      <c r="K939" s="49"/>
      <c r="L939" s="24"/>
      <c r="M939" s="103"/>
    </row>
    <row r="940" spans="1:13" ht="22.5" customHeight="1">
      <c r="A940" s="50"/>
      <c r="B940" s="102"/>
      <c r="C940" s="17"/>
      <c r="D940" s="102"/>
      <c r="E940" s="48"/>
      <c r="F940" s="48"/>
      <c r="G940" s="49"/>
      <c r="H940" s="49"/>
      <c r="I940" s="49"/>
      <c r="J940" s="49"/>
      <c r="K940" s="49"/>
      <c r="L940" s="24"/>
      <c r="M940" s="103"/>
    </row>
    <row r="941" spans="1:13" ht="22.5" customHeight="1">
      <c r="A941" s="50"/>
      <c r="B941" s="102"/>
      <c r="C941" s="17"/>
      <c r="D941" s="102"/>
      <c r="E941" s="48"/>
      <c r="F941" s="48"/>
      <c r="G941" s="49"/>
      <c r="H941" s="49"/>
      <c r="I941" s="49"/>
      <c r="J941" s="49"/>
      <c r="K941" s="49"/>
      <c r="L941" s="24"/>
      <c r="M941" s="103"/>
    </row>
    <row r="942" spans="1:13" ht="22.5" customHeight="1">
      <c r="A942" s="50"/>
      <c r="B942" s="102"/>
      <c r="C942" s="17"/>
      <c r="D942" s="102"/>
      <c r="E942" s="48"/>
      <c r="F942" s="48"/>
      <c r="G942" s="49"/>
      <c r="H942" s="49"/>
      <c r="I942" s="49"/>
      <c r="J942" s="49"/>
      <c r="K942" s="49"/>
      <c r="L942" s="24"/>
      <c r="M942" s="103"/>
    </row>
    <row r="943" spans="1:13" ht="22.5" customHeight="1">
      <c r="A943" s="50"/>
      <c r="B943" s="102"/>
      <c r="C943" s="17"/>
      <c r="D943" s="102"/>
      <c r="E943" s="48"/>
      <c r="F943" s="48"/>
      <c r="G943" s="49"/>
      <c r="H943" s="49"/>
      <c r="I943" s="49"/>
      <c r="J943" s="49"/>
      <c r="K943" s="49"/>
      <c r="L943" s="24"/>
      <c r="M943" s="103"/>
    </row>
    <row r="944" spans="1:13" ht="22.5" customHeight="1">
      <c r="A944" s="50"/>
      <c r="B944" s="102"/>
      <c r="C944" s="17"/>
      <c r="D944" s="102"/>
      <c r="E944" s="48"/>
      <c r="F944" s="48"/>
      <c r="G944" s="49"/>
      <c r="H944" s="49"/>
      <c r="I944" s="49"/>
      <c r="J944" s="49"/>
      <c r="K944" s="49"/>
      <c r="L944" s="24"/>
      <c r="M944" s="103"/>
    </row>
    <row r="945" spans="1:13" ht="22.5" customHeight="1">
      <c r="A945" s="50"/>
      <c r="B945" s="102"/>
      <c r="C945" s="17"/>
      <c r="D945" s="102"/>
      <c r="E945" s="48"/>
      <c r="F945" s="48"/>
      <c r="G945" s="49"/>
      <c r="H945" s="49"/>
      <c r="I945" s="49"/>
      <c r="J945" s="49"/>
      <c r="K945" s="49"/>
      <c r="L945" s="24"/>
      <c r="M945" s="103"/>
    </row>
    <row r="946" spans="1:13" ht="22.5" customHeight="1">
      <c r="A946" s="50"/>
      <c r="B946" s="102"/>
      <c r="C946" s="17"/>
      <c r="D946" s="102"/>
      <c r="E946" s="48"/>
      <c r="F946" s="48"/>
      <c r="G946" s="49"/>
      <c r="H946" s="49"/>
      <c r="I946" s="49"/>
      <c r="J946" s="49"/>
      <c r="K946" s="49"/>
      <c r="L946" s="24"/>
      <c r="M946" s="103"/>
    </row>
    <row r="947" spans="1:13" ht="22.5" customHeight="1">
      <c r="A947" s="50"/>
      <c r="B947" s="102"/>
      <c r="C947" s="17"/>
      <c r="D947" s="102"/>
      <c r="E947" s="48"/>
      <c r="F947" s="48"/>
      <c r="G947" s="49"/>
      <c r="H947" s="49"/>
      <c r="I947" s="49"/>
      <c r="J947" s="49"/>
      <c r="K947" s="49"/>
      <c r="L947" s="24"/>
      <c r="M947" s="103"/>
    </row>
    <row r="948" spans="1:13" ht="22.5" customHeight="1">
      <c r="A948" s="50"/>
      <c r="B948" s="102"/>
      <c r="C948" s="17"/>
      <c r="D948" s="102"/>
      <c r="E948" s="48"/>
      <c r="F948" s="48"/>
      <c r="G948" s="49"/>
      <c r="H948" s="49"/>
      <c r="I948" s="49"/>
      <c r="J948" s="49"/>
      <c r="K948" s="49"/>
      <c r="L948" s="24"/>
      <c r="M948" s="103"/>
    </row>
    <row r="949" spans="1:13" ht="22.5" customHeight="1">
      <c r="A949" s="50"/>
      <c r="B949" s="102"/>
      <c r="C949" s="17"/>
      <c r="D949" s="102"/>
      <c r="E949" s="48"/>
      <c r="F949" s="48"/>
      <c r="G949" s="49"/>
      <c r="H949" s="49"/>
      <c r="I949" s="49"/>
      <c r="J949" s="49"/>
      <c r="K949" s="49"/>
      <c r="L949" s="24"/>
      <c r="M949" s="103"/>
    </row>
    <row r="950" spans="1:13" ht="22.5" customHeight="1">
      <c r="A950" s="50"/>
      <c r="B950" s="102"/>
      <c r="C950" s="17"/>
      <c r="D950" s="102"/>
      <c r="E950" s="48"/>
      <c r="F950" s="48"/>
      <c r="G950" s="49"/>
      <c r="H950" s="49"/>
      <c r="I950" s="49"/>
      <c r="J950" s="49"/>
      <c r="K950" s="49"/>
      <c r="L950" s="24"/>
      <c r="M950" s="103"/>
    </row>
    <row r="951" spans="1:13" ht="22.5" customHeight="1">
      <c r="A951" s="50"/>
      <c r="B951" s="102"/>
      <c r="C951" s="17"/>
      <c r="D951" s="102"/>
      <c r="E951" s="48"/>
      <c r="F951" s="48"/>
      <c r="G951" s="49"/>
      <c r="H951" s="49"/>
      <c r="I951" s="49"/>
      <c r="J951" s="49"/>
      <c r="K951" s="49"/>
      <c r="L951" s="24"/>
      <c r="M951" s="103"/>
    </row>
    <row r="952" spans="1:13" ht="22.5" customHeight="1">
      <c r="A952" s="50"/>
      <c r="B952" s="102"/>
      <c r="C952" s="17"/>
      <c r="D952" s="102"/>
      <c r="E952" s="48"/>
      <c r="F952" s="48"/>
      <c r="G952" s="49"/>
      <c r="H952" s="49"/>
      <c r="I952" s="49"/>
      <c r="J952" s="49"/>
      <c r="K952" s="49"/>
      <c r="L952" s="24"/>
      <c r="M952" s="103"/>
    </row>
    <row r="953" spans="1:13" ht="22.5" customHeight="1">
      <c r="A953" s="50"/>
      <c r="B953" s="102"/>
      <c r="C953" s="17"/>
      <c r="D953" s="102"/>
      <c r="E953" s="48"/>
      <c r="F953" s="48"/>
      <c r="G953" s="49"/>
      <c r="H953" s="49"/>
      <c r="I953" s="49"/>
      <c r="J953" s="49"/>
      <c r="K953" s="49"/>
      <c r="L953" s="24"/>
      <c r="M953" s="103"/>
    </row>
    <row r="954" spans="1:13" ht="22.5" customHeight="1">
      <c r="A954" s="50"/>
      <c r="B954" s="102"/>
      <c r="C954" s="17"/>
      <c r="D954" s="102"/>
      <c r="E954" s="48"/>
      <c r="F954" s="48"/>
      <c r="G954" s="49"/>
      <c r="H954" s="49"/>
      <c r="I954" s="49"/>
      <c r="J954" s="49"/>
      <c r="K954" s="49"/>
      <c r="L954" s="24"/>
      <c r="M954" s="103"/>
    </row>
    <row r="955" spans="1:13" ht="22.5" customHeight="1">
      <c r="A955" s="50"/>
      <c r="B955" s="102"/>
      <c r="C955" s="17"/>
      <c r="D955" s="102"/>
      <c r="E955" s="48"/>
      <c r="F955" s="48"/>
      <c r="G955" s="49"/>
      <c r="H955" s="49"/>
      <c r="I955" s="49"/>
      <c r="J955" s="49"/>
      <c r="K955" s="49"/>
      <c r="L955" s="24"/>
      <c r="M955" s="103"/>
    </row>
    <row r="956" spans="1:13" ht="22.5" customHeight="1">
      <c r="A956" s="50"/>
      <c r="B956" s="102"/>
      <c r="C956" s="17"/>
      <c r="D956" s="102"/>
      <c r="E956" s="48"/>
      <c r="F956" s="48"/>
      <c r="G956" s="49"/>
      <c r="H956" s="49"/>
      <c r="I956" s="49"/>
      <c r="J956" s="49"/>
      <c r="K956" s="49"/>
      <c r="L956" s="24"/>
      <c r="M956" s="103"/>
    </row>
    <row r="957" spans="1:13" ht="22.5" customHeight="1">
      <c r="A957" s="50"/>
      <c r="B957" s="102"/>
      <c r="C957" s="17"/>
      <c r="D957" s="102"/>
      <c r="E957" s="48"/>
      <c r="F957" s="48"/>
      <c r="G957" s="49"/>
      <c r="H957" s="49"/>
      <c r="I957" s="49"/>
      <c r="J957" s="49"/>
      <c r="K957" s="49"/>
      <c r="L957" s="24"/>
      <c r="M957" s="103"/>
    </row>
    <row r="958" spans="1:13" ht="22.5" customHeight="1">
      <c r="A958" s="50"/>
      <c r="B958" s="102"/>
      <c r="C958" s="17"/>
      <c r="D958" s="102"/>
      <c r="E958" s="48"/>
      <c r="F958" s="48"/>
      <c r="G958" s="49"/>
      <c r="H958" s="49"/>
      <c r="I958" s="49"/>
      <c r="J958" s="49"/>
      <c r="K958" s="49"/>
      <c r="L958" s="24"/>
      <c r="M958" s="103"/>
    </row>
    <row r="959" spans="1:13" ht="22.5" customHeight="1">
      <c r="A959" s="50"/>
      <c r="B959" s="102"/>
      <c r="C959" s="17"/>
      <c r="D959" s="102"/>
      <c r="E959" s="48"/>
      <c r="F959" s="48"/>
      <c r="G959" s="49"/>
      <c r="H959" s="49"/>
      <c r="I959" s="49"/>
      <c r="J959" s="49"/>
      <c r="K959" s="49"/>
      <c r="L959" s="24"/>
      <c r="M959" s="103"/>
    </row>
    <row r="960" spans="1:13" ht="22.5" customHeight="1">
      <c r="A960" s="50"/>
      <c r="B960" s="102"/>
      <c r="C960" s="17"/>
      <c r="D960" s="102"/>
      <c r="E960" s="48"/>
      <c r="F960" s="48"/>
      <c r="G960" s="49"/>
      <c r="H960" s="49"/>
      <c r="I960" s="49"/>
      <c r="J960" s="49"/>
      <c r="K960" s="49"/>
      <c r="L960" s="24"/>
      <c r="M960" s="103"/>
    </row>
    <row r="961" spans="1:13" ht="22.5" customHeight="1">
      <c r="A961" s="50"/>
      <c r="B961" s="102"/>
      <c r="C961" s="17"/>
      <c r="D961" s="102"/>
      <c r="E961" s="48"/>
      <c r="F961" s="48"/>
      <c r="G961" s="49"/>
      <c r="H961" s="49"/>
      <c r="I961" s="49"/>
      <c r="J961" s="49"/>
      <c r="K961" s="49"/>
      <c r="L961" s="24"/>
      <c r="M961" s="103"/>
    </row>
    <row r="962" spans="1:13" ht="22.5" customHeight="1">
      <c r="A962" s="50"/>
      <c r="B962" s="102"/>
      <c r="C962" s="17"/>
      <c r="D962" s="102"/>
      <c r="E962" s="48"/>
      <c r="F962" s="48"/>
      <c r="G962" s="49"/>
      <c r="H962" s="49"/>
      <c r="I962" s="49"/>
      <c r="J962" s="49"/>
      <c r="K962" s="49"/>
      <c r="L962" s="24"/>
      <c r="M962" s="103"/>
    </row>
    <row r="963" spans="1:13" ht="22.5" customHeight="1">
      <c r="A963" s="50"/>
      <c r="B963" s="102"/>
      <c r="C963" s="17"/>
      <c r="D963" s="102"/>
      <c r="E963" s="48"/>
      <c r="F963" s="48"/>
      <c r="G963" s="49"/>
      <c r="H963" s="49"/>
      <c r="I963" s="49"/>
      <c r="J963" s="49"/>
      <c r="K963" s="49"/>
      <c r="L963" s="24"/>
      <c r="M963" s="103"/>
    </row>
    <row r="964" spans="1:13" ht="22.5" customHeight="1">
      <c r="A964" s="50"/>
      <c r="B964" s="102"/>
      <c r="C964" s="17"/>
      <c r="D964" s="102"/>
      <c r="E964" s="48"/>
      <c r="F964" s="48"/>
      <c r="G964" s="49"/>
      <c r="H964" s="49"/>
      <c r="I964" s="49"/>
      <c r="J964" s="49"/>
      <c r="K964" s="49"/>
      <c r="L964" s="24"/>
      <c r="M964" s="103"/>
    </row>
    <row r="965" spans="1:13" ht="22.5" customHeight="1">
      <c r="A965" s="50"/>
      <c r="B965" s="102"/>
      <c r="C965" s="17"/>
      <c r="D965" s="102"/>
      <c r="E965" s="48"/>
      <c r="F965" s="48"/>
      <c r="G965" s="49"/>
      <c r="H965" s="49"/>
      <c r="I965" s="49"/>
      <c r="J965" s="49"/>
      <c r="K965" s="49"/>
      <c r="L965" s="24"/>
      <c r="M965" s="103"/>
    </row>
    <row r="966" spans="1:13" ht="22.5" customHeight="1">
      <c r="A966" s="50"/>
      <c r="B966" s="102"/>
      <c r="C966" s="17"/>
      <c r="D966" s="102"/>
      <c r="E966" s="48"/>
      <c r="F966" s="48"/>
      <c r="G966" s="49"/>
      <c r="H966" s="49"/>
      <c r="I966" s="49"/>
      <c r="J966" s="49"/>
      <c r="K966" s="49"/>
      <c r="L966" s="24"/>
      <c r="M966" s="103"/>
    </row>
    <row r="967" spans="1:13" ht="22.5" customHeight="1">
      <c r="A967" s="50"/>
      <c r="B967" s="102"/>
      <c r="C967" s="17"/>
      <c r="D967" s="102"/>
      <c r="E967" s="48"/>
      <c r="F967" s="48"/>
      <c r="G967" s="49"/>
      <c r="H967" s="49"/>
      <c r="I967" s="49"/>
      <c r="J967" s="49"/>
      <c r="K967" s="49"/>
      <c r="L967" s="24"/>
      <c r="M967" s="103"/>
    </row>
    <row r="968" spans="1:13" ht="22.5" customHeight="1">
      <c r="A968" s="50"/>
      <c r="B968" s="102"/>
      <c r="C968" s="17"/>
      <c r="D968" s="102"/>
      <c r="E968" s="48"/>
      <c r="F968" s="48"/>
      <c r="G968" s="49"/>
      <c r="H968" s="49"/>
      <c r="I968" s="49"/>
      <c r="J968" s="49"/>
      <c r="K968" s="49"/>
      <c r="L968" s="24"/>
      <c r="M968" s="103"/>
    </row>
    <row r="969" spans="1:13" ht="22.5" customHeight="1">
      <c r="A969" s="50"/>
      <c r="B969" s="102"/>
      <c r="C969" s="17"/>
      <c r="D969" s="102"/>
      <c r="E969" s="48"/>
      <c r="F969" s="48"/>
      <c r="G969" s="49"/>
      <c r="H969" s="49"/>
      <c r="I969" s="49"/>
      <c r="J969" s="49"/>
      <c r="K969" s="49"/>
      <c r="L969" s="24"/>
      <c r="M969" s="103"/>
    </row>
    <row r="970" spans="1:13" ht="22.5" customHeight="1">
      <c r="A970" s="50"/>
      <c r="B970" s="102"/>
      <c r="C970" s="17"/>
      <c r="D970" s="102"/>
      <c r="E970" s="48"/>
      <c r="F970" s="48"/>
      <c r="G970" s="49"/>
      <c r="H970" s="49"/>
      <c r="I970" s="49"/>
      <c r="J970" s="49"/>
      <c r="K970" s="49"/>
      <c r="L970" s="24"/>
      <c r="M970" s="103"/>
    </row>
    <row r="971" spans="1:13" ht="22.5" customHeight="1">
      <c r="A971" s="50"/>
      <c r="B971" s="102"/>
      <c r="C971" s="17"/>
      <c r="D971" s="102"/>
      <c r="E971" s="48"/>
      <c r="F971" s="48"/>
      <c r="G971" s="49"/>
      <c r="H971" s="49"/>
      <c r="I971" s="49"/>
      <c r="J971" s="49"/>
      <c r="K971" s="49"/>
      <c r="L971" s="24"/>
      <c r="M971" s="103"/>
    </row>
    <row r="972" spans="1:13" ht="22.5" customHeight="1">
      <c r="A972" s="50"/>
      <c r="B972" s="102"/>
      <c r="C972" s="17"/>
      <c r="D972" s="102"/>
      <c r="E972" s="48"/>
      <c r="F972" s="48"/>
      <c r="G972" s="49"/>
      <c r="H972" s="49"/>
      <c r="I972" s="49"/>
      <c r="J972" s="49"/>
      <c r="K972" s="49"/>
      <c r="L972" s="24"/>
      <c r="M972" s="103"/>
    </row>
    <row r="973" spans="1:13" ht="22.5" customHeight="1">
      <c r="A973" s="50"/>
      <c r="B973" s="102"/>
      <c r="C973" s="17"/>
      <c r="D973" s="102"/>
      <c r="E973" s="48"/>
      <c r="F973" s="48"/>
      <c r="G973" s="49"/>
      <c r="H973" s="49"/>
      <c r="I973" s="49"/>
      <c r="J973" s="49"/>
      <c r="K973" s="49"/>
      <c r="L973" s="24"/>
      <c r="M973" s="103"/>
    </row>
    <row r="974" spans="1:13" ht="22.5" customHeight="1">
      <c r="A974" s="50"/>
      <c r="B974" s="102"/>
      <c r="C974" s="17"/>
      <c r="D974" s="102"/>
      <c r="E974" s="48"/>
      <c r="F974" s="48"/>
      <c r="G974" s="49"/>
      <c r="H974" s="49"/>
      <c r="I974" s="49"/>
      <c r="J974" s="49"/>
      <c r="K974" s="49"/>
      <c r="L974" s="24"/>
      <c r="M974" s="103"/>
    </row>
    <row r="975" spans="1:13" ht="22.5" customHeight="1">
      <c r="A975" s="50"/>
      <c r="B975" s="102"/>
      <c r="C975" s="17"/>
      <c r="D975" s="102"/>
      <c r="E975" s="48"/>
      <c r="F975" s="48"/>
      <c r="G975" s="49"/>
      <c r="H975" s="49"/>
      <c r="I975" s="49"/>
      <c r="J975" s="49"/>
      <c r="K975" s="49"/>
      <c r="L975" s="24"/>
      <c r="M975" s="103"/>
    </row>
    <row r="976" spans="1:13" ht="22.5" customHeight="1">
      <c r="A976" s="50"/>
      <c r="B976" s="102"/>
      <c r="C976" s="17"/>
      <c r="D976" s="102"/>
      <c r="E976" s="48"/>
      <c r="F976" s="48"/>
      <c r="G976" s="49"/>
      <c r="H976" s="49"/>
      <c r="I976" s="49"/>
      <c r="J976" s="49"/>
      <c r="K976" s="49"/>
      <c r="L976" s="24"/>
      <c r="M976" s="103"/>
    </row>
    <row r="977" spans="1:13" ht="22.5" customHeight="1">
      <c r="A977" s="50"/>
      <c r="B977" s="102"/>
      <c r="C977" s="17"/>
      <c r="D977" s="102"/>
      <c r="E977" s="48"/>
      <c r="F977" s="48"/>
      <c r="G977" s="49"/>
      <c r="H977" s="49"/>
      <c r="I977" s="49"/>
      <c r="J977" s="49"/>
      <c r="K977" s="49"/>
      <c r="L977" s="24"/>
      <c r="M977" s="103"/>
    </row>
    <row r="978" spans="1:13" ht="22.5" customHeight="1">
      <c r="A978" s="50"/>
      <c r="B978" s="102"/>
      <c r="C978" s="17"/>
      <c r="D978" s="102"/>
      <c r="E978" s="48"/>
      <c r="F978" s="48"/>
      <c r="G978" s="49"/>
      <c r="H978" s="49"/>
      <c r="I978" s="49"/>
      <c r="J978" s="49"/>
      <c r="K978" s="49"/>
      <c r="L978" s="24"/>
      <c r="M978" s="103"/>
    </row>
    <row r="979" spans="1:13" ht="22.5" customHeight="1">
      <c r="A979" s="50"/>
      <c r="B979" s="102"/>
      <c r="C979" s="17"/>
      <c r="D979" s="102"/>
      <c r="E979" s="48"/>
      <c r="F979" s="48"/>
      <c r="G979" s="49"/>
      <c r="H979" s="49"/>
      <c r="I979" s="49"/>
      <c r="J979" s="49"/>
      <c r="K979" s="49"/>
      <c r="L979" s="24"/>
      <c r="M979" s="103"/>
    </row>
    <row r="980" spans="1:13" ht="22.5" customHeight="1">
      <c r="A980" s="50"/>
      <c r="B980" s="102"/>
      <c r="C980" s="17"/>
      <c r="D980" s="102"/>
      <c r="E980" s="48"/>
      <c r="F980" s="48"/>
      <c r="G980" s="49"/>
      <c r="H980" s="49"/>
      <c r="I980" s="49"/>
      <c r="J980" s="49"/>
      <c r="K980" s="49"/>
      <c r="L980" s="24"/>
      <c r="M980" s="103"/>
    </row>
    <row r="981" spans="1:13" ht="22.5" customHeight="1">
      <c r="A981" s="50"/>
      <c r="B981" s="102"/>
      <c r="C981" s="17"/>
      <c r="D981" s="102"/>
      <c r="E981" s="48"/>
      <c r="F981" s="48"/>
      <c r="G981" s="49"/>
      <c r="H981" s="49"/>
      <c r="I981" s="49"/>
      <c r="J981" s="49"/>
      <c r="K981" s="49"/>
      <c r="L981" s="24"/>
      <c r="M981" s="103"/>
    </row>
    <row r="982" spans="1:13" ht="22.5" customHeight="1">
      <c r="A982" s="50"/>
      <c r="B982" s="102"/>
      <c r="C982" s="17"/>
      <c r="D982" s="102"/>
      <c r="E982" s="48"/>
      <c r="F982" s="48"/>
      <c r="G982" s="49"/>
      <c r="H982" s="49"/>
      <c r="I982" s="49"/>
      <c r="J982" s="49"/>
      <c r="K982" s="49"/>
      <c r="L982" s="24"/>
      <c r="M982" s="103"/>
    </row>
    <row r="983" spans="1:13" ht="22.5" customHeight="1">
      <c r="A983" s="50"/>
      <c r="B983" s="102"/>
      <c r="C983" s="17"/>
      <c r="D983" s="102"/>
      <c r="E983" s="48"/>
      <c r="F983" s="48"/>
      <c r="G983" s="49"/>
      <c r="H983" s="49"/>
      <c r="I983" s="49"/>
      <c r="J983" s="49"/>
      <c r="K983" s="49"/>
      <c r="L983" s="24"/>
      <c r="M983" s="103"/>
    </row>
    <row r="984" spans="1:13" ht="22.5" customHeight="1">
      <c r="A984" s="50"/>
      <c r="B984" s="102"/>
      <c r="C984" s="17"/>
      <c r="D984" s="102"/>
      <c r="E984" s="48"/>
      <c r="F984" s="48"/>
      <c r="G984" s="49"/>
      <c r="H984" s="49"/>
      <c r="I984" s="49"/>
      <c r="J984" s="49"/>
      <c r="K984" s="49"/>
      <c r="L984" s="24"/>
      <c r="M984" s="103"/>
    </row>
    <row r="985" spans="1:13" ht="22.5" customHeight="1">
      <c r="A985" s="50"/>
      <c r="B985" s="102"/>
      <c r="C985" s="17"/>
      <c r="D985" s="102"/>
      <c r="E985" s="48"/>
      <c r="F985" s="48"/>
      <c r="G985" s="49"/>
      <c r="H985" s="49"/>
      <c r="I985" s="49"/>
      <c r="J985" s="49"/>
      <c r="K985" s="49"/>
      <c r="L985" s="24"/>
      <c r="M985" s="103"/>
    </row>
    <row r="986" spans="1:13" ht="22.5" customHeight="1">
      <c r="A986" s="50"/>
      <c r="B986" s="102"/>
      <c r="C986" s="17"/>
      <c r="D986" s="102"/>
      <c r="E986" s="48"/>
      <c r="F986" s="48"/>
      <c r="G986" s="49"/>
      <c r="H986" s="49"/>
      <c r="I986" s="49"/>
      <c r="J986" s="49"/>
      <c r="K986" s="49"/>
      <c r="L986" s="24"/>
      <c r="M986" s="103"/>
    </row>
    <row r="987" spans="1:13" ht="22.5" customHeight="1">
      <c r="A987" s="50"/>
      <c r="B987" s="102"/>
      <c r="C987" s="17"/>
      <c r="D987" s="102"/>
      <c r="E987" s="48"/>
      <c r="F987" s="48"/>
      <c r="G987" s="49"/>
      <c r="H987" s="49"/>
      <c r="I987" s="49"/>
      <c r="J987" s="49"/>
      <c r="K987" s="49"/>
      <c r="L987" s="24"/>
      <c r="M987" s="103"/>
    </row>
    <row r="988" spans="1:13" ht="22.5" customHeight="1">
      <c r="A988" s="50"/>
      <c r="B988" s="102"/>
      <c r="C988" s="17"/>
      <c r="D988" s="102"/>
      <c r="E988" s="48"/>
      <c r="F988" s="48"/>
      <c r="G988" s="49"/>
      <c r="H988" s="49"/>
      <c r="I988" s="49"/>
      <c r="J988" s="49"/>
      <c r="K988" s="49"/>
      <c r="L988" s="24"/>
      <c r="M988" s="103"/>
    </row>
    <row r="989" spans="1:13" ht="22.5" customHeight="1">
      <c r="A989" s="50"/>
      <c r="B989" s="102"/>
      <c r="C989" s="17"/>
      <c r="D989" s="102"/>
      <c r="E989" s="48"/>
      <c r="F989" s="48"/>
      <c r="G989" s="49"/>
      <c r="H989" s="49"/>
      <c r="I989" s="49"/>
      <c r="J989" s="49"/>
      <c r="K989" s="49"/>
      <c r="L989" s="24"/>
      <c r="M989" s="103"/>
    </row>
    <row r="990" spans="1:13" ht="22.5" customHeight="1">
      <c r="A990" s="50"/>
      <c r="B990" s="102"/>
      <c r="C990" s="17"/>
      <c r="D990" s="102"/>
      <c r="E990" s="48"/>
      <c r="F990" s="48"/>
      <c r="G990" s="49"/>
      <c r="H990" s="49"/>
      <c r="I990" s="49"/>
      <c r="J990" s="49"/>
      <c r="K990" s="49"/>
      <c r="L990" s="24"/>
      <c r="M990" s="103"/>
    </row>
    <row r="991" spans="1:13" ht="22.5" customHeight="1">
      <c r="A991" s="50"/>
      <c r="B991" s="102"/>
      <c r="C991" s="17"/>
      <c r="D991" s="102"/>
      <c r="E991" s="48"/>
      <c r="F991" s="48"/>
      <c r="G991" s="49"/>
      <c r="H991" s="49"/>
      <c r="I991" s="49"/>
      <c r="J991" s="49"/>
      <c r="K991" s="49"/>
      <c r="L991" s="24"/>
      <c r="M991" s="103"/>
    </row>
    <row r="992" spans="1:13" ht="22.5" customHeight="1">
      <c r="A992" s="50"/>
      <c r="B992" s="102"/>
      <c r="C992" s="17"/>
      <c r="D992" s="102"/>
      <c r="E992" s="48"/>
      <c r="F992" s="48"/>
      <c r="G992" s="49"/>
      <c r="H992" s="49"/>
      <c r="I992" s="49"/>
      <c r="J992" s="49"/>
      <c r="K992" s="49"/>
      <c r="L992" s="24"/>
      <c r="M992" s="103"/>
    </row>
    <row r="993" spans="1:13" ht="22.5" customHeight="1">
      <c r="A993" s="50"/>
      <c r="B993" s="102"/>
      <c r="C993" s="17"/>
      <c r="D993" s="102"/>
      <c r="E993" s="48"/>
      <c r="F993" s="48"/>
      <c r="G993" s="49"/>
      <c r="H993" s="49"/>
      <c r="I993" s="49"/>
      <c r="J993" s="49"/>
      <c r="K993" s="49"/>
      <c r="L993" s="24"/>
      <c r="M993" s="103"/>
    </row>
    <row r="994" spans="1:13" ht="22.5" customHeight="1">
      <c r="A994" s="50"/>
      <c r="B994" s="102"/>
      <c r="C994" s="17"/>
      <c r="D994" s="102"/>
      <c r="E994" s="48"/>
      <c r="F994" s="48"/>
      <c r="G994" s="49"/>
      <c r="H994" s="49"/>
      <c r="I994" s="49"/>
      <c r="J994" s="49"/>
      <c r="K994" s="49"/>
      <c r="L994" s="24"/>
      <c r="M994" s="103"/>
    </row>
    <row r="995" spans="1:13" ht="22.5" customHeight="1">
      <c r="A995" s="50"/>
      <c r="B995" s="102"/>
      <c r="C995" s="17"/>
      <c r="D995" s="102"/>
      <c r="E995" s="48"/>
      <c r="F995" s="48"/>
      <c r="G995" s="49"/>
      <c r="H995" s="49"/>
      <c r="I995" s="49"/>
      <c r="J995" s="49"/>
      <c r="K995" s="49"/>
      <c r="L995" s="24"/>
      <c r="M995" s="103"/>
    </row>
  </sheetData>
  <dataValidations count="3">
    <dataValidation type="custom" allowBlank="1" showDropDown="1" sqref="F2:F301 H2:L301" xr:uid="{00000000-0002-0000-0400-000000000000}">
      <formula1>AND(ISNUMBER(F2),(NOT(OR(NOT(ISERROR(DATEVALUE(F2))), AND(ISNUMBER(F2), LEFT(CELL("format", F2))="D")))))</formula1>
    </dataValidation>
    <dataValidation type="list" allowBlank="1" sqref="B2:B301" xr:uid="{00000000-0002-0000-0400-000001000000}">
      <formula1>"None,Brass,Stainless Steel,Hardened Steel,Nickel-Plated Copper,Tungsten Carbide,Ruby-Tipped,Diamond,Sapphire"</formula1>
    </dataValidation>
    <dataValidation allowBlank="1" showDropDown="1" sqref="M2:M301 C2:E301 G2:G301 A2:A301" xr:uid="{00000000-0002-0000-0400-000002000000}"/>
  </dataValidations>
  <hyperlinks>
    <hyperlink ref="M3" r:id="rId1" xr:uid="{00000000-0004-0000-0400-000000000000}"/>
    <hyperlink ref="M4" r:id="rId2" xr:uid="{00000000-0004-0000-0400-000001000000}"/>
  </hyperlinks>
  <pageMargins left="0.7" right="0.7" top="0.75" bottom="0.75" header="0.3" footer="0.3"/>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G995"/>
  <sheetViews>
    <sheetView workbookViewId="0">
      <pane ySplit="1" topLeftCell="A2" activePane="bottomLeft" state="frozen"/>
      <selection pane="bottomLeft"/>
    </sheetView>
  </sheetViews>
  <sheetFormatPr defaultColWidth="12.5703125" defaultRowHeight="22.5" customHeight="1"/>
  <cols>
    <col min="1" max="1" width="5.28515625" style="112" customWidth="1"/>
    <col min="2" max="2" width="16.28515625" style="14" customWidth="1"/>
    <col min="3" max="3" width="32.140625" style="14" customWidth="1"/>
    <col min="4" max="4" width="24.28515625" style="14" customWidth="1"/>
    <col min="5" max="5" width="16.5703125" style="14" customWidth="1"/>
    <col min="6" max="6" width="24.5703125" style="14" customWidth="1"/>
    <col min="7" max="7" width="17.5703125" style="14" customWidth="1"/>
    <col min="8" max="8" width="14.85546875" style="14" customWidth="1"/>
    <col min="9" max="9" width="13.28515625" style="14" customWidth="1"/>
    <col min="10" max="10" width="18.42578125" style="14" customWidth="1"/>
    <col min="11" max="11" width="21.28515625" style="14" customWidth="1"/>
    <col min="12" max="12" width="27.28515625" style="14" customWidth="1"/>
    <col min="13" max="13" width="48.5703125" style="14" bestFit="1" customWidth="1"/>
    <col min="14" max="16384" width="12.5703125" style="14"/>
  </cols>
  <sheetData>
    <row r="1" spans="1:33" ht="22.5" customHeight="1">
      <c r="A1" s="110" t="s">
        <v>48</v>
      </c>
      <c r="B1" s="91" t="s">
        <v>61</v>
      </c>
      <c r="C1" s="91" t="s">
        <v>64</v>
      </c>
      <c r="D1" s="91" t="s">
        <v>67</v>
      </c>
      <c r="E1" s="92" t="s">
        <v>68</v>
      </c>
      <c r="F1" s="91" t="s">
        <v>103</v>
      </c>
      <c r="G1" s="91" t="s">
        <v>104</v>
      </c>
      <c r="H1" s="93" t="s">
        <v>74</v>
      </c>
      <c r="I1" s="93" t="s">
        <v>75</v>
      </c>
      <c r="J1" s="93" t="s">
        <v>77</v>
      </c>
      <c r="K1" s="93" t="s">
        <v>78</v>
      </c>
      <c r="L1" s="91" t="s">
        <v>80</v>
      </c>
      <c r="M1" s="94" t="s">
        <v>240</v>
      </c>
      <c r="N1" s="45"/>
      <c r="O1" s="45"/>
      <c r="P1" s="45"/>
      <c r="Q1" s="45"/>
      <c r="R1" s="45"/>
      <c r="S1" s="45"/>
      <c r="T1" s="45"/>
      <c r="U1" s="45"/>
      <c r="V1" s="45"/>
      <c r="W1" s="45"/>
      <c r="X1" s="45"/>
      <c r="Y1" s="45"/>
      <c r="Z1" s="45"/>
      <c r="AA1" s="45"/>
      <c r="AB1" s="45"/>
      <c r="AC1" s="45"/>
      <c r="AD1" s="45"/>
      <c r="AE1" s="45"/>
      <c r="AF1" s="45"/>
      <c r="AG1" s="45"/>
    </row>
    <row r="2" spans="1:33" ht="22.5" customHeight="1">
      <c r="A2" s="111" t="str">
        <f ca="1">IF(PLATES[[#This Row],[PRODUCT]] &lt;&gt; "", IF(ROW() = 2, "000", TEXT(INDIRECT("A" &amp; ROW() - 1) + 1, "000")), "")</f>
        <v>000</v>
      </c>
      <c r="B2" s="96" t="s">
        <v>98</v>
      </c>
      <c r="C2" s="95" t="s">
        <v>99</v>
      </c>
      <c r="D2" s="95" t="s">
        <v>99</v>
      </c>
      <c r="E2" s="95" t="s">
        <v>99</v>
      </c>
      <c r="F2" s="104" t="s">
        <v>99</v>
      </c>
      <c r="G2" s="97">
        <v>0</v>
      </c>
      <c r="H2" s="100">
        <v>0</v>
      </c>
      <c r="I2" s="100">
        <f>H2 * salesTaxPct</f>
        <v>0</v>
      </c>
      <c r="J2" s="100">
        <v>0</v>
      </c>
      <c r="K2" s="100">
        <f t="shared" ref="K2:K4" si="0">H2 + I2 + J2</f>
        <v>0</v>
      </c>
      <c r="L2" s="95"/>
      <c r="M2" s="96" t="str">
        <f ca="1">IF(PLATES[[#This Row],[ID]] &lt;&gt; "", IF(A2 = "000", A2 &amp; " | None", A2 &amp; " | " &amp; C2 &amp; " | " &amp; D2), "")</f>
        <v>000 | None</v>
      </c>
    </row>
    <row r="3" spans="1:33" ht="22.5" customHeight="1">
      <c r="A3" s="111" t="str">
        <f ca="1">IF(PLATES[[#This Row],[PRODUCT]] &lt;&gt; "", IF(ROW() = 2, "000", TEXT(INDIRECT("A" &amp; ROW() - 1) + 1, "000")), "")</f>
        <v>001</v>
      </c>
      <c r="B3" s="95" t="s">
        <v>241</v>
      </c>
      <c r="C3" s="95" t="s">
        <v>243</v>
      </c>
      <c r="D3" s="95" t="s">
        <v>119</v>
      </c>
      <c r="E3" s="95" t="s">
        <v>119</v>
      </c>
      <c r="F3" s="98" t="s">
        <v>128</v>
      </c>
      <c r="G3" s="97">
        <v>8000</v>
      </c>
      <c r="H3" s="100">
        <v>37.99</v>
      </c>
      <c r="I3" s="100">
        <f>H3 * salesTaxPct</f>
        <v>0</v>
      </c>
      <c r="J3" s="100">
        <v>16.71</v>
      </c>
      <c r="K3" s="100">
        <f t="shared" si="0"/>
        <v>54.7</v>
      </c>
      <c r="L3" s="101" t="s">
        <v>246</v>
      </c>
      <c r="M3" s="96" t="str">
        <f ca="1">IF(PLATES[[#This Row],[ID]] &lt;&gt; "", IF(A3 = "000", A3 &amp; " | None", A3 &amp; " | " &amp; C3 &amp; " | " &amp; D3), "")</f>
        <v>001 | CORE One Smooth PEI Print Sheet | Prusa</v>
      </c>
    </row>
    <row r="4" spans="1:33" ht="22.5" customHeight="1">
      <c r="A4" s="111" t="str">
        <f ca="1">IF(PLATES[[#This Row],[PRODUCT]] &lt;&gt; "", IF(ROW() = 2, "000", TEXT(INDIRECT("A" &amp; ROW() - 1) + 1, "000")), "")</f>
        <v>002</v>
      </c>
      <c r="B4" s="95" t="s">
        <v>247</v>
      </c>
      <c r="C4" s="95" t="s">
        <v>248</v>
      </c>
      <c r="D4" s="95" t="s">
        <v>119</v>
      </c>
      <c r="E4" s="95" t="s">
        <v>119</v>
      </c>
      <c r="F4" s="98" t="s">
        <v>128</v>
      </c>
      <c r="G4" s="97">
        <v>8000</v>
      </c>
      <c r="H4" s="100">
        <v>43.99</v>
      </c>
      <c r="I4" s="100">
        <f>H4 * salesTaxPct</f>
        <v>0</v>
      </c>
      <c r="J4" s="100">
        <v>16.350000000000001</v>
      </c>
      <c r="K4" s="100">
        <f t="shared" si="0"/>
        <v>60.34</v>
      </c>
      <c r="L4" s="105" t="s">
        <v>249</v>
      </c>
      <c r="M4" s="96" t="str">
        <f ca="1">IF(PLATES[[#This Row],[ID]] &lt;&gt; "", IF(A4 = "000", A4 &amp; " | None", A4 &amp; " | " &amp; C4 &amp; " | " &amp; D4), "")</f>
        <v>002 | Textured Powder-Coated Print Sheet | Prusa</v>
      </c>
    </row>
    <row r="5" spans="1:33" ht="22.5" customHeight="1">
      <c r="A5" s="111" t="str">
        <f ca="1">IF(PLATES[[#This Row],[PRODUCT]] &lt;&gt; "", IF(ROW() = 2, "000", TEXT(INDIRECT("A" &amp; ROW() - 1) + 1, "000")), "")</f>
        <v/>
      </c>
      <c r="B5" s="102"/>
      <c r="C5" s="17"/>
      <c r="D5" s="102"/>
      <c r="E5" s="48"/>
      <c r="F5" s="49"/>
      <c r="G5" s="49"/>
      <c r="H5" s="49"/>
      <c r="I5" s="49"/>
      <c r="J5" s="49"/>
      <c r="K5" s="24"/>
      <c r="L5" s="103"/>
      <c r="M5" s="14" t="str">
        <f ca="1">IF(PLATES[[#This Row],[ID]] &lt;&gt; "", IF(A5 = "000", A5 &amp; " | None", A5 &amp; " | " &amp; C5 &amp; " | " &amp; D5), "")</f>
        <v/>
      </c>
    </row>
    <row r="6" spans="1:33" ht="22.5" customHeight="1">
      <c r="A6" s="111" t="str">
        <f ca="1">IF(PLATES[[#This Row],[PRODUCT]] &lt;&gt; "", IF(ROW() = 2, "000", TEXT(INDIRECT("A" &amp; ROW() - 1) + 1, "000")), "")</f>
        <v/>
      </c>
      <c r="B6" s="102"/>
      <c r="C6" s="17"/>
      <c r="D6" s="102"/>
      <c r="E6" s="48"/>
      <c r="F6" s="49"/>
      <c r="G6" s="49"/>
      <c r="H6" s="49"/>
      <c r="I6" s="49"/>
      <c r="J6" s="49"/>
      <c r="K6" s="24"/>
      <c r="L6" s="103"/>
      <c r="M6" s="14" t="str">
        <f ca="1">IF(PLATES[[#This Row],[ID]] &lt;&gt; "", IF(A6 = "000", A6 &amp; " | None", A6 &amp; " | " &amp; C6 &amp; " | " &amp; D6), "")</f>
        <v/>
      </c>
    </row>
    <row r="7" spans="1:33" ht="22.5" customHeight="1">
      <c r="A7" s="111" t="str">
        <f ca="1">IF(PLATES[[#This Row],[PRODUCT]] &lt;&gt; "", IF(ROW() = 2, "000", TEXT(INDIRECT("A" &amp; ROW() - 1) + 1, "000")), "")</f>
        <v/>
      </c>
      <c r="B7" s="102"/>
      <c r="C7" s="17"/>
      <c r="D7" s="102"/>
      <c r="E7" s="48"/>
      <c r="F7" s="49"/>
      <c r="G7" s="49"/>
      <c r="H7" s="49"/>
      <c r="I7" s="49"/>
      <c r="J7" s="49"/>
      <c r="K7" s="24"/>
      <c r="L7" s="103"/>
      <c r="M7" s="14" t="str">
        <f ca="1">IF(PLATES[[#This Row],[ID]] &lt;&gt; "", IF(A7 = "000", A7 &amp; " | None", A7 &amp; " | " &amp; C7 &amp; " | " &amp; D7), "")</f>
        <v/>
      </c>
    </row>
    <row r="8" spans="1:33" ht="22.5" customHeight="1">
      <c r="A8" s="111" t="str">
        <f ca="1">IF(PLATES[[#This Row],[PRODUCT]] &lt;&gt; "", IF(ROW() = 2, "000", TEXT(INDIRECT("A" &amp; ROW() - 1) + 1, "000")), "")</f>
        <v/>
      </c>
      <c r="B8" s="102"/>
      <c r="C8" s="17"/>
      <c r="D8" s="102"/>
      <c r="E8" s="48"/>
      <c r="F8" s="49"/>
      <c r="G8" s="49"/>
      <c r="H8" s="49"/>
      <c r="I8" s="49"/>
      <c r="J8" s="49"/>
      <c r="K8" s="24"/>
      <c r="L8" s="103"/>
      <c r="M8" s="14" t="str">
        <f ca="1">IF(PLATES[[#This Row],[ID]] &lt;&gt; "", IF(A8 = "000", A8 &amp; " | None", A8 &amp; " | " &amp; C8 &amp; " | " &amp; D8), "")</f>
        <v/>
      </c>
    </row>
    <row r="9" spans="1:33" ht="22.5" customHeight="1">
      <c r="A9" s="111" t="str">
        <f ca="1">IF(PLATES[[#This Row],[PRODUCT]] &lt;&gt; "", IF(ROW() = 2, "000", TEXT(INDIRECT("A" &amp; ROW() - 1) + 1, "000")), "")</f>
        <v/>
      </c>
      <c r="B9" s="102"/>
      <c r="C9" s="17"/>
      <c r="D9" s="102"/>
      <c r="E9" s="48"/>
      <c r="F9" s="49"/>
      <c r="G9" s="49"/>
      <c r="H9" s="49"/>
      <c r="I9" s="49"/>
      <c r="J9" s="49"/>
      <c r="K9" s="24"/>
      <c r="L9" s="103"/>
      <c r="M9" s="14" t="str">
        <f ca="1">IF(PLATES[[#This Row],[ID]] &lt;&gt; "", IF(A9 = "000", A9 &amp; " | None", A9 &amp; " | " &amp; C9 &amp; " | " &amp; D9), "")</f>
        <v/>
      </c>
    </row>
    <row r="10" spans="1:33" ht="22.5" customHeight="1">
      <c r="A10" s="111" t="str">
        <f ca="1">IF(PLATES[[#This Row],[PRODUCT]] &lt;&gt; "", IF(ROW() = 2, "000", TEXT(INDIRECT("A" &amp; ROW() - 1) + 1, "000")), "")</f>
        <v/>
      </c>
      <c r="B10" s="102"/>
      <c r="C10" s="17"/>
      <c r="D10" s="102"/>
      <c r="E10" s="48"/>
      <c r="F10" s="49"/>
      <c r="G10" s="49"/>
      <c r="H10" s="49"/>
      <c r="I10" s="49"/>
      <c r="J10" s="49"/>
      <c r="K10" s="24"/>
      <c r="L10" s="103"/>
      <c r="M10" s="14" t="str">
        <f ca="1">IF(PLATES[[#This Row],[ID]] &lt;&gt; "", IF(A10 = "000", A10 &amp; " | None", A10 &amp; " | " &amp; C10 &amp; " | " &amp; D10), "")</f>
        <v/>
      </c>
    </row>
    <row r="11" spans="1:33" ht="22.5" customHeight="1">
      <c r="A11" s="111" t="str">
        <f ca="1">IF(PLATES[[#This Row],[PRODUCT]] &lt;&gt; "", IF(ROW() = 2, "000", TEXT(INDIRECT("A" &amp; ROW() - 1) + 1, "000")), "")</f>
        <v/>
      </c>
      <c r="B11" s="102"/>
      <c r="C11" s="17"/>
      <c r="D11" s="102"/>
      <c r="E11" s="48"/>
      <c r="F11" s="49"/>
      <c r="G11" s="49"/>
      <c r="H11" s="49"/>
      <c r="I11" s="49"/>
      <c r="J11" s="49"/>
      <c r="K11" s="24"/>
      <c r="L11" s="103"/>
      <c r="M11" s="14" t="str">
        <f ca="1">IF(PLATES[[#This Row],[ID]] &lt;&gt; "", IF(A11 = "000", A11 &amp; " | None", A11 &amp; " | " &amp; C11 &amp; " | " &amp; D11), "")</f>
        <v/>
      </c>
    </row>
    <row r="12" spans="1:33" ht="22.5" customHeight="1">
      <c r="A12" s="111" t="str">
        <f ca="1">IF(PLATES[[#This Row],[PRODUCT]] &lt;&gt; "", IF(ROW() = 2, "000", TEXT(INDIRECT("A" &amp; ROW() - 1) + 1, "000")), "")</f>
        <v/>
      </c>
      <c r="B12" s="102"/>
      <c r="C12" s="17"/>
      <c r="D12" s="102"/>
      <c r="E12" s="48"/>
      <c r="F12" s="49"/>
      <c r="G12" s="49"/>
      <c r="H12" s="49"/>
      <c r="I12" s="49"/>
      <c r="J12" s="49"/>
      <c r="K12" s="24"/>
      <c r="L12" s="103"/>
      <c r="M12" s="14" t="str">
        <f ca="1">IF(PLATES[[#This Row],[ID]] &lt;&gt; "", IF(A12 = "000", A12 &amp; " | None", A12 &amp; " | " &amp; C12 &amp; " | " &amp; D12), "")</f>
        <v/>
      </c>
    </row>
    <row r="13" spans="1:33" ht="22.5" customHeight="1">
      <c r="A13" s="111" t="str">
        <f ca="1">IF(PLATES[[#This Row],[PRODUCT]] &lt;&gt; "", IF(ROW() = 2, "000", TEXT(INDIRECT("A" &amp; ROW() - 1) + 1, "000")), "")</f>
        <v/>
      </c>
      <c r="B13" s="102"/>
      <c r="C13" s="17"/>
      <c r="D13" s="102"/>
      <c r="E13" s="48"/>
      <c r="F13" s="49"/>
      <c r="G13" s="49"/>
      <c r="H13" s="49"/>
      <c r="I13" s="49"/>
      <c r="J13" s="49"/>
      <c r="K13" s="24"/>
      <c r="L13" s="103"/>
      <c r="M13" s="14" t="str">
        <f ca="1">IF(PLATES[[#This Row],[ID]] &lt;&gt; "", IF(A13 = "000", A13 &amp; " | None", A13 &amp; " | " &amp; C13 &amp; " | " &amp; D13), "")</f>
        <v/>
      </c>
    </row>
    <row r="14" spans="1:33" ht="22.5" customHeight="1">
      <c r="A14" s="111" t="str">
        <f ca="1">IF(PLATES[[#This Row],[PRODUCT]] &lt;&gt; "", IF(ROW() = 2, "000", TEXT(INDIRECT("A" &amp; ROW() - 1) + 1, "000")), "")</f>
        <v/>
      </c>
      <c r="B14" s="102"/>
      <c r="C14" s="17"/>
      <c r="D14" s="102"/>
      <c r="E14" s="48"/>
      <c r="F14" s="49"/>
      <c r="G14" s="49"/>
      <c r="H14" s="49"/>
      <c r="I14" s="49"/>
      <c r="J14" s="49"/>
      <c r="K14" s="24"/>
      <c r="L14" s="103"/>
      <c r="M14" s="14" t="str">
        <f ca="1">IF(PLATES[[#This Row],[ID]] &lt;&gt; "", IF(A14 = "000", A14 &amp; " | None", A14 &amp; " | " &amp; C14 &amp; " | " &amp; D14), "")</f>
        <v/>
      </c>
    </row>
    <row r="15" spans="1:33" ht="22.5" customHeight="1">
      <c r="A15" s="111" t="str">
        <f ca="1">IF(PLATES[[#This Row],[PRODUCT]] &lt;&gt; "", IF(ROW() = 2, "000", TEXT(INDIRECT("A" &amp; ROW() - 1) + 1, "000")), "")</f>
        <v/>
      </c>
      <c r="B15" s="102"/>
      <c r="C15" s="17"/>
      <c r="D15" s="102"/>
      <c r="E15" s="48"/>
      <c r="F15" s="49"/>
      <c r="G15" s="49"/>
      <c r="H15" s="49"/>
      <c r="I15" s="49"/>
      <c r="J15" s="49"/>
      <c r="K15" s="24"/>
      <c r="L15" s="103"/>
      <c r="M15" s="14" t="str">
        <f ca="1">IF(PLATES[[#This Row],[ID]] &lt;&gt; "", IF(A15 = "000", A15 &amp; " | None", A15 &amp; " | " &amp; C15 &amp; " | " &amp; D15), "")</f>
        <v/>
      </c>
    </row>
    <row r="16" spans="1:33" ht="22.5" customHeight="1">
      <c r="A16" s="111" t="str">
        <f ca="1">IF(PLATES[[#This Row],[PRODUCT]] &lt;&gt; "", IF(ROW() = 2, "000", TEXT(INDIRECT("A" &amp; ROW() - 1) + 1, "000")), "")</f>
        <v/>
      </c>
      <c r="B16" s="102"/>
      <c r="C16" s="17"/>
      <c r="D16" s="102"/>
      <c r="E16" s="48"/>
      <c r="F16" s="49"/>
      <c r="G16" s="49"/>
      <c r="H16" s="49"/>
      <c r="I16" s="49"/>
      <c r="J16" s="49"/>
      <c r="K16" s="24"/>
      <c r="L16" s="103"/>
      <c r="M16" s="14" t="str">
        <f ca="1">IF(PLATES[[#This Row],[ID]] &lt;&gt; "", IF(A16 = "000", A16 &amp; " | None", A16 &amp; " | " &amp; C16 &amp; " | " &amp; D16), "")</f>
        <v/>
      </c>
    </row>
    <row r="17" spans="1:13" ht="22.5" customHeight="1">
      <c r="A17" s="111" t="str">
        <f ca="1">IF(PLATES[[#This Row],[PRODUCT]] &lt;&gt; "", IF(ROW() = 2, "000", TEXT(INDIRECT("A" &amp; ROW() - 1) + 1, "000")), "")</f>
        <v/>
      </c>
      <c r="B17" s="102"/>
      <c r="C17" s="17"/>
      <c r="D17" s="102"/>
      <c r="E17" s="48"/>
      <c r="F17" s="49"/>
      <c r="G17" s="49"/>
      <c r="H17" s="49"/>
      <c r="I17" s="49"/>
      <c r="J17" s="49"/>
      <c r="K17" s="24"/>
      <c r="L17" s="103"/>
      <c r="M17" s="14" t="str">
        <f ca="1">IF(PLATES[[#This Row],[ID]] &lt;&gt; "", IF(A17 = "000", A17 &amp; " | None", A17 &amp; " | " &amp; C17 &amp; " | " &amp; D17), "")</f>
        <v/>
      </c>
    </row>
    <row r="18" spans="1:13" ht="22.5" customHeight="1">
      <c r="A18" s="111" t="str">
        <f ca="1">IF(PLATES[[#This Row],[PRODUCT]] &lt;&gt; "", IF(ROW() = 2, "000", TEXT(INDIRECT("A" &amp; ROW() - 1) + 1, "000")), "")</f>
        <v/>
      </c>
      <c r="B18" s="102"/>
      <c r="C18" s="17"/>
      <c r="D18" s="102"/>
      <c r="E18" s="48"/>
      <c r="F18" s="49"/>
      <c r="G18" s="49"/>
      <c r="H18" s="49"/>
      <c r="I18" s="49"/>
      <c r="J18" s="49"/>
      <c r="K18" s="24"/>
      <c r="L18" s="103"/>
      <c r="M18" s="14" t="str">
        <f ca="1">IF(PLATES[[#This Row],[ID]] &lt;&gt; "", IF(A18 = "000", A18 &amp; " | None", A18 &amp; " | " &amp; C18 &amp; " | " &amp; D18), "")</f>
        <v/>
      </c>
    </row>
    <row r="19" spans="1:13" ht="22.5" customHeight="1">
      <c r="A19" s="111" t="str">
        <f ca="1">IF(PLATES[[#This Row],[PRODUCT]] &lt;&gt; "", IF(ROW() = 2, "000", TEXT(INDIRECT("A" &amp; ROW() - 1) + 1, "000")), "")</f>
        <v/>
      </c>
      <c r="B19" s="102"/>
      <c r="C19" s="17"/>
      <c r="D19" s="102"/>
      <c r="E19" s="48"/>
      <c r="F19" s="49"/>
      <c r="G19" s="49"/>
      <c r="H19" s="49"/>
      <c r="I19" s="49"/>
      <c r="J19" s="49"/>
      <c r="K19" s="24"/>
      <c r="L19" s="103"/>
      <c r="M19" s="14" t="str">
        <f ca="1">IF(PLATES[[#This Row],[ID]] &lt;&gt; "", IF(A19 = "000", A19 &amp; " | None", A19 &amp; " | " &amp; C19 &amp; " | " &amp; D19), "")</f>
        <v/>
      </c>
    </row>
    <row r="20" spans="1:13" ht="22.5" customHeight="1">
      <c r="A20" s="111" t="str">
        <f ca="1">IF(PLATES[[#This Row],[PRODUCT]] &lt;&gt; "", IF(ROW() = 2, "000", TEXT(INDIRECT("A" &amp; ROW() - 1) + 1, "000")), "")</f>
        <v/>
      </c>
      <c r="B20" s="102"/>
      <c r="C20" s="17"/>
      <c r="D20" s="102"/>
      <c r="E20" s="48"/>
      <c r="F20" s="49"/>
      <c r="G20" s="49"/>
      <c r="H20" s="49"/>
      <c r="I20" s="49"/>
      <c r="J20" s="49"/>
      <c r="K20" s="24"/>
      <c r="L20" s="103"/>
      <c r="M20" s="14" t="str">
        <f ca="1">IF(PLATES[[#This Row],[ID]] &lt;&gt; "", IF(A20 = "000", A20 &amp; " | None", A20 &amp; " | " &amp; C20 &amp; " | " &amp; D20), "")</f>
        <v/>
      </c>
    </row>
    <row r="21" spans="1:13" ht="22.5" customHeight="1">
      <c r="A21" s="111" t="str">
        <f ca="1">IF(PLATES[[#This Row],[PRODUCT]] &lt;&gt; "", IF(ROW() = 2, "000", TEXT(INDIRECT("A" &amp; ROW() - 1) + 1, "000")), "")</f>
        <v/>
      </c>
      <c r="B21" s="102"/>
      <c r="C21" s="17"/>
      <c r="D21" s="102"/>
      <c r="E21" s="48"/>
      <c r="F21" s="49"/>
      <c r="G21" s="49"/>
      <c r="H21" s="49"/>
      <c r="I21" s="49"/>
      <c r="J21" s="49"/>
      <c r="K21" s="24"/>
      <c r="L21" s="103"/>
      <c r="M21" s="14" t="str">
        <f ca="1">IF(PLATES[[#This Row],[ID]] &lt;&gt; "", IF(A21 = "000", A21 &amp; " | None", A21 &amp; " | " &amp; C21 &amp; " | " &amp; D21), "")</f>
        <v/>
      </c>
    </row>
    <row r="22" spans="1:13" ht="22.5" customHeight="1">
      <c r="A22" s="111" t="str">
        <f ca="1">IF(PLATES[[#This Row],[PRODUCT]] &lt;&gt; "", IF(ROW() = 2, "000", TEXT(INDIRECT("A" &amp; ROW() - 1) + 1, "000")), "")</f>
        <v/>
      </c>
      <c r="B22" s="102"/>
      <c r="C22" s="17"/>
      <c r="D22" s="102"/>
      <c r="E22" s="48"/>
      <c r="F22" s="49"/>
      <c r="G22" s="49"/>
      <c r="H22" s="49"/>
      <c r="I22" s="49"/>
      <c r="J22" s="49"/>
      <c r="K22" s="24"/>
      <c r="L22" s="103"/>
      <c r="M22" s="14" t="str">
        <f ca="1">IF(PLATES[[#This Row],[ID]] &lt;&gt; "", IF(A22 = "000", A22 &amp; " | None", A22 &amp; " | " &amp; C22 &amp; " | " &amp; D22), "")</f>
        <v/>
      </c>
    </row>
    <row r="23" spans="1:13" ht="22.5" customHeight="1">
      <c r="A23" s="111" t="str">
        <f ca="1">IF(PLATES[[#This Row],[PRODUCT]] &lt;&gt; "", IF(ROW() = 2, "000", TEXT(INDIRECT("A" &amp; ROW() - 1) + 1, "000")), "")</f>
        <v/>
      </c>
      <c r="B23" s="102"/>
      <c r="C23" s="17"/>
      <c r="D23" s="102"/>
      <c r="E23" s="48"/>
      <c r="F23" s="49"/>
      <c r="G23" s="49"/>
      <c r="H23" s="49"/>
      <c r="I23" s="49"/>
      <c r="J23" s="49"/>
      <c r="K23" s="24"/>
      <c r="L23" s="103"/>
      <c r="M23" s="14" t="str">
        <f ca="1">IF(PLATES[[#This Row],[ID]] &lt;&gt; "", IF(A23 = "000", A23 &amp; " | None", A23 &amp; " | " &amp; C23 &amp; " | " &amp; D23), "")</f>
        <v/>
      </c>
    </row>
    <row r="24" spans="1:13" ht="22.5" customHeight="1">
      <c r="A24" s="111" t="str">
        <f ca="1">IF(PLATES[[#This Row],[PRODUCT]] &lt;&gt; "", IF(ROW() = 2, "000", TEXT(INDIRECT("A" &amp; ROW() - 1) + 1, "000")), "")</f>
        <v/>
      </c>
      <c r="B24" s="102"/>
      <c r="C24" s="17"/>
      <c r="D24" s="102"/>
      <c r="E24" s="48"/>
      <c r="F24" s="49"/>
      <c r="G24" s="49"/>
      <c r="H24" s="49"/>
      <c r="I24" s="49"/>
      <c r="J24" s="49"/>
      <c r="K24" s="24"/>
      <c r="L24" s="103"/>
      <c r="M24" s="14" t="str">
        <f ca="1">IF(PLATES[[#This Row],[ID]] &lt;&gt; "", IF(A24 = "000", A24 &amp; " | None", A24 &amp; " | " &amp; C24 &amp; " | " &amp; D24), "")</f>
        <v/>
      </c>
    </row>
    <row r="25" spans="1:13" ht="22.5" customHeight="1">
      <c r="A25" s="111" t="str">
        <f ca="1">IF(PLATES[[#This Row],[PRODUCT]] &lt;&gt; "", IF(ROW() = 2, "000", TEXT(INDIRECT("A" &amp; ROW() - 1) + 1, "000")), "")</f>
        <v/>
      </c>
      <c r="B25" s="102"/>
      <c r="C25" s="17"/>
      <c r="D25" s="102"/>
      <c r="E25" s="48"/>
      <c r="F25" s="49"/>
      <c r="G25" s="49"/>
      <c r="H25" s="49"/>
      <c r="I25" s="49"/>
      <c r="J25" s="49"/>
      <c r="K25" s="24"/>
      <c r="L25" s="103"/>
      <c r="M25" s="14" t="str">
        <f ca="1">IF(PLATES[[#This Row],[ID]] &lt;&gt; "", IF(A25 = "000", A25 &amp; " | None", A25 &amp; " | " &amp; C25 &amp; " | " &amp; D25), "")</f>
        <v/>
      </c>
    </row>
    <row r="26" spans="1:13" ht="22.5" customHeight="1">
      <c r="A26" s="111" t="str">
        <f ca="1">IF(PLATES[[#This Row],[PRODUCT]] &lt;&gt; "", IF(ROW() = 2, "000", TEXT(INDIRECT("A" &amp; ROW() - 1) + 1, "000")), "")</f>
        <v/>
      </c>
      <c r="B26" s="102"/>
      <c r="C26" s="17"/>
      <c r="D26" s="102"/>
      <c r="E26" s="48"/>
      <c r="F26" s="49"/>
      <c r="G26" s="49"/>
      <c r="H26" s="49"/>
      <c r="I26" s="49"/>
      <c r="J26" s="49"/>
      <c r="K26" s="24"/>
      <c r="L26" s="103"/>
      <c r="M26" s="14" t="str">
        <f ca="1">IF(PLATES[[#This Row],[ID]] &lt;&gt; "", IF(A26 = "000", A26 &amp; " | None", A26 &amp; " | " &amp; C26 &amp; " | " &amp; D26), "")</f>
        <v/>
      </c>
    </row>
    <row r="27" spans="1:13" ht="22.5" customHeight="1">
      <c r="A27" s="111" t="str">
        <f ca="1">IF(PLATES[[#This Row],[PRODUCT]] &lt;&gt; "", IF(ROW() = 2, "000", TEXT(INDIRECT("A" &amp; ROW() - 1) + 1, "000")), "")</f>
        <v/>
      </c>
      <c r="B27" s="102"/>
      <c r="C27" s="17"/>
      <c r="D27" s="102"/>
      <c r="E27" s="48"/>
      <c r="F27" s="49"/>
      <c r="G27" s="49"/>
      <c r="H27" s="49"/>
      <c r="I27" s="49"/>
      <c r="J27" s="49"/>
      <c r="K27" s="24"/>
      <c r="L27" s="103"/>
      <c r="M27" s="14" t="str">
        <f ca="1">IF(PLATES[[#This Row],[ID]] &lt;&gt; "", IF(A27 = "000", A27 &amp; " | None", A27 &amp; " | " &amp; C27 &amp; " | " &amp; D27), "")</f>
        <v/>
      </c>
    </row>
    <row r="28" spans="1:13" ht="22.5" customHeight="1">
      <c r="A28" s="111" t="str">
        <f ca="1">IF(PLATES[[#This Row],[PRODUCT]] &lt;&gt; "", IF(ROW() = 2, "000", TEXT(INDIRECT("A" &amp; ROW() - 1) + 1, "000")), "")</f>
        <v/>
      </c>
      <c r="B28" s="102"/>
      <c r="C28" s="17"/>
      <c r="D28" s="102"/>
      <c r="E28" s="48"/>
      <c r="F28" s="49"/>
      <c r="G28" s="49"/>
      <c r="H28" s="49"/>
      <c r="I28" s="49"/>
      <c r="J28" s="49"/>
      <c r="K28" s="24"/>
      <c r="L28" s="103"/>
      <c r="M28" s="14" t="str">
        <f ca="1">IF(PLATES[[#This Row],[ID]] &lt;&gt; "", IF(A28 = "000", A28 &amp; " | None", A28 &amp; " | " &amp; C28 &amp; " | " &amp; D28), "")</f>
        <v/>
      </c>
    </row>
    <row r="29" spans="1:13" ht="22.5" customHeight="1">
      <c r="A29" s="111" t="str">
        <f ca="1">IF(PLATES[[#This Row],[PRODUCT]] &lt;&gt; "", IF(ROW() = 2, "000", TEXT(INDIRECT("A" &amp; ROW() - 1) + 1, "000")), "")</f>
        <v/>
      </c>
      <c r="B29" s="102"/>
      <c r="C29" s="17"/>
      <c r="D29" s="102"/>
      <c r="E29" s="48"/>
      <c r="F29" s="49"/>
      <c r="G29" s="49"/>
      <c r="H29" s="49"/>
      <c r="I29" s="49"/>
      <c r="J29" s="49"/>
      <c r="K29" s="24"/>
      <c r="L29" s="103"/>
      <c r="M29" s="14" t="str">
        <f ca="1">IF(PLATES[[#This Row],[ID]] &lt;&gt; "", IF(A29 = "000", A29 &amp; " | None", A29 &amp; " | " &amp; C29 &amp; " | " &amp; D29), "")</f>
        <v/>
      </c>
    </row>
    <row r="30" spans="1:13" ht="22.5" customHeight="1">
      <c r="A30" s="111" t="str">
        <f ca="1">IF(PLATES[[#This Row],[PRODUCT]] &lt;&gt; "", IF(ROW() = 2, "000", TEXT(INDIRECT("A" &amp; ROW() - 1) + 1, "000")), "")</f>
        <v/>
      </c>
      <c r="B30" s="102"/>
      <c r="C30" s="17"/>
      <c r="D30" s="102"/>
      <c r="E30" s="48"/>
      <c r="F30" s="49"/>
      <c r="G30" s="49"/>
      <c r="H30" s="49"/>
      <c r="I30" s="49"/>
      <c r="J30" s="49"/>
      <c r="K30" s="24"/>
      <c r="L30" s="103"/>
      <c r="M30" s="14" t="str">
        <f ca="1">IF(PLATES[[#This Row],[ID]] &lt;&gt; "", IF(A30 = "000", A30 &amp; " | None", A30 &amp; " | " &amp; C30 &amp; " | " &amp; D30), "")</f>
        <v/>
      </c>
    </row>
    <row r="31" spans="1:13" ht="22.5" customHeight="1">
      <c r="A31" s="111" t="str">
        <f ca="1">IF(PLATES[[#This Row],[PRODUCT]] &lt;&gt; "", IF(ROW() = 2, "000", TEXT(INDIRECT("A" &amp; ROW() - 1) + 1, "000")), "")</f>
        <v/>
      </c>
      <c r="B31" s="102"/>
      <c r="C31" s="17"/>
      <c r="D31" s="102"/>
      <c r="E31" s="48"/>
      <c r="F31" s="49"/>
      <c r="G31" s="49"/>
      <c r="H31" s="49"/>
      <c r="I31" s="49"/>
      <c r="J31" s="49"/>
      <c r="K31" s="24"/>
      <c r="L31" s="103"/>
      <c r="M31" s="14" t="str">
        <f ca="1">IF(PLATES[[#This Row],[ID]] &lt;&gt; "", IF(A31 = "000", A31 &amp; " | None", A31 &amp; " | " &amp; C31 &amp; " | " &amp; D31), "")</f>
        <v/>
      </c>
    </row>
    <row r="32" spans="1:13" ht="22.5" customHeight="1">
      <c r="A32" s="111" t="str">
        <f ca="1">IF(PLATES[[#This Row],[PRODUCT]] &lt;&gt; "", IF(ROW() = 2, "000", TEXT(INDIRECT("A" &amp; ROW() - 1) + 1, "000")), "")</f>
        <v/>
      </c>
      <c r="B32" s="102"/>
      <c r="C32" s="17"/>
      <c r="D32" s="102"/>
      <c r="E32" s="48"/>
      <c r="F32" s="49"/>
      <c r="G32" s="49"/>
      <c r="H32" s="49"/>
      <c r="I32" s="49"/>
      <c r="J32" s="49"/>
      <c r="K32" s="24"/>
      <c r="L32" s="103"/>
      <c r="M32" s="14" t="str">
        <f ca="1">IF(PLATES[[#This Row],[ID]] &lt;&gt; "", IF(A32 = "000", A32 &amp; " | None", A32 &amp; " | " &amp; C32 &amp; " | " &amp; D32), "")</f>
        <v/>
      </c>
    </row>
    <row r="33" spans="1:13" ht="22.5" customHeight="1">
      <c r="A33" s="111" t="str">
        <f ca="1">IF(PLATES[[#This Row],[PRODUCT]] &lt;&gt; "", IF(ROW() = 2, "000", TEXT(INDIRECT("A" &amp; ROW() - 1) + 1, "000")), "")</f>
        <v/>
      </c>
      <c r="B33" s="102"/>
      <c r="C33" s="17"/>
      <c r="D33" s="102"/>
      <c r="E33" s="48"/>
      <c r="F33" s="49"/>
      <c r="G33" s="49"/>
      <c r="H33" s="49"/>
      <c r="I33" s="49"/>
      <c r="J33" s="49"/>
      <c r="K33" s="24"/>
      <c r="L33" s="103"/>
      <c r="M33" s="14" t="str">
        <f ca="1">IF(PLATES[[#This Row],[ID]] &lt;&gt; "", IF(A33 = "000", A33 &amp; " | None", A33 &amp; " | " &amp; C33 &amp; " | " &amp; D33), "")</f>
        <v/>
      </c>
    </row>
    <row r="34" spans="1:13" ht="22.5" customHeight="1">
      <c r="A34" s="111" t="str">
        <f ca="1">IF(PLATES[[#This Row],[PRODUCT]] &lt;&gt; "", IF(ROW() = 2, "000", TEXT(INDIRECT("A" &amp; ROW() - 1) + 1, "000")), "")</f>
        <v/>
      </c>
      <c r="B34" s="102"/>
      <c r="C34" s="17"/>
      <c r="D34" s="102"/>
      <c r="E34" s="48"/>
      <c r="F34" s="49"/>
      <c r="G34" s="49"/>
      <c r="H34" s="49"/>
      <c r="I34" s="49"/>
      <c r="J34" s="49"/>
      <c r="K34" s="24"/>
      <c r="L34" s="103"/>
      <c r="M34" s="14" t="str">
        <f ca="1">IF(PLATES[[#This Row],[ID]] &lt;&gt; "", IF(A34 = "000", A34 &amp; " | None", A34 &amp; " | " &amp; C34 &amp; " | " &amp; D34), "")</f>
        <v/>
      </c>
    </row>
    <row r="35" spans="1:13" ht="22.5" customHeight="1">
      <c r="A35" s="111" t="str">
        <f ca="1">IF(PLATES[[#This Row],[PRODUCT]] &lt;&gt; "", IF(ROW() = 2, "000", TEXT(INDIRECT("A" &amp; ROW() - 1) + 1, "000")), "")</f>
        <v/>
      </c>
      <c r="B35" s="102"/>
      <c r="C35" s="17"/>
      <c r="D35" s="102"/>
      <c r="E35" s="48"/>
      <c r="F35" s="49"/>
      <c r="G35" s="49"/>
      <c r="H35" s="49"/>
      <c r="I35" s="49"/>
      <c r="J35" s="49"/>
      <c r="K35" s="24"/>
      <c r="L35" s="103"/>
      <c r="M35" s="14" t="str">
        <f ca="1">IF(PLATES[[#This Row],[ID]] &lt;&gt; "", IF(A35 = "000", A35 &amp; " | None", A35 &amp; " | " &amp; C35 &amp; " | " &amp; D35), "")</f>
        <v/>
      </c>
    </row>
    <row r="36" spans="1:13" ht="22.5" customHeight="1">
      <c r="A36" s="111" t="str">
        <f ca="1">IF(PLATES[[#This Row],[PRODUCT]] &lt;&gt; "", IF(ROW() = 2, "000", TEXT(INDIRECT("A" &amp; ROW() - 1) + 1, "000")), "")</f>
        <v/>
      </c>
      <c r="B36" s="102"/>
      <c r="C36" s="17"/>
      <c r="D36" s="102"/>
      <c r="E36" s="48"/>
      <c r="F36" s="49"/>
      <c r="G36" s="49"/>
      <c r="H36" s="49"/>
      <c r="I36" s="49"/>
      <c r="J36" s="49"/>
      <c r="K36" s="24"/>
      <c r="L36" s="103"/>
      <c r="M36" s="14" t="str">
        <f ca="1">IF(PLATES[[#This Row],[ID]] &lt;&gt; "", IF(A36 = "000", A36 &amp; " | None", A36 &amp; " | " &amp; C36 &amp; " | " &amp; D36), "")</f>
        <v/>
      </c>
    </row>
    <row r="37" spans="1:13" ht="22.5" customHeight="1">
      <c r="A37" s="111" t="str">
        <f ca="1">IF(PLATES[[#This Row],[PRODUCT]] &lt;&gt; "", IF(ROW() = 2, "000", TEXT(INDIRECT("A" &amp; ROW() - 1) + 1, "000")), "")</f>
        <v/>
      </c>
      <c r="B37" s="102"/>
      <c r="C37" s="17"/>
      <c r="D37" s="102"/>
      <c r="E37" s="48"/>
      <c r="F37" s="49"/>
      <c r="G37" s="49"/>
      <c r="H37" s="49"/>
      <c r="I37" s="49"/>
      <c r="J37" s="49"/>
      <c r="K37" s="24"/>
      <c r="L37" s="103"/>
      <c r="M37" s="14" t="str">
        <f ca="1">IF(PLATES[[#This Row],[ID]] &lt;&gt; "", IF(A37 = "000", A37 &amp; " | None", A37 &amp; " | " &amp; C37 &amp; " | " &amp; D37), "")</f>
        <v/>
      </c>
    </row>
    <row r="38" spans="1:13" ht="22.5" customHeight="1">
      <c r="A38" s="111" t="str">
        <f ca="1">IF(PLATES[[#This Row],[PRODUCT]] &lt;&gt; "", IF(ROW() = 2, "000", TEXT(INDIRECT("A" &amp; ROW() - 1) + 1, "000")), "")</f>
        <v/>
      </c>
      <c r="B38" s="102"/>
      <c r="C38" s="17"/>
      <c r="D38" s="102"/>
      <c r="E38" s="48"/>
      <c r="F38" s="49"/>
      <c r="G38" s="49"/>
      <c r="H38" s="49"/>
      <c r="I38" s="49"/>
      <c r="J38" s="49"/>
      <c r="K38" s="24"/>
      <c r="L38" s="103"/>
      <c r="M38" s="14" t="str">
        <f ca="1">IF(PLATES[[#This Row],[ID]] &lt;&gt; "", IF(A38 = "000", A38 &amp; " | None", A38 &amp; " | " &amp; C38 &amp; " | " &amp; D38), "")</f>
        <v/>
      </c>
    </row>
    <row r="39" spans="1:13" ht="22.5" customHeight="1">
      <c r="A39" s="111" t="str">
        <f ca="1">IF(PLATES[[#This Row],[PRODUCT]] &lt;&gt; "", IF(ROW() = 2, "000", TEXT(INDIRECT("A" &amp; ROW() - 1) + 1, "000")), "")</f>
        <v/>
      </c>
      <c r="B39" s="102"/>
      <c r="C39" s="17"/>
      <c r="D39" s="102"/>
      <c r="E39" s="48"/>
      <c r="F39" s="49"/>
      <c r="G39" s="49"/>
      <c r="H39" s="49"/>
      <c r="I39" s="49"/>
      <c r="J39" s="49"/>
      <c r="K39" s="24"/>
      <c r="L39" s="103"/>
      <c r="M39" s="14" t="str">
        <f ca="1">IF(PLATES[[#This Row],[ID]] &lt;&gt; "", IF(A39 = "000", A39 &amp; " | None", A39 &amp; " | " &amp; C39 &amp; " | " &amp; D39), "")</f>
        <v/>
      </c>
    </row>
    <row r="40" spans="1:13" ht="22.5" customHeight="1">
      <c r="A40" s="111" t="str">
        <f ca="1">IF(PLATES[[#This Row],[PRODUCT]] &lt;&gt; "", IF(ROW() = 2, "000", TEXT(INDIRECT("A" &amp; ROW() - 1) + 1, "000")), "")</f>
        <v/>
      </c>
      <c r="B40" s="102"/>
      <c r="C40" s="17"/>
      <c r="D40" s="102"/>
      <c r="E40" s="48"/>
      <c r="F40" s="49"/>
      <c r="G40" s="49"/>
      <c r="H40" s="49"/>
      <c r="I40" s="49"/>
      <c r="J40" s="49"/>
      <c r="K40" s="24"/>
      <c r="L40" s="103"/>
      <c r="M40" s="14" t="str">
        <f ca="1">IF(PLATES[[#This Row],[ID]] &lt;&gt; "", IF(A40 = "000", A40 &amp; " | None", A40 &amp; " | " &amp; C40 &amp; " | " &amp; D40), "")</f>
        <v/>
      </c>
    </row>
    <row r="41" spans="1:13" ht="22.5" customHeight="1">
      <c r="A41" s="111" t="str">
        <f ca="1">IF(PLATES[[#This Row],[PRODUCT]] &lt;&gt; "", IF(ROW() = 2, "000", TEXT(INDIRECT("A" &amp; ROW() - 1) + 1, "000")), "")</f>
        <v/>
      </c>
      <c r="B41" s="102"/>
      <c r="C41" s="17"/>
      <c r="D41" s="102"/>
      <c r="E41" s="48"/>
      <c r="F41" s="49"/>
      <c r="G41" s="49"/>
      <c r="H41" s="49"/>
      <c r="I41" s="49"/>
      <c r="J41" s="49"/>
      <c r="K41" s="24"/>
      <c r="L41" s="103"/>
      <c r="M41" s="14" t="str">
        <f ca="1">IF(PLATES[[#This Row],[ID]] &lt;&gt; "", IF(A41 = "000", A41 &amp; " | None", A41 &amp; " | " &amp; C41 &amp; " | " &amp; D41), "")</f>
        <v/>
      </c>
    </row>
    <row r="42" spans="1:13" ht="22.5" customHeight="1">
      <c r="A42" s="111" t="str">
        <f ca="1">IF(PLATES[[#This Row],[PRODUCT]] &lt;&gt; "", IF(ROW() = 2, "000", TEXT(INDIRECT("A" &amp; ROW() - 1) + 1, "000")), "")</f>
        <v/>
      </c>
      <c r="B42" s="102"/>
      <c r="C42" s="17"/>
      <c r="D42" s="102"/>
      <c r="E42" s="48"/>
      <c r="F42" s="49"/>
      <c r="G42" s="49"/>
      <c r="H42" s="49"/>
      <c r="I42" s="49"/>
      <c r="J42" s="49"/>
      <c r="K42" s="24"/>
      <c r="L42" s="103"/>
      <c r="M42" s="14" t="str">
        <f ca="1">IF(PLATES[[#This Row],[ID]] &lt;&gt; "", IF(A42 = "000", A42 &amp; " | None", A42 &amp; " | " &amp; C42 &amp; " | " &amp; D42), "")</f>
        <v/>
      </c>
    </row>
    <row r="43" spans="1:13" ht="22.5" customHeight="1">
      <c r="A43" s="111" t="str">
        <f ca="1">IF(PLATES[[#This Row],[PRODUCT]] &lt;&gt; "", IF(ROW() = 2, "000", TEXT(INDIRECT("A" &amp; ROW() - 1) + 1, "000")), "")</f>
        <v/>
      </c>
      <c r="B43" s="102"/>
      <c r="C43" s="17"/>
      <c r="D43" s="102"/>
      <c r="E43" s="48"/>
      <c r="F43" s="49"/>
      <c r="G43" s="49"/>
      <c r="H43" s="49"/>
      <c r="I43" s="49"/>
      <c r="J43" s="49"/>
      <c r="K43" s="24"/>
      <c r="L43" s="103"/>
      <c r="M43" s="14" t="str">
        <f ca="1">IF(PLATES[[#This Row],[ID]] &lt;&gt; "", IF(A43 = "000", A43 &amp; " | None", A43 &amp; " | " &amp; C43 &amp; " | " &amp; D43), "")</f>
        <v/>
      </c>
    </row>
    <row r="44" spans="1:13" ht="22.5" customHeight="1">
      <c r="A44" s="111" t="str">
        <f ca="1">IF(PLATES[[#This Row],[PRODUCT]] &lt;&gt; "", IF(ROW() = 2, "000", TEXT(INDIRECT("A" &amp; ROW() - 1) + 1, "000")), "")</f>
        <v/>
      </c>
      <c r="B44" s="102"/>
      <c r="C44" s="17"/>
      <c r="D44" s="102"/>
      <c r="E44" s="48"/>
      <c r="F44" s="49"/>
      <c r="G44" s="49"/>
      <c r="H44" s="49"/>
      <c r="I44" s="49"/>
      <c r="J44" s="49"/>
      <c r="K44" s="24"/>
      <c r="L44" s="103"/>
      <c r="M44" s="14" t="str">
        <f ca="1">IF(PLATES[[#This Row],[ID]] &lt;&gt; "", IF(A44 = "000", A44 &amp; " | None", A44 &amp; " | " &amp; C44 &amp; " | " &amp; D44), "")</f>
        <v/>
      </c>
    </row>
    <row r="45" spans="1:13" ht="22.5" customHeight="1">
      <c r="A45" s="111" t="str">
        <f ca="1">IF(PLATES[[#This Row],[PRODUCT]] &lt;&gt; "", IF(ROW() = 2, "000", TEXT(INDIRECT("A" &amp; ROW() - 1) + 1, "000")), "")</f>
        <v/>
      </c>
      <c r="B45" s="102"/>
      <c r="C45" s="17"/>
      <c r="D45" s="102"/>
      <c r="E45" s="48"/>
      <c r="F45" s="49"/>
      <c r="G45" s="49"/>
      <c r="H45" s="49"/>
      <c r="I45" s="49"/>
      <c r="J45" s="49"/>
      <c r="K45" s="24"/>
      <c r="L45" s="103"/>
      <c r="M45" s="14" t="str">
        <f ca="1">IF(PLATES[[#This Row],[ID]] &lt;&gt; "", IF(A45 = "000", A45 &amp; " | None", A45 &amp; " | " &amp; C45 &amp; " | " &amp; D45), "")</f>
        <v/>
      </c>
    </row>
    <row r="46" spans="1:13" ht="22.5" customHeight="1">
      <c r="A46" s="111" t="str">
        <f ca="1">IF(PLATES[[#This Row],[PRODUCT]] &lt;&gt; "", IF(ROW() = 2, "000", TEXT(INDIRECT("A" &amp; ROW() - 1) + 1, "000")), "")</f>
        <v/>
      </c>
      <c r="B46" s="102"/>
      <c r="C46" s="17"/>
      <c r="D46" s="102"/>
      <c r="E46" s="48"/>
      <c r="F46" s="49"/>
      <c r="G46" s="49"/>
      <c r="H46" s="49"/>
      <c r="I46" s="49"/>
      <c r="J46" s="49"/>
      <c r="K46" s="24"/>
      <c r="L46" s="103"/>
      <c r="M46" s="14" t="str">
        <f ca="1">IF(PLATES[[#This Row],[ID]] &lt;&gt; "", IF(A46 = "000", A46 &amp; " | None", A46 &amp; " | " &amp; C46 &amp; " | " &amp; D46), "")</f>
        <v/>
      </c>
    </row>
    <row r="47" spans="1:13" ht="22.5" customHeight="1">
      <c r="A47" s="111" t="str">
        <f ca="1">IF(PLATES[[#This Row],[PRODUCT]] &lt;&gt; "", IF(ROW() = 2, "000", TEXT(INDIRECT("A" &amp; ROW() - 1) + 1, "000")), "")</f>
        <v/>
      </c>
      <c r="B47" s="102"/>
      <c r="C47" s="17"/>
      <c r="D47" s="102"/>
      <c r="E47" s="48"/>
      <c r="F47" s="49"/>
      <c r="G47" s="49"/>
      <c r="H47" s="49"/>
      <c r="I47" s="49"/>
      <c r="J47" s="49"/>
      <c r="K47" s="24"/>
      <c r="L47" s="103"/>
      <c r="M47" s="14" t="str">
        <f ca="1">IF(PLATES[[#This Row],[ID]] &lt;&gt; "", IF(A47 = "000", A47 &amp; " | None", A47 &amp; " | " &amp; C47 &amp; " | " &amp; D47), "")</f>
        <v/>
      </c>
    </row>
    <row r="48" spans="1:13" ht="22.5" customHeight="1">
      <c r="A48" s="111" t="str">
        <f ca="1">IF(PLATES[[#This Row],[PRODUCT]] &lt;&gt; "", IF(ROW() = 2, "000", TEXT(INDIRECT("A" &amp; ROW() - 1) + 1, "000")), "")</f>
        <v/>
      </c>
      <c r="B48" s="102"/>
      <c r="C48" s="17"/>
      <c r="D48" s="102"/>
      <c r="E48" s="48"/>
      <c r="F48" s="49"/>
      <c r="G48" s="49"/>
      <c r="H48" s="49"/>
      <c r="I48" s="49"/>
      <c r="J48" s="49"/>
      <c r="K48" s="24"/>
      <c r="L48" s="103"/>
      <c r="M48" s="14" t="str">
        <f ca="1">IF(PLATES[[#This Row],[ID]] &lt;&gt; "", IF(A48 = "000", A48 &amp; " | None", A48 &amp; " | " &amp; C48 &amp; " | " &amp; D48), "")</f>
        <v/>
      </c>
    </row>
    <row r="49" spans="1:13" ht="22.5" customHeight="1">
      <c r="A49" s="111" t="str">
        <f ca="1">IF(PLATES[[#This Row],[PRODUCT]] &lt;&gt; "", IF(ROW() = 2, "000", TEXT(INDIRECT("A" &amp; ROW() - 1) + 1, "000")), "")</f>
        <v/>
      </c>
      <c r="B49" s="102"/>
      <c r="C49" s="17"/>
      <c r="D49" s="102"/>
      <c r="E49" s="48"/>
      <c r="F49" s="49"/>
      <c r="G49" s="49"/>
      <c r="H49" s="49"/>
      <c r="I49" s="49"/>
      <c r="J49" s="49"/>
      <c r="K49" s="24"/>
      <c r="L49" s="103"/>
      <c r="M49" s="14" t="str">
        <f ca="1">IF(PLATES[[#This Row],[ID]] &lt;&gt; "", IF(A49 = "000", A49 &amp; " | None", A49 &amp; " | " &amp; C49 &amp; " | " &amp; D49), "")</f>
        <v/>
      </c>
    </row>
    <row r="50" spans="1:13" ht="22.5" customHeight="1">
      <c r="A50" s="111" t="str">
        <f ca="1">IF(PLATES[[#This Row],[PRODUCT]] &lt;&gt; "", IF(ROW() = 2, "000", TEXT(INDIRECT("A" &amp; ROW() - 1) + 1, "000")), "")</f>
        <v/>
      </c>
      <c r="B50" s="102"/>
      <c r="C50" s="17"/>
      <c r="D50" s="102"/>
      <c r="E50" s="48"/>
      <c r="F50" s="49"/>
      <c r="G50" s="49"/>
      <c r="H50" s="49"/>
      <c r="I50" s="49"/>
      <c r="J50" s="49"/>
      <c r="K50" s="24"/>
      <c r="L50" s="103"/>
      <c r="M50" s="14" t="str">
        <f ca="1">IF(PLATES[[#This Row],[ID]] &lt;&gt; "", IF(A50 = "000", A50 &amp; " | None", A50 &amp; " | " &amp; C50 &amp; " | " &amp; D50), "")</f>
        <v/>
      </c>
    </row>
    <row r="51" spans="1:13" ht="22.5" customHeight="1">
      <c r="A51" s="111" t="str">
        <f ca="1">IF(PLATES[[#This Row],[PRODUCT]] &lt;&gt; "", IF(ROW() = 2, "000", TEXT(INDIRECT("A" &amp; ROW() - 1) + 1, "000")), "")</f>
        <v/>
      </c>
      <c r="B51" s="102"/>
      <c r="C51" s="17"/>
      <c r="D51" s="102"/>
      <c r="E51" s="48"/>
      <c r="F51" s="49"/>
      <c r="G51" s="49"/>
      <c r="H51" s="49"/>
      <c r="I51" s="49"/>
      <c r="J51" s="49"/>
      <c r="K51" s="24"/>
      <c r="L51" s="103"/>
      <c r="M51" s="14" t="str">
        <f ca="1">IF(PLATES[[#This Row],[ID]] &lt;&gt; "", IF(A51 = "000", A51 &amp; " | None", A51 &amp; " | " &amp; C51 &amp; " | " &amp; D51), "")</f>
        <v/>
      </c>
    </row>
    <row r="52" spans="1:13" ht="22.5" customHeight="1">
      <c r="A52" s="111" t="str">
        <f ca="1">IF(PLATES[[#This Row],[PRODUCT]] &lt;&gt; "", IF(ROW() = 2, "000", TEXT(INDIRECT("A" &amp; ROW() - 1) + 1, "000")), "")</f>
        <v/>
      </c>
      <c r="B52" s="102"/>
      <c r="C52" s="17"/>
      <c r="D52" s="102"/>
      <c r="E52" s="48"/>
      <c r="F52" s="49"/>
      <c r="G52" s="49"/>
      <c r="H52" s="49"/>
      <c r="I52" s="49"/>
      <c r="J52" s="49"/>
      <c r="K52" s="24"/>
      <c r="L52" s="103"/>
      <c r="M52" s="14" t="str">
        <f ca="1">IF(PLATES[[#This Row],[ID]] &lt;&gt; "", IF(A52 = "000", A52 &amp; " | None", A52 &amp; " | " &amp; C52 &amp; " | " &amp; D52), "")</f>
        <v/>
      </c>
    </row>
    <row r="53" spans="1:13" ht="22.5" customHeight="1">
      <c r="A53" s="111" t="str">
        <f ca="1">IF(PLATES[[#This Row],[PRODUCT]] &lt;&gt; "", IF(ROW() = 2, "000", TEXT(INDIRECT("A" &amp; ROW() - 1) + 1, "000")), "")</f>
        <v/>
      </c>
      <c r="B53" s="102"/>
      <c r="C53" s="17"/>
      <c r="D53" s="102"/>
      <c r="E53" s="48"/>
      <c r="F53" s="49"/>
      <c r="G53" s="49"/>
      <c r="H53" s="49"/>
      <c r="I53" s="49"/>
      <c r="J53" s="49"/>
      <c r="K53" s="24"/>
      <c r="L53" s="103"/>
      <c r="M53" s="14" t="str">
        <f ca="1">IF(PLATES[[#This Row],[ID]] &lt;&gt; "", IF(A53 = "000", A53 &amp; " | None", A53 &amp; " | " &amp; C53 &amp; " | " &amp; D53), "")</f>
        <v/>
      </c>
    </row>
    <row r="54" spans="1:13" ht="22.5" customHeight="1">
      <c r="A54" s="111" t="str">
        <f ca="1">IF(PLATES[[#This Row],[PRODUCT]] &lt;&gt; "", IF(ROW() = 2, "000", TEXT(INDIRECT("A" &amp; ROW() - 1) + 1, "000")), "")</f>
        <v/>
      </c>
      <c r="B54" s="102"/>
      <c r="C54" s="17"/>
      <c r="D54" s="102"/>
      <c r="E54" s="48"/>
      <c r="F54" s="49"/>
      <c r="G54" s="49"/>
      <c r="H54" s="49"/>
      <c r="I54" s="49"/>
      <c r="J54" s="49"/>
      <c r="K54" s="24"/>
      <c r="L54" s="103"/>
      <c r="M54" s="14" t="str">
        <f ca="1">IF(PLATES[[#This Row],[ID]] &lt;&gt; "", IF(A54 = "000", A54 &amp; " | None", A54 &amp; " | " &amp; C54 &amp; " | " &amp; D54), "")</f>
        <v/>
      </c>
    </row>
    <row r="55" spans="1:13" ht="22.5" customHeight="1">
      <c r="A55" s="111" t="str">
        <f ca="1">IF(PLATES[[#This Row],[PRODUCT]] &lt;&gt; "", IF(ROW() = 2, "000", TEXT(INDIRECT("A" &amp; ROW() - 1) + 1, "000")), "")</f>
        <v/>
      </c>
      <c r="B55" s="102"/>
      <c r="C55" s="17"/>
      <c r="D55" s="102"/>
      <c r="E55" s="48"/>
      <c r="F55" s="49"/>
      <c r="G55" s="49"/>
      <c r="H55" s="49"/>
      <c r="I55" s="49"/>
      <c r="J55" s="49"/>
      <c r="K55" s="24"/>
      <c r="L55" s="103"/>
      <c r="M55" s="14" t="str">
        <f ca="1">IF(PLATES[[#This Row],[ID]] &lt;&gt; "", IF(A55 = "000", A55 &amp; " | None", A55 &amp; " | " &amp; C55 &amp; " | " &amp; D55), "")</f>
        <v/>
      </c>
    </row>
    <row r="56" spans="1:13" ht="22.5" customHeight="1">
      <c r="A56" s="111" t="str">
        <f ca="1">IF(PLATES[[#This Row],[PRODUCT]] &lt;&gt; "", IF(ROW() = 2, "000", TEXT(INDIRECT("A" &amp; ROW() - 1) + 1, "000")), "")</f>
        <v/>
      </c>
      <c r="B56" s="102"/>
      <c r="C56" s="17"/>
      <c r="D56" s="102"/>
      <c r="E56" s="48"/>
      <c r="F56" s="49"/>
      <c r="G56" s="49"/>
      <c r="H56" s="49"/>
      <c r="I56" s="49"/>
      <c r="J56" s="49"/>
      <c r="K56" s="24"/>
      <c r="L56" s="103"/>
      <c r="M56" s="14" t="str">
        <f ca="1">IF(PLATES[[#This Row],[ID]] &lt;&gt; "", IF(A56 = "000", A56 &amp; " | None", A56 &amp; " | " &amp; C56 &amp; " | " &amp; D56), "")</f>
        <v/>
      </c>
    </row>
    <row r="57" spans="1:13" ht="22.5" customHeight="1">
      <c r="A57" s="111" t="str">
        <f ca="1">IF(PLATES[[#This Row],[PRODUCT]] &lt;&gt; "", IF(ROW() = 2, "000", TEXT(INDIRECT("A" &amp; ROW() - 1) + 1, "000")), "")</f>
        <v/>
      </c>
      <c r="B57" s="102"/>
      <c r="C57" s="17"/>
      <c r="D57" s="102"/>
      <c r="E57" s="48"/>
      <c r="F57" s="49"/>
      <c r="G57" s="49"/>
      <c r="H57" s="49"/>
      <c r="I57" s="49"/>
      <c r="J57" s="49"/>
      <c r="K57" s="24"/>
      <c r="L57" s="103"/>
      <c r="M57" s="14" t="str">
        <f ca="1">IF(PLATES[[#This Row],[ID]] &lt;&gt; "", IF(A57 = "000", A57 &amp; " | None", A57 &amp; " | " &amp; C57 &amp; " | " &amp; D57), "")</f>
        <v/>
      </c>
    </row>
    <row r="58" spans="1:13" ht="22.5" customHeight="1">
      <c r="A58" s="111" t="str">
        <f ca="1">IF(PLATES[[#This Row],[PRODUCT]] &lt;&gt; "", IF(ROW() = 2, "000", TEXT(INDIRECT("A" &amp; ROW() - 1) + 1, "000")), "")</f>
        <v/>
      </c>
      <c r="B58" s="102"/>
      <c r="C58" s="17"/>
      <c r="D58" s="102"/>
      <c r="E58" s="48"/>
      <c r="F58" s="49"/>
      <c r="G58" s="49"/>
      <c r="H58" s="49"/>
      <c r="I58" s="49"/>
      <c r="J58" s="49"/>
      <c r="K58" s="24"/>
      <c r="L58" s="103"/>
      <c r="M58" s="14" t="str">
        <f ca="1">IF(PLATES[[#This Row],[ID]] &lt;&gt; "", IF(A58 = "000", A58 &amp; " | None", A58 &amp; " | " &amp; C58 &amp; " | " &amp; D58), "")</f>
        <v/>
      </c>
    </row>
    <row r="59" spans="1:13" ht="22.5" customHeight="1">
      <c r="A59" s="111" t="str">
        <f ca="1">IF(PLATES[[#This Row],[PRODUCT]] &lt;&gt; "", IF(ROW() = 2, "000", TEXT(INDIRECT("A" &amp; ROW() - 1) + 1, "000")), "")</f>
        <v/>
      </c>
      <c r="B59" s="102"/>
      <c r="C59" s="17"/>
      <c r="D59" s="102"/>
      <c r="E59" s="48"/>
      <c r="F59" s="49"/>
      <c r="G59" s="49"/>
      <c r="H59" s="49"/>
      <c r="I59" s="49"/>
      <c r="J59" s="49"/>
      <c r="K59" s="24"/>
      <c r="L59" s="103"/>
      <c r="M59" s="14" t="str">
        <f ca="1">IF(PLATES[[#This Row],[ID]] &lt;&gt; "", IF(A59 = "000", A59 &amp; " | None", A59 &amp; " | " &amp; C59 &amp; " | " &amp; D59), "")</f>
        <v/>
      </c>
    </row>
    <row r="60" spans="1:13" ht="22.5" customHeight="1">
      <c r="A60" s="111" t="str">
        <f ca="1">IF(PLATES[[#This Row],[PRODUCT]] &lt;&gt; "", IF(ROW() = 2, "000", TEXT(INDIRECT("A" &amp; ROW() - 1) + 1, "000")), "")</f>
        <v/>
      </c>
      <c r="B60" s="102"/>
      <c r="C60" s="17"/>
      <c r="D60" s="102"/>
      <c r="E60" s="48"/>
      <c r="F60" s="49"/>
      <c r="G60" s="49"/>
      <c r="H60" s="49"/>
      <c r="I60" s="49"/>
      <c r="J60" s="49"/>
      <c r="K60" s="24"/>
      <c r="L60" s="103"/>
      <c r="M60" s="14" t="str">
        <f ca="1">IF(PLATES[[#This Row],[ID]] &lt;&gt; "", IF(A60 = "000", A60 &amp; " | None", A60 &amp; " | " &amp; C60 &amp; " | " &amp; D60), "")</f>
        <v/>
      </c>
    </row>
    <row r="61" spans="1:13" ht="22.5" customHeight="1">
      <c r="A61" s="111" t="str">
        <f ca="1">IF(PLATES[[#This Row],[PRODUCT]] &lt;&gt; "", IF(ROW() = 2, "000", TEXT(INDIRECT("A" &amp; ROW() - 1) + 1, "000")), "")</f>
        <v/>
      </c>
      <c r="B61" s="102"/>
      <c r="C61" s="17"/>
      <c r="D61" s="102"/>
      <c r="E61" s="48"/>
      <c r="F61" s="49"/>
      <c r="G61" s="49"/>
      <c r="H61" s="49"/>
      <c r="I61" s="49"/>
      <c r="J61" s="49"/>
      <c r="K61" s="24"/>
      <c r="L61" s="103"/>
      <c r="M61" s="14" t="str">
        <f ca="1">IF(PLATES[[#This Row],[ID]] &lt;&gt; "", IF(A61 = "000", A61 &amp; " | None", A61 &amp; " | " &amp; C61 &amp; " | " &amp; D61), "")</f>
        <v/>
      </c>
    </row>
    <row r="62" spans="1:13" ht="22.5" customHeight="1">
      <c r="A62" s="111" t="str">
        <f ca="1">IF(PLATES[[#This Row],[PRODUCT]] &lt;&gt; "", IF(ROW() = 2, "000", TEXT(INDIRECT("A" &amp; ROW() - 1) + 1, "000")), "")</f>
        <v/>
      </c>
      <c r="B62" s="102"/>
      <c r="C62" s="17"/>
      <c r="D62" s="102"/>
      <c r="E62" s="48"/>
      <c r="F62" s="49"/>
      <c r="G62" s="49"/>
      <c r="H62" s="49"/>
      <c r="I62" s="49"/>
      <c r="J62" s="49"/>
      <c r="K62" s="24"/>
      <c r="L62" s="103"/>
      <c r="M62" s="14" t="str">
        <f ca="1">IF(PLATES[[#This Row],[ID]] &lt;&gt; "", IF(A62 = "000", A62 &amp; " | None", A62 &amp; " | " &amp; C62 &amp; " | " &amp; D62), "")</f>
        <v/>
      </c>
    </row>
    <row r="63" spans="1:13" ht="22.5" customHeight="1">
      <c r="A63" s="111" t="str">
        <f ca="1">IF(PLATES[[#This Row],[PRODUCT]] &lt;&gt; "", IF(ROW() = 2, "000", TEXT(INDIRECT("A" &amp; ROW() - 1) + 1, "000")), "")</f>
        <v/>
      </c>
      <c r="B63" s="102"/>
      <c r="C63" s="17"/>
      <c r="D63" s="102"/>
      <c r="E63" s="48"/>
      <c r="F63" s="49"/>
      <c r="G63" s="49"/>
      <c r="H63" s="49"/>
      <c r="I63" s="49"/>
      <c r="J63" s="49"/>
      <c r="K63" s="24"/>
      <c r="L63" s="103"/>
      <c r="M63" s="14" t="str">
        <f ca="1">IF(PLATES[[#This Row],[ID]] &lt;&gt; "", IF(A63 = "000", A63 &amp; " | None", A63 &amp; " | " &amp; C63 &amp; " | " &amp; D63), "")</f>
        <v/>
      </c>
    </row>
    <row r="64" spans="1:13" ht="22.5" customHeight="1">
      <c r="A64" s="111" t="str">
        <f ca="1">IF(PLATES[[#This Row],[PRODUCT]] &lt;&gt; "", IF(ROW() = 2, "000", TEXT(INDIRECT("A" &amp; ROW() - 1) + 1, "000")), "")</f>
        <v/>
      </c>
      <c r="B64" s="102"/>
      <c r="C64" s="17"/>
      <c r="D64" s="102"/>
      <c r="E64" s="48"/>
      <c r="F64" s="49"/>
      <c r="G64" s="49"/>
      <c r="H64" s="49"/>
      <c r="I64" s="49"/>
      <c r="J64" s="49"/>
      <c r="K64" s="24"/>
      <c r="L64" s="103"/>
      <c r="M64" s="14" t="str">
        <f ca="1">IF(PLATES[[#This Row],[ID]] &lt;&gt; "", IF(A64 = "000", A64 &amp; " | None", A64 &amp; " | " &amp; C64 &amp; " | " &amp; D64), "")</f>
        <v/>
      </c>
    </row>
    <row r="65" spans="1:13" ht="22.5" customHeight="1">
      <c r="A65" s="111" t="str">
        <f ca="1">IF(PLATES[[#This Row],[PRODUCT]] &lt;&gt; "", IF(ROW() = 2, "000", TEXT(INDIRECT("A" &amp; ROW() - 1) + 1, "000")), "")</f>
        <v/>
      </c>
      <c r="B65" s="102"/>
      <c r="C65" s="17"/>
      <c r="D65" s="102"/>
      <c r="E65" s="48"/>
      <c r="F65" s="49"/>
      <c r="G65" s="49"/>
      <c r="H65" s="49"/>
      <c r="I65" s="49"/>
      <c r="J65" s="49"/>
      <c r="K65" s="24"/>
      <c r="L65" s="103"/>
      <c r="M65" s="14" t="str">
        <f ca="1">IF(PLATES[[#This Row],[ID]] &lt;&gt; "", IF(A65 = "000", A65 &amp; " | None", A65 &amp; " | " &amp; C65 &amp; " | " &amp; D65), "")</f>
        <v/>
      </c>
    </row>
    <row r="66" spans="1:13" ht="22.5" customHeight="1">
      <c r="A66" s="111" t="str">
        <f ca="1">IF(PLATES[[#This Row],[PRODUCT]] &lt;&gt; "", IF(ROW() = 2, "000", TEXT(INDIRECT("A" &amp; ROW() - 1) + 1, "000")), "")</f>
        <v/>
      </c>
      <c r="B66" s="102"/>
      <c r="C66" s="17"/>
      <c r="D66" s="102"/>
      <c r="E66" s="48"/>
      <c r="F66" s="49"/>
      <c r="G66" s="49"/>
      <c r="H66" s="49"/>
      <c r="I66" s="49"/>
      <c r="J66" s="49"/>
      <c r="K66" s="24"/>
      <c r="L66" s="103"/>
      <c r="M66" s="14" t="str">
        <f ca="1">IF(PLATES[[#This Row],[ID]] &lt;&gt; "", IF(A66 = "000", A66 &amp; " | None", A66 &amp; " | " &amp; C66 &amp; " | " &amp; D66), "")</f>
        <v/>
      </c>
    </row>
    <row r="67" spans="1:13" ht="22.5" customHeight="1">
      <c r="A67" s="111" t="str">
        <f ca="1">IF(PLATES[[#This Row],[PRODUCT]] &lt;&gt; "", IF(ROW() = 2, "000", TEXT(INDIRECT("A" &amp; ROW() - 1) + 1, "000")), "")</f>
        <v/>
      </c>
      <c r="B67" s="102"/>
      <c r="C67" s="17"/>
      <c r="D67" s="102"/>
      <c r="E67" s="48"/>
      <c r="F67" s="49"/>
      <c r="G67" s="49"/>
      <c r="H67" s="49"/>
      <c r="I67" s="49"/>
      <c r="J67" s="49"/>
      <c r="K67" s="24"/>
      <c r="L67" s="103"/>
      <c r="M67" s="14" t="str">
        <f ca="1">IF(PLATES[[#This Row],[ID]] &lt;&gt; "", IF(A67 = "000", A67 &amp; " | None", A67 &amp; " | " &amp; C67 &amp; " | " &amp; D67), "")</f>
        <v/>
      </c>
    </row>
    <row r="68" spans="1:13" ht="22.5" customHeight="1">
      <c r="A68" s="111" t="str">
        <f ca="1">IF(PLATES[[#This Row],[PRODUCT]] &lt;&gt; "", IF(ROW() = 2, "000", TEXT(INDIRECT("A" &amp; ROW() - 1) + 1, "000")), "")</f>
        <v/>
      </c>
      <c r="B68" s="102"/>
      <c r="C68" s="17"/>
      <c r="D68" s="102"/>
      <c r="E68" s="48"/>
      <c r="F68" s="49"/>
      <c r="G68" s="49"/>
      <c r="H68" s="49"/>
      <c r="I68" s="49"/>
      <c r="J68" s="49"/>
      <c r="K68" s="24"/>
      <c r="L68" s="103"/>
      <c r="M68" s="14" t="str">
        <f ca="1">IF(PLATES[[#This Row],[ID]] &lt;&gt; "", IF(A68 = "000", A68 &amp; " | None", A68 &amp; " | " &amp; C68 &amp; " | " &amp; D68), "")</f>
        <v/>
      </c>
    </row>
    <row r="69" spans="1:13" ht="22.5" customHeight="1">
      <c r="A69" s="111" t="str">
        <f ca="1">IF(PLATES[[#This Row],[PRODUCT]] &lt;&gt; "", IF(ROW() = 2, "000", TEXT(INDIRECT("A" &amp; ROW() - 1) + 1, "000")), "")</f>
        <v/>
      </c>
      <c r="B69" s="102"/>
      <c r="C69" s="17"/>
      <c r="D69" s="102"/>
      <c r="E69" s="48"/>
      <c r="F69" s="49"/>
      <c r="G69" s="49"/>
      <c r="H69" s="49"/>
      <c r="I69" s="49"/>
      <c r="J69" s="49"/>
      <c r="K69" s="24"/>
      <c r="L69" s="103"/>
      <c r="M69" s="14" t="str">
        <f ca="1">IF(PLATES[[#This Row],[ID]] &lt;&gt; "", IF(A69 = "000", A69 &amp; " | None", A69 &amp; " | " &amp; C69 &amp; " | " &amp; D69), "")</f>
        <v/>
      </c>
    </row>
    <row r="70" spans="1:13" ht="22.5" customHeight="1">
      <c r="A70" s="111" t="str">
        <f ca="1">IF(PLATES[[#This Row],[PRODUCT]] &lt;&gt; "", IF(ROW() = 2, "000", TEXT(INDIRECT("A" &amp; ROW() - 1) + 1, "000")), "")</f>
        <v/>
      </c>
      <c r="B70" s="102"/>
      <c r="C70" s="17"/>
      <c r="D70" s="102"/>
      <c r="E70" s="48"/>
      <c r="F70" s="49"/>
      <c r="G70" s="49"/>
      <c r="H70" s="49"/>
      <c r="I70" s="49"/>
      <c r="J70" s="49"/>
      <c r="K70" s="24"/>
      <c r="L70" s="103"/>
      <c r="M70" s="14" t="str">
        <f ca="1">IF(PLATES[[#This Row],[ID]] &lt;&gt; "", IF(A70 = "000", A70 &amp; " | None", A70 &amp; " | " &amp; C70 &amp; " | " &amp; D70), "")</f>
        <v/>
      </c>
    </row>
    <row r="71" spans="1:13" ht="22.5" customHeight="1">
      <c r="A71" s="111" t="str">
        <f ca="1">IF(PLATES[[#This Row],[PRODUCT]] &lt;&gt; "", IF(ROW() = 2, "000", TEXT(INDIRECT("A" &amp; ROW() - 1) + 1, "000")), "")</f>
        <v/>
      </c>
      <c r="B71" s="102"/>
      <c r="C71" s="17"/>
      <c r="D71" s="102"/>
      <c r="E71" s="48"/>
      <c r="F71" s="49"/>
      <c r="G71" s="49"/>
      <c r="H71" s="49"/>
      <c r="I71" s="49"/>
      <c r="J71" s="49"/>
      <c r="K71" s="24"/>
      <c r="L71" s="103"/>
      <c r="M71" s="14" t="str">
        <f ca="1">IF(PLATES[[#This Row],[ID]] &lt;&gt; "", IF(A71 = "000", A71 &amp; " | None", A71 &amp; " | " &amp; C71 &amp; " | " &amp; D71), "")</f>
        <v/>
      </c>
    </row>
    <row r="72" spans="1:13" ht="22.5" customHeight="1">
      <c r="A72" s="111" t="str">
        <f ca="1">IF(PLATES[[#This Row],[PRODUCT]] &lt;&gt; "", IF(ROW() = 2, "000", TEXT(INDIRECT("A" &amp; ROW() - 1) + 1, "000")), "")</f>
        <v/>
      </c>
      <c r="B72" s="102"/>
      <c r="C72" s="17"/>
      <c r="D72" s="102"/>
      <c r="E72" s="48"/>
      <c r="F72" s="49"/>
      <c r="G72" s="49"/>
      <c r="H72" s="49"/>
      <c r="I72" s="49"/>
      <c r="J72" s="49"/>
      <c r="K72" s="24"/>
      <c r="L72" s="103"/>
      <c r="M72" s="14" t="str">
        <f ca="1">IF(PLATES[[#This Row],[ID]] &lt;&gt; "", IF(A72 = "000", A72 &amp; " | None", A72 &amp; " | " &amp; C72 &amp; " | " &amp; D72), "")</f>
        <v/>
      </c>
    </row>
    <row r="73" spans="1:13" ht="22.5" customHeight="1">
      <c r="A73" s="111" t="str">
        <f ca="1">IF(PLATES[[#This Row],[PRODUCT]] &lt;&gt; "", IF(ROW() = 2, "000", TEXT(INDIRECT("A" &amp; ROW() - 1) + 1, "000")), "")</f>
        <v/>
      </c>
      <c r="B73" s="102"/>
      <c r="C73" s="17"/>
      <c r="D73" s="102"/>
      <c r="E73" s="48"/>
      <c r="F73" s="49"/>
      <c r="G73" s="49"/>
      <c r="H73" s="49"/>
      <c r="I73" s="49"/>
      <c r="J73" s="49"/>
      <c r="K73" s="24"/>
      <c r="L73" s="103"/>
      <c r="M73" s="14" t="str">
        <f ca="1">IF(PLATES[[#This Row],[ID]] &lt;&gt; "", IF(A73 = "000", A73 &amp; " | None", A73 &amp; " | " &amp; C73 &amp; " | " &amp; D73), "")</f>
        <v/>
      </c>
    </row>
    <row r="74" spans="1:13" ht="22.5" customHeight="1">
      <c r="A74" s="111" t="str">
        <f ca="1">IF(PLATES[[#This Row],[PRODUCT]] &lt;&gt; "", IF(ROW() = 2, "000", TEXT(INDIRECT("A" &amp; ROW() - 1) + 1, "000")), "")</f>
        <v/>
      </c>
      <c r="B74" s="102"/>
      <c r="C74" s="17"/>
      <c r="D74" s="102"/>
      <c r="E74" s="48"/>
      <c r="F74" s="49"/>
      <c r="G74" s="49"/>
      <c r="H74" s="49"/>
      <c r="I74" s="49"/>
      <c r="J74" s="49"/>
      <c r="K74" s="24"/>
      <c r="L74" s="103"/>
      <c r="M74" s="14" t="str">
        <f ca="1">IF(PLATES[[#This Row],[ID]] &lt;&gt; "", IF(A74 = "000", A74 &amp; " | None", A74 &amp; " | " &amp; C74 &amp; " | " &amp; D74), "")</f>
        <v/>
      </c>
    </row>
    <row r="75" spans="1:13" ht="22.5" customHeight="1">
      <c r="A75" s="111" t="str">
        <f ca="1">IF(PLATES[[#This Row],[PRODUCT]] &lt;&gt; "", IF(ROW() = 2, "000", TEXT(INDIRECT("A" &amp; ROW() - 1) + 1, "000")), "")</f>
        <v/>
      </c>
      <c r="B75" s="102"/>
      <c r="C75" s="17"/>
      <c r="D75" s="102"/>
      <c r="E75" s="48"/>
      <c r="F75" s="49"/>
      <c r="G75" s="49"/>
      <c r="H75" s="49"/>
      <c r="I75" s="49"/>
      <c r="J75" s="49"/>
      <c r="K75" s="24"/>
      <c r="L75" s="103"/>
      <c r="M75" s="14" t="str">
        <f ca="1">IF(PLATES[[#This Row],[ID]] &lt;&gt; "", IF(A75 = "000", A75 &amp; " | None", A75 &amp; " | " &amp; C75 &amp; " | " &amp; D75), "")</f>
        <v/>
      </c>
    </row>
    <row r="76" spans="1:13" ht="22.5" customHeight="1">
      <c r="A76" s="111" t="str">
        <f ca="1">IF(PLATES[[#This Row],[PRODUCT]] &lt;&gt; "", IF(ROW() = 2, "000", TEXT(INDIRECT("A" &amp; ROW() - 1) + 1, "000")), "")</f>
        <v/>
      </c>
      <c r="B76" s="102"/>
      <c r="C76" s="17"/>
      <c r="D76" s="102"/>
      <c r="E76" s="48"/>
      <c r="F76" s="49"/>
      <c r="G76" s="49"/>
      <c r="H76" s="49"/>
      <c r="I76" s="49"/>
      <c r="J76" s="49"/>
      <c r="K76" s="24"/>
      <c r="L76" s="103"/>
      <c r="M76" s="14" t="str">
        <f ca="1">IF(PLATES[[#This Row],[ID]] &lt;&gt; "", IF(A76 = "000", A76 &amp; " | None", A76 &amp; " | " &amp; C76 &amp; " | " &amp; D76), "")</f>
        <v/>
      </c>
    </row>
    <row r="77" spans="1:13" ht="22.5" customHeight="1">
      <c r="A77" s="111" t="str">
        <f ca="1">IF(PLATES[[#This Row],[PRODUCT]] &lt;&gt; "", IF(ROW() = 2, "000", TEXT(INDIRECT("A" &amp; ROW() - 1) + 1, "000")), "")</f>
        <v/>
      </c>
      <c r="B77" s="102"/>
      <c r="C77" s="17"/>
      <c r="D77" s="102"/>
      <c r="E77" s="48"/>
      <c r="F77" s="49"/>
      <c r="G77" s="49"/>
      <c r="H77" s="49"/>
      <c r="I77" s="49"/>
      <c r="J77" s="49"/>
      <c r="K77" s="24"/>
      <c r="L77" s="103"/>
      <c r="M77" s="14" t="str">
        <f ca="1">IF(PLATES[[#This Row],[ID]] &lt;&gt; "", IF(A77 = "000", A77 &amp; " | None", A77 &amp; " | " &amp; C77 &amp; " | " &amp; D77), "")</f>
        <v/>
      </c>
    </row>
    <row r="78" spans="1:13" ht="22.5" customHeight="1">
      <c r="A78" s="111" t="str">
        <f ca="1">IF(PLATES[[#This Row],[PRODUCT]] &lt;&gt; "", IF(ROW() = 2, "000", TEXT(INDIRECT("A" &amp; ROW() - 1) + 1, "000")), "")</f>
        <v/>
      </c>
      <c r="B78" s="102"/>
      <c r="C78" s="17"/>
      <c r="D78" s="102"/>
      <c r="E78" s="48"/>
      <c r="F78" s="49"/>
      <c r="G78" s="49"/>
      <c r="H78" s="49"/>
      <c r="I78" s="49"/>
      <c r="J78" s="49"/>
      <c r="K78" s="24"/>
      <c r="L78" s="103"/>
      <c r="M78" s="14" t="str">
        <f ca="1">IF(PLATES[[#This Row],[ID]] &lt;&gt; "", IF(A78 = "000", A78 &amp; " | None", A78 &amp; " | " &amp; C78 &amp; " | " &amp; D78), "")</f>
        <v/>
      </c>
    </row>
    <row r="79" spans="1:13" ht="22.5" customHeight="1">
      <c r="A79" s="111" t="str">
        <f ca="1">IF(PLATES[[#This Row],[PRODUCT]] &lt;&gt; "", IF(ROW() = 2, "000", TEXT(INDIRECT("A" &amp; ROW() - 1) + 1, "000")), "")</f>
        <v/>
      </c>
      <c r="B79" s="102"/>
      <c r="C79" s="17"/>
      <c r="D79" s="102"/>
      <c r="E79" s="48"/>
      <c r="F79" s="49"/>
      <c r="G79" s="49"/>
      <c r="H79" s="49"/>
      <c r="I79" s="49"/>
      <c r="J79" s="49"/>
      <c r="K79" s="24"/>
      <c r="L79" s="103"/>
      <c r="M79" s="14" t="str">
        <f ca="1">IF(PLATES[[#This Row],[ID]] &lt;&gt; "", IF(A79 = "000", A79 &amp; " | None", A79 &amp; " | " &amp; C79 &amp; " | " &amp; D79), "")</f>
        <v/>
      </c>
    </row>
    <row r="80" spans="1:13" ht="22.5" customHeight="1">
      <c r="A80" s="111" t="str">
        <f ca="1">IF(PLATES[[#This Row],[PRODUCT]] &lt;&gt; "", IF(ROW() = 2, "000", TEXT(INDIRECT("A" &amp; ROW() - 1) + 1, "000")), "")</f>
        <v/>
      </c>
      <c r="B80" s="102"/>
      <c r="C80" s="17"/>
      <c r="D80" s="102"/>
      <c r="E80" s="48"/>
      <c r="F80" s="49"/>
      <c r="G80" s="49"/>
      <c r="H80" s="49"/>
      <c r="I80" s="49"/>
      <c r="J80" s="49"/>
      <c r="K80" s="24"/>
      <c r="L80" s="103"/>
      <c r="M80" s="14" t="str">
        <f ca="1">IF(PLATES[[#This Row],[ID]] &lt;&gt; "", IF(A80 = "000", A80 &amp; " | None", A80 &amp; " | " &amp; C80 &amp; " | " &amp; D80), "")</f>
        <v/>
      </c>
    </row>
    <row r="81" spans="1:13" ht="22.5" customHeight="1">
      <c r="A81" s="111" t="str">
        <f ca="1">IF(PLATES[[#This Row],[PRODUCT]] &lt;&gt; "", IF(ROW() = 2, "000", TEXT(INDIRECT("A" &amp; ROW() - 1) + 1, "000")), "")</f>
        <v/>
      </c>
      <c r="B81" s="102"/>
      <c r="C81" s="17"/>
      <c r="D81" s="102"/>
      <c r="E81" s="48"/>
      <c r="F81" s="49"/>
      <c r="G81" s="49"/>
      <c r="H81" s="49"/>
      <c r="I81" s="49"/>
      <c r="J81" s="49"/>
      <c r="K81" s="24"/>
      <c r="L81" s="103"/>
      <c r="M81" s="14" t="str">
        <f ca="1">IF(PLATES[[#This Row],[ID]] &lt;&gt; "", IF(A81 = "000", A81 &amp; " | None", A81 &amp; " | " &amp; C81 &amp; " | " &amp; D81), "")</f>
        <v/>
      </c>
    </row>
    <row r="82" spans="1:13" ht="22.5" customHeight="1">
      <c r="A82" s="111" t="str">
        <f ca="1">IF(PLATES[[#This Row],[PRODUCT]] &lt;&gt; "", IF(ROW() = 2, "000", TEXT(INDIRECT("A" &amp; ROW() - 1) + 1, "000")), "")</f>
        <v/>
      </c>
      <c r="B82" s="102"/>
      <c r="C82" s="17"/>
      <c r="D82" s="102"/>
      <c r="E82" s="48"/>
      <c r="F82" s="49"/>
      <c r="G82" s="49"/>
      <c r="H82" s="49"/>
      <c r="I82" s="49"/>
      <c r="J82" s="49"/>
      <c r="K82" s="24"/>
      <c r="L82" s="103"/>
      <c r="M82" s="14" t="str">
        <f ca="1">IF(PLATES[[#This Row],[ID]] &lt;&gt; "", IF(A82 = "000", A82 &amp; " | None", A82 &amp; " | " &amp; C82 &amp; " | " &amp; D82), "")</f>
        <v/>
      </c>
    </row>
    <row r="83" spans="1:13" ht="22.5" customHeight="1">
      <c r="A83" s="111" t="str">
        <f ca="1">IF(PLATES[[#This Row],[PRODUCT]] &lt;&gt; "", IF(ROW() = 2, "000", TEXT(INDIRECT("A" &amp; ROW() - 1) + 1, "000")), "")</f>
        <v/>
      </c>
      <c r="B83" s="102"/>
      <c r="C83" s="17"/>
      <c r="D83" s="102"/>
      <c r="E83" s="48"/>
      <c r="F83" s="49"/>
      <c r="G83" s="49"/>
      <c r="H83" s="49"/>
      <c r="I83" s="49"/>
      <c r="J83" s="49"/>
      <c r="K83" s="24"/>
      <c r="L83" s="103"/>
      <c r="M83" s="14" t="str">
        <f ca="1">IF(PLATES[[#This Row],[ID]] &lt;&gt; "", IF(A83 = "000", A83 &amp; " | None", A83 &amp; " | " &amp; C83 &amp; " | " &amp; D83), "")</f>
        <v/>
      </c>
    </row>
    <row r="84" spans="1:13" ht="22.5" customHeight="1">
      <c r="A84" s="111" t="str">
        <f ca="1">IF(PLATES[[#This Row],[PRODUCT]] &lt;&gt; "", IF(ROW() = 2, "000", TEXT(INDIRECT("A" &amp; ROW() - 1) + 1, "000")), "")</f>
        <v/>
      </c>
      <c r="B84" s="102"/>
      <c r="C84" s="17"/>
      <c r="D84" s="102"/>
      <c r="E84" s="48"/>
      <c r="F84" s="49"/>
      <c r="G84" s="49"/>
      <c r="H84" s="49"/>
      <c r="I84" s="49"/>
      <c r="J84" s="49"/>
      <c r="K84" s="24"/>
      <c r="L84" s="103"/>
      <c r="M84" s="14" t="str">
        <f ca="1">IF(PLATES[[#This Row],[ID]] &lt;&gt; "", IF(A84 = "000", A84 &amp; " | None", A84 &amp; " | " &amp; C84 &amp; " | " &amp; D84), "")</f>
        <v/>
      </c>
    </row>
    <row r="85" spans="1:13" ht="22.5" customHeight="1">
      <c r="A85" s="111" t="str">
        <f ca="1">IF(PLATES[[#This Row],[PRODUCT]] &lt;&gt; "", IF(ROW() = 2, "000", TEXT(INDIRECT("A" &amp; ROW() - 1) + 1, "000")), "")</f>
        <v/>
      </c>
      <c r="B85" s="102"/>
      <c r="C85" s="17"/>
      <c r="D85" s="102"/>
      <c r="E85" s="48"/>
      <c r="F85" s="49"/>
      <c r="G85" s="49"/>
      <c r="H85" s="49"/>
      <c r="I85" s="49"/>
      <c r="J85" s="49"/>
      <c r="K85" s="24"/>
      <c r="L85" s="103"/>
      <c r="M85" s="14" t="str">
        <f ca="1">IF(PLATES[[#This Row],[ID]] &lt;&gt; "", IF(A85 = "000", A85 &amp; " | None", A85 &amp; " | " &amp; C85 &amp; " | " &amp; D85), "")</f>
        <v/>
      </c>
    </row>
    <row r="86" spans="1:13" ht="22.5" customHeight="1">
      <c r="A86" s="111" t="str">
        <f ca="1">IF(PLATES[[#This Row],[PRODUCT]] &lt;&gt; "", IF(ROW() = 2, "000", TEXT(INDIRECT("A" &amp; ROW() - 1) + 1, "000")), "")</f>
        <v/>
      </c>
      <c r="B86" s="102"/>
      <c r="C86" s="17"/>
      <c r="D86" s="102"/>
      <c r="E86" s="48"/>
      <c r="F86" s="49"/>
      <c r="G86" s="49"/>
      <c r="H86" s="49"/>
      <c r="I86" s="49"/>
      <c r="J86" s="49"/>
      <c r="K86" s="24"/>
      <c r="L86" s="103"/>
      <c r="M86" s="14" t="str">
        <f ca="1">IF(PLATES[[#This Row],[ID]] &lt;&gt; "", IF(A86 = "000", A86 &amp; " | None", A86 &amp; " | " &amp; C86 &amp; " | " &amp; D86), "")</f>
        <v/>
      </c>
    </row>
    <row r="87" spans="1:13" ht="22.5" customHeight="1">
      <c r="A87" s="111" t="str">
        <f ca="1">IF(PLATES[[#This Row],[PRODUCT]] &lt;&gt; "", IF(ROW() = 2, "000", TEXT(INDIRECT("A" &amp; ROW() - 1) + 1, "000")), "")</f>
        <v/>
      </c>
      <c r="B87" s="102"/>
      <c r="C87" s="17"/>
      <c r="D87" s="102"/>
      <c r="E87" s="48"/>
      <c r="F87" s="49"/>
      <c r="G87" s="49"/>
      <c r="H87" s="49"/>
      <c r="I87" s="49"/>
      <c r="J87" s="49"/>
      <c r="K87" s="24"/>
      <c r="L87" s="103"/>
      <c r="M87" s="14" t="str">
        <f ca="1">IF(PLATES[[#This Row],[ID]] &lt;&gt; "", IF(A87 = "000", A87 &amp; " | None", A87 &amp; " | " &amp; C87 &amp; " | " &amp; D87), "")</f>
        <v/>
      </c>
    </row>
    <row r="88" spans="1:13" ht="22.5" customHeight="1">
      <c r="A88" s="111" t="str">
        <f ca="1">IF(PLATES[[#This Row],[PRODUCT]] &lt;&gt; "", IF(ROW() = 2, "000", TEXT(INDIRECT("A" &amp; ROW() - 1) + 1, "000")), "")</f>
        <v/>
      </c>
      <c r="B88" s="102"/>
      <c r="C88" s="17"/>
      <c r="D88" s="102"/>
      <c r="E88" s="48"/>
      <c r="F88" s="49"/>
      <c r="G88" s="49"/>
      <c r="H88" s="49"/>
      <c r="I88" s="49"/>
      <c r="J88" s="49"/>
      <c r="K88" s="24"/>
      <c r="L88" s="103"/>
      <c r="M88" s="14" t="str">
        <f ca="1">IF(PLATES[[#This Row],[ID]] &lt;&gt; "", IF(A88 = "000", A88 &amp; " | None", A88 &amp; " | " &amp; C88 &amp; " | " &amp; D88), "")</f>
        <v/>
      </c>
    </row>
    <row r="89" spans="1:13" ht="22.5" customHeight="1">
      <c r="A89" s="111" t="str">
        <f ca="1">IF(PLATES[[#This Row],[PRODUCT]] &lt;&gt; "", IF(ROW() = 2, "000", TEXT(INDIRECT("A" &amp; ROW() - 1) + 1, "000")), "")</f>
        <v/>
      </c>
      <c r="B89" s="102"/>
      <c r="C89" s="17"/>
      <c r="D89" s="102"/>
      <c r="E89" s="48"/>
      <c r="F89" s="49"/>
      <c r="G89" s="49"/>
      <c r="H89" s="49"/>
      <c r="I89" s="49"/>
      <c r="J89" s="49"/>
      <c r="K89" s="24"/>
      <c r="L89" s="103"/>
      <c r="M89" s="14" t="str">
        <f ca="1">IF(PLATES[[#This Row],[ID]] &lt;&gt; "", IF(A89 = "000", A89 &amp; " | None", A89 &amp; " | " &amp; C89 &amp; " | " &amp; D89), "")</f>
        <v/>
      </c>
    </row>
    <row r="90" spans="1:13" ht="22.5" customHeight="1">
      <c r="A90" s="111" t="str">
        <f ca="1">IF(PLATES[[#This Row],[PRODUCT]] &lt;&gt; "", IF(ROW() = 2, "000", TEXT(INDIRECT("A" &amp; ROW() - 1) + 1, "000")), "")</f>
        <v/>
      </c>
      <c r="B90" s="102"/>
      <c r="C90" s="17"/>
      <c r="D90" s="102"/>
      <c r="E90" s="48"/>
      <c r="F90" s="49"/>
      <c r="G90" s="49"/>
      <c r="H90" s="49"/>
      <c r="I90" s="49"/>
      <c r="J90" s="49"/>
      <c r="K90" s="24"/>
      <c r="L90" s="103"/>
      <c r="M90" s="14" t="str">
        <f ca="1">IF(PLATES[[#This Row],[ID]] &lt;&gt; "", IF(A90 = "000", A90 &amp; " | None", A90 &amp; " | " &amp; C90 &amp; " | " &amp; D90), "")</f>
        <v/>
      </c>
    </row>
    <row r="91" spans="1:13" ht="22.5" customHeight="1">
      <c r="A91" s="111" t="str">
        <f ca="1">IF(PLATES[[#This Row],[PRODUCT]] &lt;&gt; "", IF(ROW() = 2, "000", TEXT(INDIRECT("A" &amp; ROW() - 1) + 1, "000")), "")</f>
        <v/>
      </c>
      <c r="B91" s="102"/>
      <c r="C91" s="17"/>
      <c r="D91" s="102"/>
      <c r="E91" s="48"/>
      <c r="F91" s="49"/>
      <c r="G91" s="49"/>
      <c r="H91" s="49"/>
      <c r="I91" s="49"/>
      <c r="J91" s="49"/>
      <c r="K91" s="24"/>
      <c r="L91" s="103"/>
      <c r="M91" s="14" t="str">
        <f ca="1">IF(PLATES[[#This Row],[ID]] &lt;&gt; "", IF(A91 = "000", A91 &amp; " | None", A91 &amp; " | " &amp; C91 &amp; " | " &amp; D91), "")</f>
        <v/>
      </c>
    </row>
    <row r="92" spans="1:13" ht="22.5" customHeight="1">
      <c r="A92" s="111" t="str">
        <f ca="1">IF(PLATES[[#This Row],[PRODUCT]] &lt;&gt; "", IF(ROW() = 2, "000", TEXT(INDIRECT("A" &amp; ROW() - 1) + 1, "000")), "")</f>
        <v/>
      </c>
      <c r="B92" s="102"/>
      <c r="C92" s="17"/>
      <c r="D92" s="102"/>
      <c r="E92" s="48"/>
      <c r="F92" s="49"/>
      <c r="G92" s="49"/>
      <c r="H92" s="49"/>
      <c r="I92" s="49"/>
      <c r="J92" s="49"/>
      <c r="K92" s="24"/>
      <c r="L92" s="103"/>
      <c r="M92" s="14" t="str">
        <f ca="1">IF(PLATES[[#This Row],[ID]] &lt;&gt; "", IF(A92 = "000", A92 &amp; " | None", A92 &amp; " | " &amp; C92 &amp; " | " &amp; D92), "")</f>
        <v/>
      </c>
    </row>
    <row r="93" spans="1:13" ht="22.5" customHeight="1">
      <c r="A93" s="111" t="str">
        <f ca="1">IF(PLATES[[#This Row],[PRODUCT]] &lt;&gt; "", IF(ROW() = 2, "000", TEXT(INDIRECT("A" &amp; ROW() - 1) + 1, "000")), "")</f>
        <v/>
      </c>
      <c r="B93" s="102"/>
      <c r="C93" s="17"/>
      <c r="D93" s="102"/>
      <c r="E93" s="48"/>
      <c r="F93" s="49"/>
      <c r="G93" s="49"/>
      <c r="H93" s="49"/>
      <c r="I93" s="49"/>
      <c r="J93" s="49"/>
      <c r="K93" s="24"/>
      <c r="L93" s="103"/>
      <c r="M93" s="14" t="str">
        <f ca="1">IF(PLATES[[#This Row],[ID]] &lt;&gt; "", IF(A93 = "000", A93 &amp; " | None", A93 &amp; " | " &amp; C93 &amp; " | " &amp; D93), "")</f>
        <v/>
      </c>
    </row>
    <row r="94" spans="1:13" ht="22.5" customHeight="1">
      <c r="A94" s="111" t="str">
        <f ca="1">IF(PLATES[[#This Row],[PRODUCT]] &lt;&gt; "", IF(ROW() = 2, "000", TEXT(INDIRECT("A" &amp; ROW() - 1) + 1, "000")), "")</f>
        <v/>
      </c>
      <c r="B94" s="102"/>
      <c r="C94" s="17"/>
      <c r="D94" s="102"/>
      <c r="E94" s="48"/>
      <c r="F94" s="49"/>
      <c r="G94" s="49"/>
      <c r="H94" s="49"/>
      <c r="I94" s="49"/>
      <c r="J94" s="49"/>
      <c r="K94" s="24"/>
      <c r="L94" s="103"/>
      <c r="M94" s="14" t="str">
        <f ca="1">IF(PLATES[[#This Row],[ID]] &lt;&gt; "", IF(A94 = "000", A94 &amp; " | None", A94 &amp; " | " &amp; C94 &amp; " | " &amp; D94), "")</f>
        <v/>
      </c>
    </row>
    <row r="95" spans="1:13" ht="22.5" customHeight="1">
      <c r="A95" s="111" t="str">
        <f ca="1">IF(PLATES[[#This Row],[PRODUCT]] &lt;&gt; "", IF(ROW() = 2, "000", TEXT(INDIRECT("A" &amp; ROW() - 1) + 1, "000")), "")</f>
        <v/>
      </c>
      <c r="B95" s="102"/>
      <c r="C95" s="17"/>
      <c r="D95" s="102"/>
      <c r="E95" s="48"/>
      <c r="F95" s="49"/>
      <c r="G95" s="49"/>
      <c r="H95" s="49"/>
      <c r="I95" s="49"/>
      <c r="J95" s="49"/>
      <c r="K95" s="24"/>
      <c r="L95" s="103"/>
      <c r="M95" s="14" t="str">
        <f ca="1">IF(PLATES[[#This Row],[ID]] &lt;&gt; "", IF(A95 = "000", A95 &amp; " | None", A95 &amp; " | " &amp; C95 &amp; " | " &amp; D95), "")</f>
        <v/>
      </c>
    </row>
    <row r="96" spans="1:13" ht="22.5" customHeight="1">
      <c r="A96" s="111" t="str">
        <f ca="1">IF(PLATES[[#This Row],[PRODUCT]] &lt;&gt; "", IF(ROW() = 2, "000", TEXT(INDIRECT("A" &amp; ROW() - 1) + 1, "000")), "")</f>
        <v/>
      </c>
      <c r="B96" s="102"/>
      <c r="C96" s="17"/>
      <c r="D96" s="102"/>
      <c r="E96" s="48"/>
      <c r="F96" s="49"/>
      <c r="G96" s="49"/>
      <c r="H96" s="49"/>
      <c r="I96" s="49"/>
      <c r="J96" s="49"/>
      <c r="K96" s="24"/>
      <c r="L96" s="103"/>
      <c r="M96" s="14" t="str">
        <f ca="1">IF(PLATES[[#This Row],[ID]] &lt;&gt; "", IF(A96 = "000", A96 &amp; " | None", A96 &amp; " | " &amp; C96 &amp; " | " &amp; D96), "")</f>
        <v/>
      </c>
    </row>
    <row r="97" spans="1:13" ht="22.5" customHeight="1">
      <c r="A97" s="111" t="str">
        <f ca="1">IF(PLATES[[#This Row],[PRODUCT]] &lt;&gt; "", IF(ROW() = 2, "000", TEXT(INDIRECT("A" &amp; ROW() - 1) + 1, "000")), "")</f>
        <v/>
      </c>
      <c r="B97" s="102"/>
      <c r="C97" s="17"/>
      <c r="D97" s="102"/>
      <c r="E97" s="48"/>
      <c r="F97" s="49"/>
      <c r="G97" s="49"/>
      <c r="H97" s="49"/>
      <c r="I97" s="49"/>
      <c r="J97" s="49"/>
      <c r="K97" s="24"/>
      <c r="L97" s="103"/>
      <c r="M97" s="14" t="str">
        <f ca="1">IF(PLATES[[#This Row],[ID]] &lt;&gt; "", IF(A97 = "000", A97 &amp; " | None", A97 &amp; " | " &amp; C97 &amp; " | " &amp; D97), "")</f>
        <v/>
      </c>
    </row>
    <row r="98" spans="1:13" ht="22.5" customHeight="1">
      <c r="A98" s="111" t="str">
        <f ca="1">IF(PLATES[[#This Row],[PRODUCT]] &lt;&gt; "", IF(ROW() = 2, "000", TEXT(INDIRECT("A" &amp; ROW() - 1) + 1, "000")), "")</f>
        <v/>
      </c>
      <c r="B98" s="102"/>
      <c r="C98" s="17"/>
      <c r="D98" s="102"/>
      <c r="E98" s="48"/>
      <c r="F98" s="49"/>
      <c r="G98" s="49"/>
      <c r="H98" s="49"/>
      <c r="I98" s="49"/>
      <c r="J98" s="49"/>
      <c r="K98" s="24"/>
      <c r="L98" s="103"/>
      <c r="M98" s="14" t="str">
        <f ca="1">IF(PLATES[[#This Row],[ID]] &lt;&gt; "", IF(A98 = "000", A98 &amp; " | None", A98 &amp; " | " &amp; C98 &amp; " | " &amp; D98), "")</f>
        <v/>
      </c>
    </row>
    <row r="99" spans="1:13" ht="22.5" customHeight="1">
      <c r="A99" s="111" t="str">
        <f ca="1">IF(PLATES[[#This Row],[PRODUCT]] &lt;&gt; "", IF(ROW() = 2, "000", TEXT(INDIRECT("A" &amp; ROW() - 1) + 1, "000")), "")</f>
        <v/>
      </c>
      <c r="B99" s="102"/>
      <c r="C99" s="17"/>
      <c r="D99" s="102"/>
      <c r="E99" s="48"/>
      <c r="F99" s="49"/>
      <c r="G99" s="49"/>
      <c r="H99" s="49"/>
      <c r="I99" s="49"/>
      <c r="J99" s="49"/>
      <c r="K99" s="24"/>
      <c r="L99" s="103"/>
      <c r="M99" s="14" t="str">
        <f ca="1">IF(PLATES[[#This Row],[ID]] &lt;&gt; "", IF(A99 = "000", A99 &amp; " | None", A99 &amp; " | " &amp; C99 &amp; " | " &amp; D99), "")</f>
        <v/>
      </c>
    </row>
    <row r="100" spans="1:13" ht="22.5" customHeight="1">
      <c r="A100" s="111" t="str">
        <f ca="1">IF(PLATES[[#This Row],[PRODUCT]] &lt;&gt; "", IF(ROW() = 2, "000", TEXT(INDIRECT("A" &amp; ROW() - 1) + 1, "000")), "")</f>
        <v/>
      </c>
      <c r="B100" s="102"/>
      <c r="C100" s="17"/>
      <c r="D100" s="102"/>
      <c r="E100" s="48"/>
      <c r="F100" s="49"/>
      <c r="G100" s="49"/>
      <c r="H100" s="49"/>
      <c r="I100" s="49"/>
      <c r="J100" s="49"/>
      <c r="K100" s="24"/>
      <c r="L100" s="103"/>
      <c r="M100" s="14" t="str">
        <f ca="1">IF(PLATES[[#This Row],[ID]] &lt;&gt; "", IF(A100 = "000", A100 &amp; " | None", A100 &amp; " | " &amp; C100 &amp; " | " &amp; D100), "")</f>
        <v/>
      </c>
    </row>
    <row r="101" spans="1:13" ht="22.5" customHeight="1">
      <c r="A101" s="111" t="str">
        <f ca="1">IF(PLATES[[#This Row],[PRODUCT]] &lt;&gt; "", IF(ROW() = 2, "000", TEXT(INDIRECT("A" &amp; ROW() - 1) + 1, "000")), "")</f>
        <v/>
      </c>
      <c r="B101" s="102"/>
      <c r="C101" s="17"/>
      <c r="D101" s="102"/>
      <c r="E101" s="48"/>
      <c r="F101" s="49"/>
      <c r="G101" s="49"/>
      <c r="H101" s="49"/>
      <c r="I101" s="49"/>
      <c r="J101" s="49"/>
      <c r="K101" s="24"/>
      <c r="L101" s="103"/>
      <c r="M101" s="14" t="str">
        <f ca="1">IF(PLATES[[#This Row],[ID]] &lt;&gt; "", IF(A101 = "000", A101 &amp; " | None", A101 &amp; " | " &amp; C101 &amp; " | " &amp; D101), "")</f>
        <v/>
      </c>
    </row>
    <row r="102" spans="1:13" ht="22.5" customHeight="1">
      <c r="A102" s="111" t="str">
        <f ca="1">IF(PLATES[[#This Row],[PRODUCT]] &lt;&gt; "", IF(ROW() = 2, "000", TEXT(INDIRECT("A" &amp; ROW() - 1) + 1, "000")), "")</f>
        <v/>
      </c>
      <c r="B102" s="102"/>
      <c r="C102" s="17"/>
      <c r="D102" s="102"/>
      <c r="E102" s="48"/>
      <c r="F102" s="49"/>
      <c r="G102" s="49"/>
      <c r="H102" s="49"/>
      <c r="I102" s="49"/>
      <c r="J102" s="49"/>
      <c r="K102" s="24"/>
      <c r="L102" s="103"/>
      <c r="M102" s="14" t="str">
        <f ca="1">IF(PLATES[[#This Row],[ID]] &lt;&gt; "", IF(A102 = "000", A102 &amp; " | None", A102 &amp; " | " &amp; C102 &amp; " | " &amp; D102), "")</f>
        <v/>
      </c>
    </row>
    <row r="103" spans="1:13" ht="22.5" customHeight="1">
      <c r="A103" s="111" t="str">
        <f ca="1">IF(PLATES[[#This Row],[PRODUCT]] &lt;&gt; "", IF(ROW() = 2, "000", TEXT(INDIRECT("A" &amp; ROW() - 1) + 1, "000")), "")</f>
        <v/>
      </c>
      <c r="B103" s="102"/>
      <c r="C103" s="17"/>
      <c r="D103" s="102"/>
      <c r="E103" s="48"/>
      <c r="F103" s="49"/>
      <c r="G103" s="49"/>
      <c r="H103" s="49"/>
      <c r="I103" s="49"/>
      <c r="J103" s="49"/>
      <c r="K103" s="24"/>
      <c r="L103" s="103"/>
      <c r="M103" s="14" t="str">
        <f ca="1">IF(PLATES[[#This Row],[ID]] &lt;&gt; "", IF(A103 = "000", A103 &amp; " | None", A103 &amp; " | " &amp; C103 &amp; " | " &amp; D103), "")</f>
        <v/>
      </c>
    </row>
    <row r="104" spans="1:13" ht="22.5" customHeight="1">
      <c r="A104" s="111" t="str">
        <f ca="1">IF(PLATES[[#This Row],[PRODUCT]] &lt;&gt; "", IF(ROW() = 2, "000", TEXT(INDIRECT("A" &amp; ROW() - 1) + 1, "000")), "")</f>
        <v/>
      </c>
      <c r="B104" s="102"/>
      <c r="C104" s="17"/>
      <c r="D104" s="102"/>
      <c r="E104" s="48"/>
      <c r="F104" s="49"/>
      <c r="G104" s="49"/>
      <c r="H104" s="49"/>
      <c r="I104" s="49"/>
      <c r="J104" s="49"/>
      <c r="K104" s="24"/>
      <c r="L104" s="103"/>
      <c r="M104" s="14" t="str">
        <f ca="1">IF(PLATES[[#This Row],[ID]] &lt;&gt; "", IF(A104 = "000", A104 &amp; " | None", A104 &amp; " | " &amp; C104 &amp; " | " &amp; D104), "")</f>
        <v/>
      </c>
    </row>
    <row r="105" spans="1:13" ht="22.5" customHeight="1">
      <c r="A105" s="111" t="str">
        <f ca="1">IF(PLATES[[#This Row],[PRODUCT]] &lt;&gt; "", IF(ROW() = 2, "000", TEXT(INDIRECT("A" &amp; ROW() - 1) + 1, "000")), "")</f>
        <v/>
      </c>
      <c r="B105" s="102"/>
      <c r="C105" s="17"/>
      <c r="D105" s="102"/>
      <c r="E105" s="48"/>
      <c r="F105" s="49"/>
      <c r="G105" s="49"/>
      <c r="H105" s="49"/>
      <c r="I105" s="49"/>
      <c r="J105" s="49"/>
      <c r="K105" s="24"/>
      <c r="L105" s="103"/>
      <c r="M105" s="14" t="str">
        <f ca="1">IF(PLATES[[#This Row],[ID]] &lt;&gt; "", IF(A105 = "000", A105 &amp; " | None", A105 &amp; " | " &amp; C105 &amp; " | " &amp; D105), "")</f>
        <v/>
      </c>
    </row>
    <row r="106" spans="1:13" ht="22.5" customHeight="1">
      <c r="A106" s="111" t="str">
        <f ca="1">IF(PLATES[[#This Row],[PRODUCT]] &lt;&gt; "", IF(ROW() = 2, "000", TEXT(INDIRECT("A" &amp; ROW() - 1) + 1, "000")), "")</f>
        <v/>
      </c>
      <c r="B106" s="102"/>
      <c r="C106" s="17"/>
      <c r="D106" s="102"/>
      <c r="E106" s="48"/>
      <c r="F106" s="49"/>
      <c r="G106" s="49"/>
      <c r="H106" s="49"/>
      <c r="I106" s="49"/>
      <c r="J106" s="49"/>
      <c r="K106" s="24"/>
      <c r="L106" s="103"/>
      <c r="M106" s="14" t="str">
        <f ca="1">IF(PLATES[[#This Row],[ID]] &lt;&gt; "", IF(A106 = "000", A106 &amp; " | None", A106 &amp; " | " &amp; C106 &amp; " | " &amp; D106), "")</f>
        <v/>
      </c>
    </row>
    <row r="107" spans="1:13" ht="22.5" customHeight="1">
      <c r="A107" s="111" t="str">
        <f ca="1">IF(PLATES[[#This Row],[PRODUCT]] &lt;&gt; "", IF(ROW() = 2, "000", TEXT(INDIRECT("A" &amp; ROW() - 1) + 1, "000")), "")</f>
        <v/>
      </c>
      <c r="B107" s="102"/>
      <c r="C107" s="17"/>
      <c r="D107" s="102"/>
      <c r="E107" s="48"/>
      <c r="F107" s="49"/>
      <c r="G107" s="49"/>
      <c r="H107" s="49"/>
      <c r="I107" s="49"/>
      <c r="J107" s="49"/>
      <c r="K107" s="24"/>
      <c r="L107" s="103"/>
      <c r="M107" s="14" t="str">
        <f ca="1">IF(PLATES[[#This Row],[ID]] &lt;&gt; "", IF(A107 = "000", A107 &amp; " | None", A107 &amp; " | " &amp; C107 &amp; " | " &amp; D107), "")</f>
        <v/>
      </c>
    </row>
    <row r="108" spans="1:13" ht="22.5" customHeight="1">
      <c r="A108" s="111" t="str">
        <f ca="1">IF(PLATES[[#This Row],[PRODUCT]] &lt;&gt; "", IF(ROW() = 2, "000", TEXT(INDIRECT("A" &amp; ROW() - 1) + 1, "000")), "")</f>
        <v/>
      </c>
      <c r="B108" s="102"/>
      <c r="C108" s="17"/>
      <c r="D108" s="102"/>
      <c r="E108" s="48"/>
      <c r="F108" s="49"/>
      <c r="G108" s="49"/>
      <c r="H108" s="49"/>
      <c r="I108" s="49"/>
      <c r="J108" s="49"/>
      <c r="K108" s="24"/>
      <c r="L108" s="103"/>
      <c r="M108" s="14" t="str">
        <f ca="1">IF(PLATES[[#This Row],[ID]] &lt;&gt; "", IF(A108 = "000", A108 &amp; " | None", A108 &amp; " | " &amp; C108 &amp; " | " &amp; D108), "")</f>
        <v/>
      </c>
    </row>
    <row r="109" spans="1:13" ht="22.5" customHeight="1">
      <c r="A109" s="111" t="str">
        <f ca="1">IF(PLATES[[#This Row],[PRODUCT]] &lt;&gt; "", IF(ROW() = 2, "000", TEXT(INDIRECT("A" &amp; ROW() - 1) + 1, "000")), "")</f>
        <v/>
      </c>
      <c r="B109" s="102"/>
      <c r="C109" s="17"/>
      <c r="D109" s="102"/>
      <c r="E109" s="48"/>
      <c r="F109" s="49"/>
      <c r="G109" s="49"/>
      <c r="H109" s="49"/>
      <c r="I109" s="49"/>
      <c r="J109" s="49"/>
      <c r="K109" s="24"/>
      <c r="L109" s="103"/>
      <c r="M109" s="14" t="str">
        <f ca="1">IF(PLATES[[#This Row],[ID]] &lt;&gt; "", IF(A109 = "000", A109 &amp; " | None", A109 &amp; " | " &amp; C109 &amp; " | " &amp; D109), "")</f>
        <v/>
      </c>
    </row>
    <row r="110" spans="1:13" ht="22.5" customHeight="1">
      <c r="A110" s="111" t="str">
        <f ca="1">IF(PLATES[[#This Row],[PRODUCT]] &lt;&gt; "", IF(ROW() = 2, "000", TEXT(INDIRECT("A" &amp; ROW() - 1) + 1, "000")), "")</f>
        <v/>
      </c>
      <c r="B110" s="102"/>
      <c r="C110" s="17"/>
      <c r="D110" s="102"/>
      <c r="E110" s="48"/>
      <c r="F110" s="49"/>
      <c r="G110" s="49"/>
      <c r="H110" s="49"/>
      <c r="I110" s="49"/>
      <c r="J110" s="49"/>
      <c r="K110" s="24"/>
      <c r="L110" s="103"/>
      <c r="M110" s="14" t="str">
        <f ca="1">IF(PLATES[[#This Row],[ID]] &lt;&gt; "", IF(A110 = "000", A110 &amp; " | None", A110 &amp; " | " &amp; C110 &amp; " | " &amp; D110), "")</f>
        <v/>
      </c>
    </row>
    <row r="111" spans="1:13" ht="22.5" customHeight="1">
      <c r="A111" s="111" t="str">
        <f ca="1">IF(PLATES[[#This Row],[PRODUCT]] &lt;&gt; "", IF(ROW() = 2, "000", TEXT(INDIRECT("A" &amp; ROW() - 1) + 1, "000")), "")</f>
        <v/>
      </c>
      <c r="B111" s="102"/>
      <c r="C111" s="17"/>
      <c r="D111" s="102"/>
      <c r="E111" s="48"/>
      <c r="F111" s="49"/>
      <c r="G111" s="49"/>
      <c r="H111" s="49"/>
      <c r="I111" s="49"/>
      <c r="J111" s="49"/>
      <c r="K111" s="24"/>
      <c r="L111" s="103"/>
      <c r="M111" s="14" t="str">
        <f ca="1">IF(PLATES[[#This Row],[ID]] &lt;&gt; "", IF(A111 = "000", A111 &amp; " | None", A111 &amp; " | " &amp; C111 &amp; " | " &amp; D111), "")</f>
        <v/>
      </c>
    </row>
    <row r="112" spans="1:13" ht="22.5" customHeight="1">
      <c r="A112" s="111" t="str">
        <f ca="1">IF(PLATES[[#This Row],[PRODUCT]] &lt;&gt; "", IF(ROW() = 2, "000", TEXT(INDIRECT("A" &amp; ROW() - 1) + 1, "000")), "")</f>
        <v/>
      </c>
      <c r="B112" s="102"/>
      <c r="C112" s="17"/>
      <c r="D112" s="102"/>
      <c r="E112" s="48"/>
      <c r="F112" s="49"/>
      <c r="G112" s="49"/>
      <c r="H112" s="49"/>
      <c r="I112" s="49"/>
      <c r="J112" s="49"/>
      <c r="K112" s="24"/>
      <c r="L112" s="103"/>
      <c r="M112" s="14" t="str">
        <f ca="1">IF(PLATES[[#This Row],[ID]] &lt;&gt; "", IF(A112 = "000", A112 &amp; " | None", A112 &amp; " | " &amp; C112 &amp; " | " &amp; D112), "")</f>
        <v/>
      </c>
    </row>
    <row r="113" spans="1:13" ht="22.5" customHeight="1">
      <c r="A113" s="111" t="str">
        <f ca="1">IF(PLATES[[#This Row],[PRODUCT]] &lt;&gt; "", IF(ROW() = 2, "000", TEXT(INDIRECT("A" &amp; ROW() - 1) + 1, "000")), "")</f>
        <v/>
      </c>
      <c r="B113" s="102"/>
      <c r="C113" s="17"/>
      <c r="D113" s="102"/>
      <c r="E113" s="48"/>
      <c r="F113" s="49"/>
      <c r="G113" s="49"/>
      <c r="H113" s="49"/>
      <c r="I113" s="49"/>
      <c r="J113" s="49"/>
      <c r="K113" s="24"/>
      <c r="L113" s="103"/>
      <c r="M113" s="14" t="str">
        <f ca="1">IF(PLATES[[#This Row],[ID]] &lt;&gt; "", IF(A113 = "000", A113 &amp; " | None", A113 &amp; " | " &amp; C113 &amp; " | " &amp; D113), "")</f>
        <v/>
      </c>
    </row>
    <row r="114" spans="1:13" ht="22.5" customHeight="1">
      <c r="A114" s="111" t="str">
        <f ca="1">IF(PLATES[[#This Row],[PRODUCT]] &lt;&gt; "", IF(ROW() = 2, "000", TEXT(INDIRECT("A" &amp; ROW() - 1) + 1, "000")), "")</f>
        <v/>
      </c>
      <c r="B114" s="102"/>
      <c r="C114" s="17"/>
      <c r="D114" s="102"/>
      <c r="E114" s="48"/>
      <c r="F114" s="49"/>
      <c r="G114" s="49"/>
      <c r="H114" s="49"/>
      <c r="I114" s="49"/>
      <c r="J114" s="49"/>
      <c r="K114" s="24"/>
      <c r="L114" s="103"/>
      <c r="M114" s="14" t="str">
        <f ca="1">IF(PLATES[[#This Row],[ID]] &lt;&gt; "", IF(A114 = "000", A114 &amp; " | None", A114 &amp; " | " &amp; C114 &amp; " | " &amp; D114), "")</f>
        <v/>
      </c>
    </row>
    <row r="115" spans="1:13" ht="22.5" customHeight="1">
      <c r="A115" s="111" t="str">
        <f ca="1">IF(PLATES[[#This Row],[PRODUCT]] &lt;&gt; "", IF(ROW() = 2, "000", TEXT(INDIRECT("A" &amp; ROW() - 1) + 1, "000")), "")</f>
        <v/>
      </c>
      <c r="B115" s="102"/>
      <c r="C115" s="17"/>
      <c r="D115" s="102"/>
      <c r="E115" s="48"/>
      <c r="F115" s="49"/>
      <c r="G115" s="49"/>
      <c r="H115" s="49"/>
      <c r="I115" s="49"/>
      <c r="J115" s="49"/>
      <c r="K115" s="24"/>
      <c r="L115" s="103"/>
      <c r="M115" s="14" t="str">
        <f ca="1">IF(PLATES[[#This Row],[ID]] &lt;&gt; "", IF(A115 = "000", A115 &amp; " | None", A115 &amp; " | " &amp; C115 &amp; " | " &amp; D115), "")</f>
        <v/>
      </c>
    </row>
    <row r="116" spans="1:13" ht="22.5" customHeight="1">
      <c r="A116" s="111" t="str">
        <f ca="1">IF(PLATES[[#This Row],[PRODUCT]] &lt;&gt; "", IF(ROW() = 2, "000", TEXT(INDIRECT("A" &amp; ROW() - 1) + 1, "000")), "")</f>
        <v/>
      </c>
      <c r="B116" s="102"/>
      <c r="C116" s="17"/>
      <c r="D116" s="102"/>
      <c r="E116" s="48"/>
      <c r="F116" s="49"/>
      <c r="G116" s="49"/>
      <c r="H116" s="49"/>
      <c r="I116" s="49"/>
      <c r="J116" s="49"/>
      <c r="K116" s="24"/>
      <c r="L116" s="103"/>
      <c r="M116" s="14" t="str">
        <f ca="1">IF(PLATES[[#This Row],[ID]] &lt;&gt; "", IF(A116 = "000", A116 &amp; " | None", A116 &amp; " | " &amp; C116 &amp; " | " &amp; D116), "")</f>
        <v/>
      </c>
    </row>
    <row r="117" spans="1:13" ht="22.5" customHeight="1">
      <c r="A117" s="111" t="str">
        <f ca="1">IF(PLATES[[#This Row],[PRODUCT]] &lt;&gt; "", IF(ROW() = 2, "000", TEXT(INDIRECT("A" &amp; ROW() - 1) + 1, "000")), "")</f>
        <v/>
      </c>
      <c r="B117" s="102"/>
      <c r="C117" s="17"/>
      <c r="D117" s="102"/>
      <c r="E117" s="48"/>
      <c r="F117" s="49"/>
      <c r="G117" s="49"/>
      <c r="H117" s="49"/>
      <c r="I117" s="49"/>
      <c r="J117" s="49"/>
      <c r="K117" s="24"/>
      <c r="L117" s="103"/>
      <c r="M117" s="14" t="str">
        <f ca="1">IF(PLATES[[#This Row],[ID]] &lt;&gt; "", IF(A117 = "000", A117 &amp; " | None", A117 &amp; " | " &amp; C117 &amp; " | " &amp; D117), "")</f>
        <v/>
      </c>
    </row>
    <row r="118" spans="1:13" ht="22.5" customHeight="1">
      <c r="A118" s="111" t="str">
        <f ca="1">IF(PLATES[[#This Row],[PRODUCT]] &lt;&gt; "", IF(ROW() = 2, "000", TEXT(INDIRECT("A" &amp; ROW() - 1) + 1, "000")), "")</f>
        <v/>
      </c>
      <c r="B118" s="102"/>
      <c r="C118" s="17"/>
      <c r="D118" s="102"/>
      <c r="E118" s="48"/>
      <c r="F118" s="49"/>
      <c r="G118" s="49"/>
      <c r="H118" s="49"/>
      <c r="I118" s="49"/>
      <c r="J118" s="49"/>
      <c r="K118" s="24"/>
      <c r="L118" s="103"/>
      <c r="M118" s="14" t="str">
        <f ca="1">IF(PLATES[[#This Row],[ID]] &lt;&gt; "", IF(A118 = "000", A118 &amp; " | None", A118 &amp; " | " &amp; C118 &amp; " | " &amp; D118), "")</f>
        <v/>
      </c>
    </row>
    <row r="119" spans="1:13" ht="22.5" customHeight="1">
      <c r="A119" s="111" t="str">
        <f ca="1">IF(PLATES[[#This Row],[PRODUCT]] &lt;&gt; "", IF(ROW() = 2, "000", TEXT(INDIRECT("A" &amp; ROW() - 1) + 1, "000")), "")</f>
        <v/>
      </c>
      <c r="B119" s="102"/>
      <c r="C119" s="17"/>
      <c r="D119" s="102"/>
      <c r="E119" s="48"/>
      <c r="F119" s="49"/>
      <c r="G119" s="49"/>
      <c r="H119" s="49"/>
      <c r="I119" s="49"/>
      <c r="J119" s="49"/>
      <c r="K119" s="24"/>
      <c r="L119" s="103"/>
      <c r="M119" s="14" t="str">
        <f ca="1">IF(PLATES[[#This Row],[ID]] &lt;&gt; "", IF(A119 = "000", A119 &amp; " | None", A119 &amp; " | " &amp; C119 &amp; " | " &amp; D119), "")</f>
        <v/>
      </c>
    </row>
    <row r="120" spans="1:13" ht="22.5" customHeight="1">
      <c r="A120" s="111" t="str">
        <f ca="1">IF(PLATES[[#This Row],[PRODUCT]] &lt;&gt; "", IF(ROW() = 2, "000", TEXT(INDIRECT("A" &amp; ROW() - 1) + 1, "000")), "")</f>
        <v/>
      </c>
      <c r="B120" s="102"/>
      <c r="C120" s="17"/>
      <c r="D120" s="102"/>
      <c r="E120" s="48"/>
      <c r="F120" s="49"/>
      <c r="G120" s="49"/>
      <c r="H120" s="49"/>
      <c r="I120" s="49"/>
      <c r="J120" s="49"/>
      <c r="K120" s="24"/>
      <c r="L120" s="103"/>
      <c r="M120" s="14" t="str">
        <f ca="1">IF(PLATES[[#This Row],[ID]] &lt;&gt; "", IF(A120 = "000", A120 &amp; " | None", A120 &amp; " | " &amp; C120 &amp; " | " &amp; D120), "")</f>
        <v/>
      </c>
    </row>
    <row r="121" spans="1:13" ht="22.5" customHeight="1">
      <c r="A121" s="111" t="str">
        <f ca="1">IF(PLATES[[#This Row],[PRODUCT]] &lt;&gt; "", IF(ROW() = 2, "000", TEXT(INDIRECT("A" &amp; ROW() - 1) + 1, "000")), "")</f>
        <v/>
      </c>
      <c r="B121" s="102"/>
      <c r="C121" s="17"/>
      <c r="D121" s="102"/>
      <c r="E121" s="48"/>
      <c r="F121" s="49"/>
      <c r="G121" s="49"/>
      <c r="H121" s="49"/>
      <c r="I121" s="49"/>
      <c r="J121" s="49"/>
      <c r="K121" s="24"/>
      <c r="L121" s="103"/>
      <c r="M121" s="14" t="str">
        <f ca="1">IF(PLATES[[#This Row],[ID]] &lt;&gt; "", IF(A121 = "000", A121 &amp; " | None", A121 &amp; " | " &amp; C121 &amp; " | " &amp; D121), "")</f>
        <v/>
      </c>
    </row>
    <row r="122" spans="1:13" ht="22.5" customHeight="1">
      <c r="A122" s="111" t="str">
        <f ca="1">IF(PLATES[[#This Row],[PRODUCT]] &lt;&gt; "", IF(ROW() = 2, "000", TEXT(INDIRECT("A" &amp; ROW() - 1) + 1, "000")), "")</f>
        <v/>
      </c>
      <c r="B122" s="102"/>
      <c r="C122" s="17"/>
      <c r="D122" s="102"/>
      <c r="E122" s="48"/>
      <c r="F122" s="49"/>
      <c r="G122" s="49"/>
      <c r="H122" s="49"/>
      <c r="I122" s="49"/>
      <c r="J122" s="49"/>
      <c r="K122" s="24"/>
      <c r="L122" s="103"/>
      <c r="M122" s="14" t="str">
        <f ca="1">IF(PLATES[[#This Row],[ID]] &lt;&gt; "", IF(A122 = "000", A122 &amp; " | None", A122 &amp; " | " &amp; C122 &amp; " | " &amp; D122), "")</f>
        <v/>
      </c>
    </row>
    <row r="123" spans="1:13" ht="22.5" customHeight="1">
      <c r="A123" s="111" t="str">
        <f ca="1">IF(PLATES[[#This Row],[PRODUCT]] &lt;&gt; "", IF(ROW() = 2, "000", TEXT(INDIRECT("A" &amp; ROW() - 1) + 1, "000")), "")</f>
        <v/>
      </c>
      <c r="B123" s="102"/>
      <c r="C123" s="17"/>
      <c r="D123" s="102"/>
      <c r="E123" s="48"/>
      <c r="F123" s="49"/>
      <c r="G123" s="49"/>
      <c r="H123" s="49"/>
      <c r="I123" s="49"/>
      <c r="J123" s="49"/>
      <c r="K123" s="24"/>
      <c r="L123" s="103"/>
      <c r="M123" s="14" t="str">
        <f ca="1">IF(PLATES[[#This Row],[ID]] &lt;&gt; "", IF(A123 = "000", A123 &amp; " | None", A123 &amp; " | " &amp; C123 &amp; " | " &amp; D123), "")</f>
        <v/>
      </c>
    </row>
    <row r="124" spans="1:13" ht="22.5" customHeight="1">
      <c r="A124" s="111" t="str">
        <f ca="1">IF(PLATES[[#This Row],[PRODUCT]] &lt;&gt; "", IF(ROW() = 2, "000", TEXT(INDIRECT("A" &amp; ROW() - 1) + 1, "000")), "")</f>
        <v/>
      </c>
      <c r="B124" s="102"/>
      <c r="C124" s="17"/>
      <c r="D124" s="102"/>
      <c r="E124" s="48"/>
      <c r="F124" s="49"/>
      <c r="G124" s="49"/>
      <c r="H124" s="49"/>
      <c r="I124" s="49"/>
      <c r="J124" s="49"/>
      <c r="K124" s="24"/>
      <c r="L124" s="103"/>
      <c r="M124" s="14" t="str">
        <f ca="1">IF(PLATES[[#This Row],[ID]] &lt;&gt; "", IF(A124 = "000", A124 &amp; " | None", A124 &amp; " | " &amp; C124 &amp; " | " &amp; D124), "")</f>
        <v/>
      </c>
    </row>
    <row r="125" spans="1:13" ht="22.5" customHeight="1">
      <c r="A125" s="111" t="str">
        <f ca="1">IF(PLATES[[#This Row],[PRODUCT]] &lt;&gt; "", IF(ROW() = 2, "000", TEXT(INDIRECT("A" &amp; ROW() - 1) + 1, "000")), "")</f>
        <v/>
      </c>
      <c r="B125" s="102"/>
      <c r="C125" s="17"/>
      <c r="D125" s="102"/>
      <c r="E125" s="48"/>
      <c r="F125" s="49"/>
      <c r="G125" s="49"/>
      <c r="H125" s="49"/>
      <c r="I125" s="49"/>
      <c r="J125" s="49"/>
      <c r="K125" s="24"/>
      <c r="L125" s="103"/>
      <c r="M125" s="14" t="str">
        <f ca="1">IF(PLATES[[#This Row],[ID]] &lt;&gt; "", IF(A125 = "000", A125 &amp; " | None", A125 &amp; " | " &amp; C125 &amp; " | " &amp; D125), "")</f>
        <v/>
      </c>
    </row>
    <row r="126" spans="1:13" ht="22.5" customHeight="1">
      <c r="A126" s="111" t="str">
        <f ca="1">IF(PLATES[[#This Row],[PRODUCT]] &lt;&gt; "", IF(ROW() = 2, "000", TEXT(INDIRECT("A" &amp; ROW() - 1) + 1, "000")), "")</f>
        <v/>
      </c>
      <c r="B126" s="102"/>
      <c r="C126" s="17"/>
      <c r="D126" s="102"/>
      <c r="E126" s="48"/>
      <c r="F126" s="49"/>
      <c r="G126" s="49"/>
      <c r="H126" s="49"/>
      <c r="I126" s="49"/>
      <c r="J126" s="49"/>
      <c r="K126" s="24"/>
      <c r="L126" s="103"/>
      <c r="M126" s="14" t="str">
        <f ca="1">IF(PLATES[[#This Row],[ID]] &lt;&gt; "", IF(A126 = "000", A126 &amp; " | None", A126 &amp; " | " &amp; C126 &amp; " | " &amp; D126), "")</f>
        <v/>
      </c>
    </row>
    <row r="127" spans="1:13" ht="22.5" customHeight="1">
      <c r="A127" s="111" t="str">
        <f ca="1">IF(PLATES[[#This Row],[PRODUCT]] &lt;&gt; "", IF(ROW() = 2, "000", TEXT(INDIRECT("A" &amp; ROW() - 1) + 1, "000")), "")</f>
        <v/>
      </c>
      <c r="B127" s="102"/>
      <c r="C127" s="17"/>
      <c r="D127" s="102"/>
      <c r="E127" s="48"/>
      <c r="F127" s="49"/>
      <c r="G127" s="49"/>
      <c r="H127" s="49"/>
      <c r="I127" s="49"/>
      <c r="J127" s="49"/>
      <c r="K127" s="24"/>
      <c r="L127" s="103"/>
      <c r="M127" s="14" t="str">
        <f ca="1">IF(PLATES[[#This Row],[ID]] &lt;&gt; "", IF(A127 = "000", A127 &amp; " | None", A127 &amp; " | " &amp; C127 &amp; " | " &amp; D127), "")</f>
        <v/>
      </c>
    </row>
    <row r="128" spans="1:13" ht="22.5" customHeight="1">
      <c r="A128" s="111" t="str">
        <f ca="1">IF(PLATES[[#This Row],[PRODUCT]] &lt;&gt; "", IF(ROW() = 2, "000", TEXT(INDIRECT("A" &amp; ROW() - 1) + 1, "000")), "")</f>
        <v/>
      </c>
      <c r="B128" s="102"/>
      <c r="C128" s="17"/>
      <c r="D128" s="102"/>
      <c r="E128" s="48"/>
      <c r="F128" s="49"/>
      <c r="G128" s="49"/>
      <c r="H128" s="49"/>
      <c r="I128" s="49"/>
      <c r="J128" s="49"/>
      <c r="K128" s="24"/>
      <c r="L128" s="103"/>
      <c r="M128" s="14" t="str">
        <f ca="1">IF(PLATES[[#This Row],[ID]] &lt;&gt; "", IF(A128 = "000", A128 &amp; " | None", A128 &amp; " | " &amp; C128 &amp; " | " &amp; D128), "")</f>
        <v/>
      </c>
    </row>
    <row r="129" spans="1:13" ht="22.5" customHeight="1">
      <c r="A129" s="111" t="str">
        <f ca="1">IF(PLATES[[#This Row],[PRODUCT]] &lt;&gt; "", IF(ROW() = 2, "000", TEXT(INDIRECT("A" &amp; ROW() - 1) + 1, "000")), "")</f>
        <v/>
      </c>
      <c r="B129" s="102"/>
      <c r="C129" s="17"/>
      <c r="D129" s="102"/>
      <c r="E129" s="48"/>
      <c r="F129" s="49"/>
      <c r="G129" s="49"/>
      <c r="H129" s="49"/>
      <c r="I129" s="49"/>
      <c r="J129" s="49"/>
      <c r="K129" s="24"/>
      <c r="L129" s="103"/>
      <c r="M129" s="14" t="str">
        <f ca="1">IF(PLATES[[#This Row],[ID]] &lt;&gt; "", IF(A129 = "000", A129 &amp; " | None", A129 &amp; " | " &amp; C129 &amp; " | " &amp; D129), "")</f>
        <v/>
      </c>
    </row>
    <row r="130" spans="1:13" ht="22.5" customHeight="1">
      <c r="A130" s="111" t="str">
        <f ca="1">IF(PLATES[[#This Row],[PRODUCT]] &lt;&gt; "", IF(ROW() = 2, "000", TEXT(INDIRECT("A" &amp; ROW() - 1) + 1, "000")), "")</f>
        <v/>
      </c>
      <c r="B130" s="102"/>
      <c r="C130" s="17"/>
      <c r="D130" s="102"/>
      <c r="E130" s="48"/>
      <c r="F130" s="49"/>
      <c r="G130" s="49"/>
      <c r="H130" s="49"/>
      <c r="I130" s="49"/>
      <c r="J130" s="49"/>
      <c r="K130" s="24"/>
      <c r="L130" s="103"/>
      <c r="M130" s="14" t="str">
        <f ca="1">IF(PLATES[[#This Row],[ID]] &lt;&gt; "", IF(A130 = "000", A130 &amp; " | None", A130 &amp; " | " &amp; C130 &amp; " | " &amp; D130), "")</f>
        <v/>
      </c>
    </row>
    <row r="131" spans="1:13" ht="22.5" customHeight="1">
      <c r="A131" s="111" t="str">
        <f ca="1">IF(PLATES[[#This Row],[PRODUCT]] &lt;&gt; "", IF(ROW() = 2, "000", TEXT(INDIRECT("A" &amp; ROW() - 1) + 1, "000")), "")</f>
        <v/>
      </c>
      <c r="B131" s="102"/>
      <c r="C131" s="17"/>
      <c r="D131" s="102"/>
      <c r="E131" s="48"/>
      <c r="F131" s="49"/>
      <c r="G131" s="49"/>
      <c r="H131" s="49"/>
      <c r="I131" s="49"/>
      <c r="J131" s="49"/>
      <c r="K131" s="24"/>
      <c r="L131" s="103"/>
      <c r="M131" s="14" t="str">
        <f ca="1">IF(PLATES[[#This Row],[ID]] &lt;&gt; "", IF(A131 = "000", A131 &amp; " | None", A131 &amp; " | " &amp; C131 &amp; " | " &amp; D131), "")</f>
        <v/>
      </c>
    </row>
    <row r="132" spans="1:13" ht="22.5" customHeight="1">
      <c r="A132" s="111" t="str">
        <f ca="1">IF(PLATES[[#This Row],[PRODUCT]] &lt;&gt; "", IF(ROW() = 2, "000", TEXT(INDIRECT("A" &amp; ROW() - 1) + 1, "000")), "")</f>
        <v/>
      </c>
      <c r="B132" s="102"/>
      <c r="C132" s="17"/>
      <c r="D132" s="102"/>
      <c r="E132" s="48"/>
      <c r="F132" s="49"/>
      <c r="G132" s="49"/>
      <c r="H132" s="49"/>
      <c r="I132" s="49"/>
      <c r="J132" s="49"/>
      <c r="K132" s="24"/>
      <c r="L132" s="103"/>
      <c r="M132" s="14" t="str">
        <f ca="1">IF(PLATES[[#This Row],[ID]] &lt;&gt; "", IF(A132 = "000", A132 &amp; " | None", A132 &amp; " | " &amp; C132 &amp; " | " &amp; D132), "")</f>
        <v/>
      </c>
    </row>
    <row r="133" spans="1:13" ht="22.5" customHeight="1">
      <c r="A133" s="111" t="str">
        <f ca="1">IF(PLATES[[#This Row],[PRODUCT]] &lt;&gt; "", IF(ROW() = 2, "000", TEXT(INDIRECT("A" &amp; ROW() - 1) + 1, "000")), "")</f>
        <v/>
      </c>
      <c r="B133" s="102"/>
      <c r="C133" s="17"/>
      <c r="D133" s="102"/>
      <c r="E133" s="48"/>
      <c r="F133" s="49"/>
      <c r="G133" s="49"/>
      <c r="H133" s="49"/>
      <c r="I133" s="49"/>
      <c r="J133" s="49"/>
      <c r="K133" s="24"/>
      <c r="L133" s="103"/>
      <c r="M133" s="14" t="str">
        <f ca="1">IF(PLATES[[#This Row],[ID]] &lt;&gt; "", IF(A133 = "000", A133 &amp; " | None", A133 &amp; " | " &amp; C133 &amp; " | " &amp; D133), "")</f>
        <v/>
      </c>
    </row>
    <row r="134" spans="1:13" ht="22.5" customHeight="1">
      <c r="A134" s="111" t="str">
        <f ca="1">IF(PLATES[[#This Row],[PRODUCT]] &lt;&gt; "", IF(ROW() = 2, "000", TEXT(INDIRECT("A" &amp; ROW() - 1) + 1, "000")), "")</f>
        <v/>
      </c>
      <c r="B134" s="102"/>
      <c r="C134" s="17"/>
      <c r="D134" s="102"/>
      <c r="E134" s="48"/>
      <c r="F134" s="49"/>
      <c r="G134" s="49"/>
      <c r="H134" s="49"/>
      <c r="I134" s="49"/>
      <c r="J134" s="49"/>
      <c r="K134" s="24"/>
      <c r="L134" s="103"/>
      <c r="M134" s="14" t="str">
        <f ca="1">IF(PLATES[[#This Row],[ID]] &lt;&gt; "", IF(A134 = "000", A134 &amp; " | None", A134 &amp; " | " &amp; C134 &amp; " | " &amp; D134), "")</f>
        <v/>
      </c>
    </row>
    <row r="135" spans="1:13" ht="22.5" customHeight="1">
      <c r="A135" s="111" t="str">
        <f ca="1">IF(PLATES[[#This Row],[PRODUCT]] &lt;&gt; "", IF(ROW() = 2, "000", TEXT(INDIRECT("A" &amp; ROW() - 1) + 1, "000")), "")</f>
        <v/>
      </c>
      <c r="B135" s="102"/>
      <c r="C135" s="17"/>
      <c r="D135" s="102"/>
      <c r="E135" s="48"/>
      <c r="F135" s="49"/>
      <c r="G135" s="49"/>
      <c r="H135" s="49"/>
      <c r="I135" s="49"/>
      <c r="J135" s="49"/>
      <c r="K135" s="24"/>
      <c r="L135" s="103"/>
      <c r="M135" s="14" t="str">
        <f ca="1">IF(PLATES[[#This Row],[ID]] &lt;&gt; "", IF(A135 = "000", A135 &amp; " | None", A135 &amp; " | " &amp; C135 &amp; " | " &amp; D135), "")</f>
        <v/>
      </c>
    </row>
    <row r="136" spans="1:13" ht="22.5" customHeight="1">
      <c r="A136" s="111" t="str">
        <f ca="1">IF(PLATES[[#This Row],[PRODUCT]] &lt;&gt; "", IF(ROW() = 2, "000", TEXT(INDIRECT("A" &amp; ROW() - 1) + 1, "000")), "")</f>
        <v/>
      </c>
      <c r="B136" s="102"/>
      <c r="C136" s="17"/>
      <c r="D136" s="102"/>
      <c r="E136" s="48"/>
      <c r="F136" s="49"/>
      <c r="G136" s="49"/>
      <c r="H136" s="49"/>
      <c r="I136" s="49"/>
      <c r="J136" s="49"/>
      <c r="K136" s="24"/>
      <c r="L136" s="103"/>
      <c r="M136" s="14" t="str">
        <f ca="1">IF(PLATES[[#This Row],[ID]] &lt;&gt; "", IF(A136 = "000", A136 &amp; " | None", A136 &amp; " | " &amp; C136 &amp; " | " &amp; D136), "")</f>
        <v/>
      </c>
    </row>
    <row r="137" spans="1:13" ht="22.5" customHeight="1">
      <c r="A137" s="111" t="str">
        <f ca="1">IF(PLATES[[#This Row],[PRODUCT]] &lt;&gt; "", IF(ROW() = 2, "000", TEXT(INDIRECT("A" &amp; ROW() - 1) + 1, "000")), "")</f>
        <v/>
      </c>
      <c r="B137" s="102"/>
      <c r="C137" s="17"/>
      <c r="D137" s="102"/>
      <c r="E137" s="48"/>
      <c r="F137" s="49"/>
      <c r="G137" s="49"/>
      <c r="H137" s="49"/>
      <c r="I137" s="49"/>
      <c r="J137" s="49"/>
      <c r="K137" s="24"/>
      <c r="L137" s="103"/>
      <c r="M137" s="14" t="str">
        <f ca="1">IF(PLATES[[#This Row],[ID]] &lt;&gt; "", IF(A137 = "000", A137 &amp; " | None", A137 &amp; " | " &amp; C137 &amp; " | " &amp; D137), "")</f>
        <v/>
      </c>
    </row>
    <row r="138" spans="1:13" ht="22.5" customHeight="1">
      <c r="A138" s="111" t="str">
        <f ca="1">IF(PLATES[[#This Row],[PRODUCT]] &lt;&gt; "", IF(ROW() = 2, "000", TEXT(INDIRECT("A" &amp; ROW() - 1) + 1, "000")), "")</f>
        <v/>
      </c>
      <c r="B138" s="102"/>
      <c r="C138" s="17"/>
      <c r="D138" s="102"/>
      <c r="E138" s="48"/>
      <c r="F138" s="49"/>
      <c r="G138" s="49"/>
      <c r="H138" s="49"/>
      <c r="I138" s="49"/>
      <c r="J138" s="49"/>
      <c r="K138" s="24"/>
      <c r="L138" s="103"/>
      <c r="M138" s="14" t="str">
        <f ca="1">IF(PLATES[[#This Row],[ID]] &lt;&gt; "", IF(A138 = "000", A138 &amp; " | None", A138 &amp; " | " &amp; C138 &amp; " | " &amp; D138), "")</f>
        <v/>
      </c>
    </row>
    <row r="139" spans="1:13" ht="22.5" customHeight="1">
      <c r="A139" s="111" t="str">
        <f ca="1">IF(PLATES[[#This Row],[PRODUCT]] &lt;&gt; "", IF(ROW() = 2, "000", TEXT(INDIRECT("A" &amp; ROW() - 1) + 1, "000")), "")</f>
        <v/>
      </c>
      <c r="B139" s="102"/>
      <c r="C139" s="17"/>
      <c r="D139" s="102"/>
      <c r="E139" s="48"/>
      <c r="F139" s="49"/>
      <c r="G139" s="49"/>
      <c r="H139" s="49"/>
      <c r="I139" s="49"/>
      <c r="J139" s="49"/>
      <c r="K139" s="24"/>
      <c r="L139" s="103"/>
      <c r="M139" s="14" t="str">
        <f ca="1">IF(PLATES[[#This Row],[ID]] &lt;&gt; "", IF(A139 = "000", A139 &amp; " | None", A139 &amp; " | " &amp; C139 &amp; " | " &amp; D139), "")</f>
        <v/>
      </c>
    </row>
    <row r="140" spans="1:13" ht="22.5" customHeight="1">
      <c r="A140" s="111" t="str">
        <f ca="1">IF(PLATES[[#This Row],[PRODUCT]] &lt;&gt; "", IF(ROW() = 2, "000", TEXT(INDIRECT("A" &amp; ROW() - 1) + 1, "000")), "")</f>
        <v/>
      </c>
      <c r="B140" s="102"/>
      <c r="C140" s="17"/>
      <c r="D140" s="102"/>
      <c r="E140" s="48"/>
      <c r="F140" s="49"/>
      <c r="G140" s="49"/>
      <c r="H140" s="49"/>
      <c r="I140" s="49"/>
      <c r="J140" s="49"/>
      <c r="K140" s="24"/>
      <c r="L140" s="103"/>
      <c r="M140" s="14" t="str">
        <f ca="1">IF(PLATES[[#This Row],[ID]] &lt;&gt; "", IF(A140 = "000", A140 &amp; " | None", A140 &amp; " | " &amp; C140 &amp; " | " &amp; D140), "")</f>
        <v/>
      </c>
    </row>
    <row r="141" spans="1:13" ht="22.5" customHeight="1">
      <c r="A141" s="111" t="str">
        <f ca="1">IF(PLATES[[#This Row],[PRODUCT]] &lt;&gt; "", IF(ROW() = 2, "000", TEXT(INDIRECT("A" &amp; ROW() - 1) + 1, "000")), "")</f>
        <v/>
      </c>
      <c r="B141" s="102"/>
      <c r="C141" s="17"/>
      <c r="D141" s="102"/>
      <c r="E141" s="48"/>
      <c r="F141" s="49"/>
      <c r="G141" s="49"/>
      <c r="H141" s="49"/>
      <c r="I141" s="49"/>
      <c r="J141" s="49"/>
      <c r="K141" s="24"/>
      <c r="L141" s="103"/>
      <c r="M141" s="14" t="str">
        <f ca="1">IF(PLATES[[#This Row],[ID]] &lt;&gt; "", IF(A141 = "000", A141 &amp; " | None", A141 &amp; " | " &amp; C141 &amp; " | " &amp; D141), "")</f>
        <v/>
      </c>
    </row>
    <row r="142" spans="1:13" ht="22.5" customHeight="1">
      <c r="A142" s="111" t="str">
        <f ca="1">IF(PLATES[[#This Row],[PRODUCT]] &lt;&gt; "", IF(ROW() = 2, "000", TEXT(INDIRECT("A" &amp; ROW() - 1) + 1, "000")), "")</f>
        <v/>
      </c>
      <c r="B142" s="102"/>
      <c r="C142" s="17"/>
      <c r="D142" s="102"/>
      <c r="E142" s="48"/>
      <c r="F142" s="49"/>
      <c r="G142" s="49"/>
      <c r="H142" s="49"/>
      <c r="I142" s="49"/>
      <c r="J142" s="49"/>
      <c r="K142" s="24"/>
      <c r="L142" s="103"/>
      <c r="M142" s="14" t="str">
        <f ca="1">IF(PLATES[[#This Row],[ID]] &lt;&gt; "", IF(A142 = "000", A142 &amp; " | None", A142 &amp; " | " &amp; C142 &amp; " | " &amp; D142), "")</f>
        <v/>
      </c>
    </row>
    <row r="143" spans="1:13" ht="22.5" customHeight="1">
      <c r="A143" s="111" t="str">
        <f ca="1">IF(PLATES[[#This Row],[PRODUCT]] &lt;&gt; "", IF(ROW() = 2, "000", TEXT(INDIRECT("A" &amp; ROW() - 1) + 1, "000")), "")</f>
        <v/>
      </c>
      <c r="B143" s="102"/>
      <c r="C143" s="17"/>
      <c r="D143" s="102"/>
      <c r="E143" s="48"/>
      <c r="F143" s="49"/>
      <c r="G143" s="49"/>
      <c r="H143" s="49"/>
      <c r="I143" s="49"/>
      <c r="J143" s="49"/>
      <c r="K143" s="24"/>
      <c r="L143" s="103"/>
      <c r="M143" s="14" t="str">
        <f ca="1">IF(PLATES[[#This Row],[ID]] &lt;&gt; "", IF(A143 = "000", A143 &amp; " | None", A143 &amp; " | " &amp; C143 &amp; " | " &amp; D143), "")</f>
        <v/>
      </c>
    </row>
    <row r="144" spans="1:13" ht="22.5" customHeight="1">
      <c r="A144" s="111" t="str">
        <f ca="1">IF(PLATES[[#This Row],[PRODUCT]] &lt;&gt; "", IF(ROW() = 2, "000", TEXT(INDIRECT("A" &amp; ROW() - 1) + 1, "000")), "")</f>
        <v/>
      </c>
      <c r="B144" s="102"/>
      <c r="C144" s="17"/>
      <c r="D144" s="102"/>
      <c r="E144" s="48"/>
      <c r="F144" s="49"/>
      <c r="G144" s="49"/>
      <c r="H144" s="49"/>
      <c r="I144" s="49"/>
      <c r="J144" s="49"/>
      <c r="K144" s="24"/>
      <c r="L144" s="103"/>
      <c r="M144" s="14" t="str">
        <f ca="1">IF(PLATES[[#This Row],[ID]] &lt;&gt; "", IF(A144 = "000", A144 &amp; " | None", A144 &amp; " | " &amp; C144 &amp; " | " &amp; D144), "")</f>
        <v/>
      </c>
    </row>
    <row r="145" spans="1:13" ht="22.5" customHeight="1">
      <c r="A145" s="111" t="str">
        <f ca="1">IF(PLATES[[#This Row],[PRODUCT]] &lt;&gt; "", IF(ROW() = 2, "000", TEXT(INDIRECT("A" &amp; ROW() - 1) + 1, "000")), "")</f>
        <v/>
      </c>
      <c r="B145" s="102"/>
      <c r="C145" s="17"/>
      <c r="D145" s="102"/>
      <c r="E145" s="48"/>
      <c r="F145" s="49"/>
      <c r="G145" s="49"/>
      <c r="H145" s="49"/>
      <c r="I145" s="49"/>
      <c r="J145" s="49"/>
      <c r="K145" s="24"/>
      <c r="L145" s="103"/>
      <c r="M145" s="14" t="str">
        <f ca="1">IF(PLATES[[#This Row],[ID]] &lt;&gt; "", IF(A145 = "000", A145 &amp; " | None", A145 &amp; " | " &amp; C145 &amp; " | " &amp; D145), "")</f>
        <v/>
      </c>
    </row>
    <row r="146" spans="1:13" ht="22.5" customHeight="1">
      <c r="A146" s="111" t="str">
        <f ca="1">IF(PLATES[[#This Row],[PRODUCT]] &lt;&gt; "", IF(ROW() = 2, "000", TEXT(INDIRECT("A" &amp; ROW() - 1) + 1, "000")), "")</f>
        <v/>
      </c>
      <c r="B146" s="102"/>
      <c r="C146" s="17"/>
      <c r="D146" s="102"/>
      <c r="E146" s="48"/>
      <c r="F146" s="49"/>
      <c r="G146" s="49"/>
      <c r="H146" s="49"/>
      <c r="I146" s="49"/>
      <c r="J146" s="49"/>
      <c r="K146" s="24"/>
      <c r="L146" s="103"/>
      <c r="M146" s="14" t="str">
        <f ca="1">IF(PLATES[[#This Row],[ID]] &lt;&gt; "", IF(A146 = "000", A146 &amp; " | None", A146 &amp; " | " &amp; C146 &amp; " | " &amp; D146), "")</f>
        <v/>
      </c>
    </row>
    <row r="147" spans="1:13" ht="22.5" customHeight="1">
      <c r="A147" s="111" t="str">
        <f ca="1">IF(PLATES[[#This Row],[PRODUCT]] &lt;&gt; "", IF(ROW() = 2, "000", TEXT(INDIRECT("A" &amp; ROW() - 1) + 1, "000")), "")</f>
        <v/>
      </c>
      <c r="B147" s="102"/>
      <c r="C147" s="17"/>
      <c r="D147" s="102"/>
      <c r="E147" s="48"/>
      <c r="F147" s="49"/>
      <c r="G147" s="49"/>
      <c r="H147" s="49"/>
      <c r="I147" s="49"/>
      <c r="J147" s="49"/>
      <c r="K147" s="24"/>
      <c r="L147" s="103"/>
      <c r="M147" s="14" t="str">
        <f ca="1">IF(PLATES[[#This Row],[ID]] &lt;&gt; "", IF(A147 = "000", A147 &amp; " | None", A147 &amp; " | " &amp; C147 &amp; " | " &amp; D147), "")</f>
        <v/>
      </c>
    </row>
    <row r="148" spans="1:13" ht="22.5" customHeight="1">
      <c r="A148" s="111" t="str">
        <f ca="1">IF(PLATES[[#This Row],[PRODUCT]] &lt;&gt; "", IF(ROW() = 2, "000", TEXT(INDIRECT("A" &amp; ROW() - 1) + 1, "000")), "")</f>
        <v/>
      </c>
      <c r="B148" s="102"/>
      <c r="C148" s="17"/>
      <c r="D148" s="102"/>
      <c r="E148" s="48"/>
      <c r="F148" s="49"/>
      <c r="G148" s="49"/>
      <c r="H148" s="49"/>
      <c r="I148" s="49"/>
      <c r="J148" s="49"/>
      <c r="K148" s="24"/>
      <c r="L148" s="103"/>
      <c r="M148" s="14" t="str">
        <f ca="1">IF(PLATES[[#This Row],[ID]] &lt;&gt; "", IF(A148 = "000", A148 &amp; " | None", A148 &amp; " | " &amp; C148 &amp; " | " &amp; D148), "")</f>
        <v/>
      </c>
    </row>
    <row r="149" spans="1:13" ht="22.5" customHeight="1">
      <c r="A149" s="111" t="str">
        <f ca="1">IF(PLATES[[#This Row],[PRODUCT]] &lt;&gt; "", IF(ROW() = 2, "000", TEXT(INDIRECT("A" &amp; ROW() - 1) + 1, "000")), "")</f>
        <v/>
      </c>
      <c r="B149" s="102"/>
      <c r="C149" s="17"/>
      <c r="D149" s="102"/>
      <c r="E149" s="48"/>
      <c r="F149" s="49"/>
      <c r="G149" s="49"/>
      <c r="H149" s="49"/>
      <c r="I149" s="49"/>
      <c r="J149" s="49"/>
      <c r="K149" s="24"/>
      <c r="L149" s="103"/>
      <c r="M149" s="14" t="str">
        <f ca="1">IF(PLATES[[#This Row],[ID]] &lt;&gt; "", IF(A149 = "000", A149 &amp; " | None", A149 &amp; " | " &amp; C149 &amp; " | " &amp; D149), "")</f>
        <v/>
      </c>
    </row>
    <row r="150" spans="1:13" ht="22.5" customHeight="1">
      <c r="A150" s="111" t="str">
        <f ca="1">IF(PLATES[[#This Row],[PRODUCT]] &lt;&gt; "", IF(ROW() = 2, "000", TEXT(INDIRECT("A" &amp; ROW() - 1) + 1, "000")), "")</f>
        <v/>
      </c>
      <c r="B150" s="102"/>
      <c r="C150" s="17"/>
      <c r="D150" s="102"/>
      <c r="E150" s="48"/>
      <c r="F150" s="49"/>
      <c r="G150" s="49"/>
      <c r="H150" s="49"/>
      <c r="I150" s="49"/>
      <c r="J150" s="49"/>
      <c r="K150" s="24"/>
      <c r="L150" s="103"/>
      <c r="M150" s="14" t="str">
        <f ca="1">IF(PLATES[[#This Row],[ID]] &lt;&gt; "", IF(A150 = "000", A150 &amp; " | None", A150 &amp; " | " &amp; C150 &amp; " | " &amp; D150), "")</f>
        <v/>
      </c>
    </row>
    <row r="151" spans="1:13" ht="22.5" customHeight="1">
      <c r="A151" s="111" t="str">
        <f ca="1">IF(PLATES[[#This Row],[PRODUCT]] &lt;&gt; "", IF(ROW() = 2, "000", TEXT(INDIRECT("A" &amp; ROW() - 1) + 1, "000")), "")</f>
        <v/>
      </c>
      <c r="B151" s="102"/>
      <c r="C151" s="17"/>
      <c r="D151" s="102"/>
      <c r="E151" s="48"/>
      <c r="F151" s="49"/>
      <c r="G151" s="49"/>
      <c r="H151" s="49"/>
      <c r="I151" s="49"/>
      <c r="J151" s="49"/>
      <c r="K151" s="24"/>
      <c r="L151" s="103"/>
      <c r="M151" s="14" t="str">
        <f ca="1">IF(PLATES[[#This Row],[ID]] &lt;&gt; "", IF(A151 = "000", A151 &amp; " | None", A151 &amp; " | " &amp; C151 &amp; " | " &amp; D151), "")</f>
        <v/>
      </c>
    </row>
    <row r="152" spans="1:13" ht="22.5" customHeight="1">
      <c r="A152" s="111" t="str">
        <f ca="1">IF(PLATES[[#This Row],[PRODUCT]] &lt;&gt; "", IF(ROW() = 2, "000", TEXT(INDIRECT("A" &amp; ROW() - 1) + 1, "000")), "")</f>
        <v/>
      </c>
      <c r="B152" s="102"/>
      <c r="C152" s="17"/>
      <c r="D152" s="102"/>
      <c r="E152" s="48"/>
      <c r="F152" s="49"/>
      <c r="G152" s="49"/>
      <c r="H152" s="49"/>
      <c r="I152" s="49"/>
      <c r="J152" s="49"/>
      <c r="K152" s="24"/>
      <c r="L152" s="103"/>
      <c r="M152" s="14" t="str">
        <f ca="1">IF(PLATES[[#This Row],[ID]] &lt;&gt; "", IF(A152 = "000", A152 &amp; " | None", A152 &amp; " | " &amp; C152 &amp; " | " &amp; D152), "")</f>
        <v/>
      </c>
    </row>
    <row r="153" spans="1:13" ht="22.5" customHeight="1">
      <c r="A153" s="111" t="str">
        <f ca="1">IF(PLATES[[#This Row],[PRODUCT]] &lt;&gt; "", IF(ROW() = 2, "000", TEXT(INDIRECT("A" &amp; ROW() - 1) + 1, "000")), "")</f>
        <v/>
      </c>
      <c r="B153" s="102"/>
      <c r="C153" s="17"/>
      <c r="D153" s="102"/>
      <c r="E153" s="48"/>
      <c r="F153" s="49"/>
      <c r="G153" s="49"/>
      <c r="H153" s="49"/>
      <c r="I153" s="49"/>
      <c r="J153" s="49"/>
      <c r="K153" s="24"/>
      <c r="L153" s="103"/>
      <c r="M153" s="14" t="str">
        <f ca="1">IF(PLATES[[#This Row],[ID]] &lt;&gt; "", IF(A153 = "000", A153 &amp; " | None", A153 &amp; " | " &amp; C153 &amp; " | " &amp; D153), "")</f>
        <v/>
      </c>
    </row>
    <row r="154" spans="1:13" ht="22.5" customHeight="1">
      <c r="A154" s="111" t="str">
        <f ca="1">IF(PLATES[[#This Row],[PRODUCT]] &lt;&gt; "", IF(ROW() = 2, "000", TEXT(INDIRECT("A" &amp; ROW() - 1) + 1, "000")), "")</f>
        <v/>
      </c>
      <c r="B154" s="102"/>
      <c r="C154" s="17"/>
      <c r="D154" s="102"/>
      <c r="E154" s="48"/>
      <c r="F154" s="49"/>
      <c r="G154" s="49"/>
      <c r="H154" s="49"/>
      <c r="I154" s="49"/>
      <c r="J154" s="49"/>
      <c r="K154" s="24"/>
      <c r="L154" s="103"/>
      <c r="M154" s="14" t="str">
        <f ca="1">IF(PLATES[[#This Row],[ID]] &lt;&gt; "", IF(A154 = "000", A154 &amp; " | None", A154 &amp; " | " &amp; C154 &amp; " | " &amp; D154), "")</f>
        <v/>
      </c>
    </row>
    <row r="155" spans="1:13" ht="22.5" customHeight="1">
      <c r="A155" s="111" t="str">
        <f ca="1">IF(PLATES[[#This Row],[PRODUCT]] &lt;&gt; "", IF(ROW() = 2, "000", TEXT(INDIRECT("A" &amp; ROW() - 1) + 1, "000")), "")</f>
        <v/>
      </c>
      <c r="B155" s="102"/>
      <c r="C155" s="17"/>
      <c r="D155" s="102"/>
      <c r="E155" s="48"/>
      <c r="F155" s="49"/>
      <c r="G155" s="49"/>
      <c r="H155" s="49"/>
      <c r="I155" s="49"/>
      <c r="J155" s="49"/>
      <c r="K155" s="24"/>
      <c r="L155" s="103"/>
      <c r="M155" s="14" t="str">
        <f ca="1">IF(PLATES[[#This Row],[ID]] &lt;&gt; "", IF(A155 = "000", A155 &amp; " | None", A155 &amp; " | " &amp; C155 &amp; " | " &amp; D155), "")</f>
        <v/>
      </c>
    </row>
    <row r="156" spans="1:13" ht="22.5" customHeight="1">
      <c r="A156" s="111" t="str">
        <f ca="1">IF(PLATES[[#This Row],[PRODUCT]] &lt;&gt; "", IF(ROW() = 2, "000", TEXT(INDIRECT("A" &amp; ROW() - 1) + 1, "000")), "")</f>
        <v/>
      </c>
      <c r="B156" s="102"/>
      <c r="C156" s="17"/>
      <c r="D156" s="102"/>
      <c r="E156" s="48"/>
      <c r="F156" s="49"/>
      <c r="G156" s="49"/>
      <c r="H156" s="49"/>
      <c r="I156" s="49"/>
      <c r="J156" s="49"/>
      <c r="K156" s="24"/>
      <c r="L156" s="103"/>
      <c r="M156" s="14" t="str">
        <f ca="1">IF(PLATES[[#This Row],[ID]] &lt;&gt; "", IF(A156 = "000", A156 &amp; " | None", A156 &amp; " | " &amp; C156 &amp; " | " &amp; D156), "")</f>
        <v/>
      </c>
    </row>
    <row r="157" spans="1:13" ht="22.5" customHeight="1">
      <c r="A157" s="111" t="str">
        <f ca="1">IF(PLATES[[#This Row],[PRODUCT]] &lt;&gt; "", IF(ROW() = 2, "000", TEXT(INDIRECT("A" &amp; ROW() - 1) + 1, "000")), "")</f>
        <v/>
      </c>
      <c r="B157" s="102"/>
      <c r="C157" s="17"/>
      <c r="D157" s="102"/>
      <c r="E157" s="48"/>
      <c r="F157" s="49"/>
      <c r="G157" s="49"/>
      <c r="H157" s="49"/>
      <c r="I157" s="49"/>
      <c r="J157" s="49"/>
      <c r="K157" s="24"/>
      <c r="L157" s="103"/>
      <c r="M157" s="14" t="str">
        <f ca="1">IF(PLATES[[#This Row],[ID]] &lt;&gt; "", IF(A157 = "000", A157 &amp; " | None", A157 &amp; " | " &amp; C157 &amp; " | " &amp; D157), "")</f>
        <v/>
      </c>
    </row>
    <row r="158" spans="1:13" ht="22.5" customHeight="1">
      <c r="A158" s="111" t="str">
        <f ca="1">IF(PLATES[[#This Row],[PRODUCT]] &lt;&gt; "", IF(ROW() = 2, "000", TEXT(INDIRECT("A" &amp; ROW() - 1) + 1, "000")), "")</f>
        <v/>
      </c>
      <c r="B158" s="102"/>
      <c r="C158" s="17"/>
      <c r="D158" s="102"/>
      <c r="E158" s="48"/>
      <c r="F158" s="49"/>
      <c r="G158" s="49"/>
      <c r="H158" s="49"/>
      <c r="I158" s="49"/>
      <c r="J158" s="49"/>
      <c r="K158" s="24"/>
      <c r="L158" s="103"/>
      <c r="M158" s="14" t="str">
        <f ca="1">IF(PLATES[[#This Row],[ID]] &lt;&gt; "", IF(A158 = "000", A158 &amp; " | None", A158 &amp; " | " &amp; C158 &amp; " | " &amp; D158), "")</f>
        <v/>
      </c>
    </row>
    <row r="159" spans="1:13" ht="22.5" customHeight="1">
      <c r="A159" s="111" t="str">
        <f ca="1">IF(PLATES[[#This Row],[PRODUCT]] &lt;&gt; "", IF(ROW() = 2, "000", TEXT(INDIRECT("A" &amp; ROW() - 1) + 1, "000")), "")</f>
        <v/>
      </c>
      <c r="B159" s="102"/>
      <c r="C159" s="17"/>
      <c r="D159" s="102"/>
      <c r="E159" s="48"/>
      <c r="F159" s="49"/>
      <c r="G159" s="49"/>
      <c r="H159" s="49"/>
      <c r="I159" s="49"/>
      <c r="J159" s="49"/>
      <c r="K159" s="24"/>
      <c r="L159" s="103"/>
      <c r="M159" s="14" t="str">
        <f ca="1">IF(PLATES[[#This Row],[ID]] &lt;&gt; "", IF(A159 = "000", A159 &amp; " | None", A159 &amp; " | " &amp; C159 &amp; " | " &amp; D159), "")</f>
        <v/>
      </c>
    </row>
    <row r="160" spans="1:13" ht="22.5" customHeight="1">
      <c r="A160" s="111" t="str">
        <f ca="1">IF(PLATES[[#This Row],[PRODUCT]] &lt;&gt; "", IF(ROW() = 2, "000", TEXT(INDIRECT("A" &amp; ROW() - 1) + 1, "000")), "")</f>
        <v/>
      </c>
      <c r="B160" s="102"/>
      <c r="C160" s="17"/>
      <c r="D160" s="102"/>
      <c r="E160" s="48"/>
      <c r="F160" s="49"/>
      <c r="G160" s="49"/>
      <c r="H160" s="49"/>
      <c r="I160" s="49"/>
      <c r="J160" s="49"/>
      <c r="K160" s="24"/>
      <c r="L160" s="103"/>
      <c r="M160" s="14" t="str">
        <f ca="1">IF(PLATES[[#This Row],[ID]] &lt;&gt; "", IF(A160 = "000", A160 &amp; " | None", A160 &amp; " | " &amp; C160 &amp; " | " &amp; D160), "")</f>
        <v/>
      </c>
    </row>
    <row r="161" spans="1:13" ht="22.5" customHeight="1">
      <c r="A161" s="111" t="str">
        <f ca="1">IF(PLATES[[#This Row],[PRODUCT]] &lt;&gt; "", IF(ROW() = 2, "000", TEXT(INDIRECT("A" &amp; ROW() - 1) + 1, "000")), "")</f>
        <v/>
      </c>
      <c r="B161" s="102"/>
      <c r="C161" s="17"/>
      <c r="D161" s="102"/>
      <c r="E161" s="48"/>
      <c r="F161" s="49"/>
      <c r="G161" s="49"/>
      <c r="H161" s="49"/>
      <c r="I161" s="49"/>
      <c r="J161" s="49"/>
      <c r="K161" s="24"/>
      <c r="L161" s="103"/>
      <c r="M161" s="14" t="str">
        <f ca="1">IF(PLATES[[#This Row],[ID]] &lt;&gt; "", IF(A161 = "000", A161 &amp; " | None", A161 &amp; " | " &amp; C161 &amp; " | " &amp; D161), "")</f>
        <v/>
      </c>
    </row>
    <row r="162" spans="1:13" ht="22.5" customHeight="1">
      <c r="A162" s="111" t="str">
        <f ca="1">IF(PLATES[[#This Row],[PRODUCT]] &lt;&gt; "", IF(ROW() = 2, "000", TEXT(INDIRECT("A" &amp; ROW() - 1) + 1, "000")), "")</f>
        <v/>
      </c>
      <c r="B162" s="102"/>
      <c r="C162" s="17"/>
      <c r="D162" s="102"/>
      <c r="E162" s="48"/>
      <c r="F162" s="49"/>
      <c r="G162" s="49"/>
      <c r="H162" s="49"/>
      <c r="I162" s="49"/>
      <c r="J162" s="49"/>
      <c r="K162" s="24"/>
      <c r="L162" s="103"/>
      <c r="M162" s="14" t="str">
        <f ca="1">IF(PLATES[[#This Row],[ID]] &lt;&gt; "", IF(A162 = "000", A162 &amp; " | None", A162 &amp; " | " &amp; C162 &amp; " | " &amp; D162), "")</f>
        <v/>
      </c>
    </row>
    <row r="163" spans="1:13" ht="22.5" customHeight="1">
      <c r="A163" s="111" t="str">
        <f ca="1">IF(PLATES[[#This Row],[PRODUCT]] &lt;&gt; "", IF(ROW() = 2, "000", TEXT(INDIRECT("A" &amp; ROW() - 1) + 1, "000")), "")</f>
        <v/>
      </c>
      <c r="B163" s="102"/>
      <c r="C163" s="17"/>
      <c r="D163" s="102"/>
      <c r="E163" s="48"/>
      <c r="F163" s="49"/>
      <c r="G163" s="49"/>
      <c r="H163" s="49"/>
      <c r="I163" s="49"/>
      <c r="J163" s="49"/>
      <c r="K163" s="24"/>
      <c r="L163" s="103"/>
      <c r="M163" s="14" t="str">
        <f ca="1">IF(PLATES[[#This Row],[ID]] &lt;&gt; "", IF(A163 = "000", A163 &amp; " | None", A163 &amp; " | " &amp; C163 &amp; " | " &amp; D163), "")</f>
        <v/>
      </c>
    </row>
    <row r="164" spans="1:13" ht="22.5" customHeight="1">
      <c r="A164" s="111" t="str">
        <f ca="1">IF(PLATES[[#This Row],[PRODUCT]] &lt;&gt; "", IF(ROW() = 2, "000", TEXT(INDIRECT("A" &amp; ROW() - 1) + 1, "000")), "")</f>
        <v/>
      </c>
      <c r="B164" s="102"/>
      <c r="C164" s="17"/>
      <c r="D164" s="102"/>
      <c r="E164" s="48"/>
      <c r="F164" s="49"/>
      <c r="G164" s="49"/>
      <c r="H164" s="49"/>
      <c r="I164" s="49"/>
      <c r="J164" s="49"/>
      <c r="K164" s="24"/>
      <c r="L164" s="103"/>
      <c r="M164" s="14" t="str">
        <f ca="1">IF(PLATES[[#This Row],[ID]] &lt;&gt; "", IF(A164 = "000", A164 &amp; " | None", A164 &amp; " | " &amp; C164 &amp; " | " &amp; D164), "")</f>
        <v/>
      </c>
    </row>
    <row r="165" spans="1:13" ht="22.5" customHeight="1">
      <c r="A165" s="111" t="str">
        <f ca="1">IF(PLATES[[#This Row],[PRODUCT]] &lt;&gt; "", IF(ROW() = 2, "000", TEXT(INDIRECT("A" &amp; ROW() - 1) + 1, "000")), "")</f>
        <v/>
      </c>
      <c r="B165" s="102"/>
      <c r="C165" s="17"/>
      <c r="D165" s="102"/>
      <c r="E165" s="48"/>
      <c r="F165" s="49"/>
      <c r="G165" s="49"/>
      <c r="H165" s="49"/>
      <c r="I165" s="49"/>
      <c r="J165" s="49"/>
      <c r="K165" s="24"/>
      <c r="L165" s="103"/>
      <c r="M165" s="14" t="str">
        <f ca="1">IF(PLATES[[#This Row],[ID]] &lt;&gt; "", IF(A165 = "000", A165 &amp; " | None", A165 &amp; " | " &amp; C165 &amp; " | " &amp; D165), "")</f>
        <v/>
      </c>
    </row>
    <row r="166" spans="1:13" ht="22.5" customHeight="1">
      <c r="A166" s="111" t="str">
        <f ca="1">IF(PLATES[[#This Row],[PRODUCT]] &lt;&gt; "", IF(ROW() = 2, "000", TEXT(INDIRECT("A" &amp; ROW() - 1) + 1, "000")), "")</f>
        <v/>
      </c>
      <c r="B166" s="102"/>
      <c r="C166" s="17"/>
      <c r="D166" s="102"/>
      <c r="E166" s="48"/>
      <c r="F166" s="49"/>
      <c r="G166" s="49"/>
      <c r="H166" s="49"/>
      <c r="I166" s="49"/>
      <c r="J166" s="49"/>
      <c r="K166" s="24"/>
      <c r="L166" s="103"/>
      <c r="M166" s="14" t="str">
        <f ca="1">IF(PLATES[[#This Row],[ID]] &lt;&gt; "", IF(A166 = "000", A166 &amp; " | None", A166 &amp; " | " &amp; C166 &amp; " | " &amp; D166), "")</f>
        <v/>
      </c>
    </row>
    <row r="167" spans="1:13" ht="22.5" customHeight="1">
      <c r="A167" s="111" t="str">
        <f ca="1">IF(PLATES[[#This Row],[PRODUCT]] &lt;&gt; "", IF(ROW() = 2, "000", TEXT(INDIRECT("A" &amp; ROW() - 1) + 1, "000")), "")</f>
        <v/>
      </c>
      <c r="B167" s="102"/>
      <c r="C167" s="17"/>
      <c r="D167" s="102"/>
      <c r="E167" s="48"/>
      <c r="F167" s="49"/>
      <c r="G167" s="49"/>
      <c r="H167" s="49"/>
      <c r="I167" s="49"/>
      <c r="J167" s="49"/>
      <c r="K167" s="24"/>
      <c r="L167" s="103"/>
      <c r="M167" s="14" t="str">
        <f ca="1">IF(PLATES[[#This Row],[ID]] &lt;&gt; "", IF(A167 = "000", A167 &amp; " | None", A167 &amp; " | " &amp; C167 &amp; " | " &amp; D167), "")</f>
        <v/>
      </c>
    </row>
    <row r="168" spans="1:13" ht="22.5" customHeight="1">
      <c r="A168" s="111" t="str">
        <f ca="1">IF(PLATES[[#This Row],[PRODUCT]] &lt;&gt; "", IF(ROW() = 2, "000", TEXT(INDIRECT("A" &amp; ROW() - 1) + 1, "000")), "")</f>
        <v/>
      </c>
      <c r="B168" s="102"/>
      <c r="C168" s="17"/>
      <c r="D168" s="102"/>
      <c r="E168" s="48"/>
      <c r="F168" s="49"/>
      <c r="G168" s="49"/>
      <c r="H168" s="49"/>
      <c r="I168" s="49"/>
      <c r="J168" s="49"/>
      <c r="K168" s="24"/>
      <c r="L168" s="103"/>
      <c r="M168" s="14" t="str">
        <f ca="1">IF(PLATES[[#This Row],[ID]] &lt;&gt; "", IF(A168 = "000", A168 &amp; " | None", A168 &amp; " | " &amp; C168 &amp; " | " &amp; D168), "")</f>
        <v/>
      </c>
    </row>
    <row r="169" spans="1:13" ht="22.5" customHeight="1">
      <c r="A169" s="111" t="str">
        <f ca="1">IF(PLATES[[#This Row],[PRODUCT]] &lt;&gt; "", IF(ROW() = 2, "000", TEXT(INDIRECT("A" &amp; ROW() - 1) + 1, "000")), "")</f>
        <v/>
      </c>
      <c r="B169" s="102"/>
      <c r="C169" s="17"/>
      <c r="D169" s="102"/>
      <c r="E169" s="48"/>
      <c r="F169" s="49"/>
      <c r="G169" s="49"/>
      <c r="H169" s="49"/>
      <c r="I169" s="49"/>
      <c r="J169" s="49"/>
      <c r="K169" s="24"/>
      <c r="L169" s="103"/>
      <c r="M169" s="14" t="str">
        <f ca="1">IF(PLATES[[#This Row],[ID]] &lt;&gt; "", IF(A169 = "000", A169 &amp; " | None", A169 &amp; " | " &amp; C169 &amp; " | " &amp; D169), "")</f>
        <v/>
      </c>
    </row>
    <row r="170" spans="1:13" ht="22.5" customHeight="1">
      <c r="A170" s="111" t="str">
        <f ca="1">IF(PLATES[[#This Row],[PRODUCT]] &lt;&gt; "", IF(ROW() = 2, "000", TEXT(INDIRECT("A" &amp; ROW() - 1) + 1, "000")), "")</f>
        <v/>
      </c>
      <c r="B170" s="102"/>
      <c r="C170" s="17"/>
      <c r="D170" s="102"/>
      <c r="E170" s="48"/>
      <c r="F170" s="49"/>
      <c r="G170" s="49"/>
      <c r="H170" s="49"/>
      <c r="I170" s="49"/>
      <c r="J170" s="49"/>
      <c r="K170" s="24"/>
      <c r="L170" s="103"/>
      <c r="M170" s="14" t="str">
        <f ca="1">IF(PLATES[[#This Row],[ID]] &lt;&gt; "", IF(A170 = "000", A170 &amp; " | None", A170 &amp; " | " &amp; C170 &amp; " | " &amp; D170), "")</f>
        <v/>
      </c>
    </row>
    <row r="171" spans="1:13" ht="22.5" customHeight="1">
      <c r="A171" s="111" t="str">
        <f ca="1">IF(PLATES[[#This Row],[PRODUCT]] &lt;&gt; "", IF(ROW() = 2, "000", TEXT(INDIRECT("A" &amp; ROW() - 1) + 1, "000")), "")</f>
        <v/>
      </c>
      <c r="B171" s="102"/>
      <c r="C171" s="17"/>
      <c r="D171" s="102"/>
      <c r="E171" s="48"/>
      <c r="F171" s="49"/>
      <c r="G171" s="49"/>
      <c r="H171" s="49"/>
      <c r="I171" s="49"/>
      <c r="J171" s="49"/>
      <c r="K171" s="24"/>
      <c r="L171" s="103"/>
      <c r="M171" s="14" t="str">
        <f ca="1">IF(PLATES[[#This Row],[ID]] &lt;&gt; "", IF(A171 = "000", A171 &amp; " | None", A171 &amp; " | " &amp; C171 &amp; " | " &amp; D171), "")</f>
        <v/>
      </c>
    </row>
    <row r="172" spans="1:13" ht="22.5" customHeight="1">
      <c r="A172" s="111" t="str">
        <f ca="1">IF(PLATES[[#This Row],[PRODUCT]] &lt;&gt; "", IF(ROW() = 2, "000", TEXT(INDIRECT("A" &amp; ROW() - 1) + 1, "000")), "")</f>
        <v/>
      </c>
      <c r="B172" s="102"/>
      <c r="C172" s="17"/>
      <c r="D172" s="102"/>
      <c r="E172" s="48"/>
      <c r="F172" s="49"/>
      <c r="G172" s="49"/>
      <c r="H172" s="49"/>
      <c r="I172" s="49"/>
      <c r="J172" s="49"/>
      <c r="K172" s="24"/>
      <c r="L172" s="103"/>
      <c r="M172" s="14" t="str">
        <f ca="1">IF(PLATES[[#This Row],[ID]] &lt;&gt; "", IF(A172 = "000", A172 &amp; " | None", A172 &amp; " | " &amp; C172 &amp; " | " &amp; D172), "")</f>
        <v/>
      </c>
    </row>
    <row r="173" spans="1:13" ht="22.5" customHeight="1">
      <c r="A173" s="111" t="str">
        <f ca="1">IF(PLATES[[#This Row],[PRODUCT]] &lt;&gt; "", IF(ROW() = 2, "000", TEXT(INDIRECT("A" &amp; ROW() - 1) + 1, "000")), "")</f>
        <v/>
      </c>
      <c r="B173" s="102"/>
      <c r="C173" s="17"/>
      <c r="D173" s="102"/>
      <c r="E173" s="48"/>
      <c r="F173" s="49"/>
      <c r="G173" s="49"/>
      <c r="H173" s="49"/>
      <c r="I173" s="49"/>
      <c r="J173" s="49"/>
      <c r="K173" s="24"/>
      <c r="L173" s="103"/>
      <c r="M173" s="14" t="str">
        <f ca="1">IF(PLATES[[#This Row],[ID]] &lt;&gt; "", IF(A173 = "000", A173 &amp; " | None", A173 &amp; " | " &amp; C173 &amp; " | " &amp; D173), "")</f>
        <v/>
      </c>
    </row>
    <row r="174" spans="1:13" ht="22.5" customHeight="1">
      <c r="A174" s="111" t="str">
        <f ca="1">IF(PLATES[[#This Row],[PRODUCT]] &lt;&gt; "", IF(ROW() = 2, "000", TEXT(INDIRECT("A" &amp; ROW() - 1) + 1, "000")), "")</f>
        <v/>
      </c>
      <c r="B174" s="102"/>
      <c r="C174" s="17"/>
      <c r="D174" s="102"/>
      <c r="E174" s="48"/>
      <c r="F174" s="49"/>
      <c r="G174" s="49"/>
      <c r="H174" s="49"/>
      <c r="I174" s="49"/>
      <c r="J174" s="49"/>
      <c r="K174" s="24"/>
      <c r="L174" s="103"/>
      <c r="M174" s="14" t="str">
        <f ca="1">IF(PLATES[[#This Row],[ID]] &lt;&gt; "", IF(A174 = "000", A174 &amp; " | None", A174 &amp; " | " &amp; C174 &amp; " | " &amp; D174), "")</f>
        <v/>
      </c>
    </row>
    <row r="175" spans="1:13" ht="22.5" customHeight="1">
      <c r="A175" s="111" t="str">
        <f ca="1">IF(PLATES[[#This Row],[PRODUCT]] &lt;&gt; "", IF(ROW() = 2, "000", TEXT(INDIRECT("A" &amp; ROW() - 1) + 1, "000")), "")</f>
        <v/>
      </c>
      <c r="B175" s="102"/>
      <c r="C175" s="17"/>
      <c r="D175" s="102"/>
      <c r="E175" s="48"/>
      <c r="F175" s="49"/>
      <c r="G175" s="49"/>
      <c r="H175" s="49"/>
      <c r="I175" s="49"/>
      <c r="J175" s="49"/>
      <c r="K175" s="24"/>
      <c r="L175" s="103"/>
      <c r="M175" s="14" t="str">
        <f ca="1">IF(PLATES[[#This Row],[ID]] &lt;&gt; "", IF(A175 = "000", A175 &amp; " | None", A175 &amp; " | " &amp; C175 &amp; " | " &amp; D175), "")</f>
        <v/>
      </c>
    </row>
    <row r="176" spans="1:13" ht="22.5" customHeight="1">
      <c r="A176" s="111" t="str">
        <f ca="1">IF(PLATES[[#This Row],[PRODUCT]] &lt;&gt; "", IF(ROW() = 2, "000", TEXT(INDIRECT("A" &amp; ROW() - 1) + 1, "000")), "")</f>
        <v/>
      </c>
      <c r="B176" s="102"/>
      <c r="C176" s="17"/>
      <c r="D176" s="102"/>
      <c r="E176" s="48"/>
      <c r="F176" s="49"/>
      <c r="G176" s="49"/>
      <c r="H176" s="49"/>
      <c r="I176" s="49"/>
      <c r="J176" s="49"/>
      <c r="K176" s="24"/>
      <c r="L176" s="103"/>
      <c r="M176" s="14" t="str">
        <f ca="1">IF(PLATES[[#This Row],[ID]] &lt;&gt; "", IF(A176 = "000", A176 &amp; " | None", A176 &amp; " | " &amp; C176 &amp; " | " &amp; D176), "")</f>
        <v/>
      </c>
    </row>
    <row r="177" spans="1:13" ht="22.5" customHeight="1">
      <c r="A177" s="111" t="str">
        <f ca="1">IF(PLATES[[#This Row],[PRODUCT]] &lt;&gt; "", IF(ROW() = 2, "000", TEXT(INDIRECT("A" &amp; ROW() - 1) + 1, "000")), "")</f>
        <v/>
      </c>
      <c r="B177" s="102"/>
      <c r="C177" s="17"/>
      <c r="D177" s="102"/>
      <c r="E177" s="48"/>
      <c r="F177" s="49"/>
      <c r="G177" s="49"/>
      <c r="H177" s="49"/>
      <c r="I177" s="49"/>
      <c r="J177" s="49"/>
      <c r="K177" s="24"/>
      <c r="L177" s="103"/>
      <c r="M177" s="14" t="str">
        <f ca="1">IF(PLATES[[#This Row],[ID]] &lt;&gt; "", IF(A177 = "000", A177 &amp; " | None", A177 &amp; " | " &amp; C177 &amp; " | " &amp; D177), "")</f>
        <v/>
      </c>
    </row>
    <row r="178" spans="1:13" ht="22.5" customHeight="1">
      <c r="A178" s="111" t="str">
        <f ca="1">IF(PLATES[[#This Row],[PRODUCT]] &lt;&gt; "", IF(ROW() = 2, "000", TEXT(INDIRECT("A" &amp; ROW() - 1) + 1, "000")), "")</f>
        <v/>
      </c>
      <c r="B178" s="102"/>
      <c r="C178" s="17"/>
      <c r="D178" s="102"/>
      <c r="E178" s="48"/>
      <c r="F178" s="49"/>
      <c r="G178" s="49"/>
      <c r="H178" s="49"/>
      <c r="I178" s="49"/>
      <c r="J178" s="49"/>
      <c r="K178" s="24"/>
      <c r="L178" s="103"/>
      <c r="M178" s="14" t="str">
        <f ca="1">IF(PLATES[[#This Row],[ID]] &lt;&gt; "", IF(A178 = "000", A178 &amp; " | None", A178 &amp; " | " &amp; C178 &amp; " | " &amp; D178), "")</f>
        <v/>
      </c>
    </row>
    <row r="179" spans="1:13" ht="22.5" customHeight="1">
      <c r="A179" s="111" t="str">
        <f ca="1">IF(PLATES[[#This Row],[PRODUCT]] &lt;&gt; "", IF(ROW() = 2, "000", TEXT(INDIRECT("A" &amp; ROW() - 1) + 1, "000")), "")</f>
        <v/>
      </c>
      <c r="B179" s="102"/>
      <c r="C179" s="17"/>
      <c r="D179" s="102"/>
      <c r="E179" s="48"/>
      <c r="F179" s="49"/>
      <c r="G179" s="49"/>
      <c r="H179" s="49"/>
      <c r="I179" s="49"/>
      <c r="J179" s="49"/>
      <c r="K179" s="24"/>
      <c r="L179" s="103"/>
      <c r="M179" s="14" t="str">
        <f ca="1">IF(PLATES[[#This Row],[ID]] &lt;&gt; "", IF(A179 = "000", A179 &amp; " | None", A179 &amp; " | " &amp; C179 &amp; " | " &amp; D179), "")</f>
        <v/>
      </c>
    </row>
    <row r="180" spans="1:13" ht="22.5" customHeight="1">
      <c r="A180" s="111" t="str">
        <f ca="1">IF(PLATES[[#This Row],[PRODUCT]] &lt;&gt; "", IF(ROW() = 2, "000", TEXT(INDIRECT("A" &amp; ROW() - 1) + 1, "000")), "")</f>
        <v/>
      </c>
      <c r="B180" s="102"/>
      <c r="C180" s="17"/>
      <c r="D180" s="102"/>
      <c r="E180" s="48"/>
      <c r="F180" s="49"/>
      <c r="G180" s="49"/>
      <c r="H180" s="49"/>
      <c r="I180" s="49"/>
      <c r="J180" s="49"/>
      <c r="K180" s="24"/>
      <c r="L180" s="103"/>
      <c r="M180" s="14" t="str">
        <f ca="1">IF(PLATES[[#This Row],[ID]] &lt;&gt; "", IF(A180 = "000", A180 &amp; " | None", A180 &amp; " | " &amp; C180 &amp; " | " &amp; D180), "")</f>
        <v/>
      </c>
    </row>
    <row r="181" spans="1:13" ht="22.5" customHeight="1">
      <c r="A181" s="111" t="str">
        <f ca="1">IF(PLATES[[#This Row],[PRODUCT]] &lt;&gt; "", IF(ROW() = 2, "000", TEXT(INDIRECT("A" &amp; ROW() - 1) + 1, "000")), "")</f>
        <v/>
      </c>
      <c r="B181" s="102"/>
      <c r="C181" s="17"/>
      <c r="D181" s="102"/>
      <c r="E181" s="48"/>
      <c r="F181" s="49"/>
      <c r="G181" s="49"/>
      <c r="H181" s="49"/>
      <c r="I181" s="49"/>
      <c r="J181" s="49"/>
      <c r="K181" s="24"/>
      <c r="L181" s="103"/>
      <c r="M181" s="14" t="str">
        <f ca="1">IF(PLATES[[#This Row],[ID]] &lt;&gt; "", IF(A181 = "000", A181 &amp; " | None", A181 &amp; " | " &amp; C181 &amp; " | " &amp; D181), "")</f>
        <v/>
      </c>
    </row>
    <row r="182" spans="1:13" ht="22.5" customHeight="1">
      <c r="A182" s="111" t="str">
        <f ca="1">IF(PLATES[[#This Row],[PRODUCT]] &lt;&gt; "", IF(ROW() = 2, "000", TEXT(INDIRECT("A" &amp; ROW() - 1) + 1, "000")), "")</f>
        <v/>
      </c>
      <c r="B182" s="102"/>
      <c r="C182" s="17"/>
      <c r="D182" s="102"/>
      <c r="E182" s="48"/>
      <c r="F182" s="49"/>
      <c r="G182" s="49"/>
      <c r="H182" s="49"/>
      <c r="I182" s="49"/>
      <c r="J182" s="49"/>
      <c r="K182" s="24"/>
      <c r="L182" s="103"/>
      <c r="M182" s="14" t="str">
        <f ca="1">IF(PLATES[[#This Row],[ID]] &lt;&gt; "", IF(A182 = "000", A182 &amp; " | None", A182 &amp; " | " &amp; C182 &amp; " | " &amp; D182), "")</f>
        <v/>
      </c>
    </row>
    <row r="183" spans="1:13" ht="22.5" customHeight="1">
      <c r="A183" s="111" t="str">
        <f ca="1">IF(PLATES[[#This Row],[PRODUCT]] &lt;&gt; "", IF(ROW() = 2, "000", TEXT(INDIRECT("A" &amp; ROW() - 1) + 1, "000")), "")</f>
        <v/>
      </c>
      <c r="B183" s="102"/>
      <c r="C183" s="17"/>
      <c r="D183" s="102"/>
      <c r="E183" s="48"/>
      <c r="F183" s="49"/>
      <c r="G183" s="49"/>
      <c r="H183" s="49"/>
      <c r="I183" s="49"/>
      <c r="J183" s="49"/>
      <c r="K183" s="24"/>
      <c r="L183" s="103"/>
      <c r="M183" s="14" t="str">
        <f ca="1">IF(PLATES[[#This Row],[ID]] &lt;&gt; "", IF(A183 = "000", A183 &amp; " | None", A183 &amp; " | " &amp; C183 &amp; " | " &amp; D183), "")</f>
        <v/>
      </c>
    </row>
    <row r="184" spans="1:13" ht="22.5" customHeight="1">
      <c r="A184" s="111" t="str">
        <f ca="1">IF(PLATES[[#This Row],[PRODUCT]] &lt;&gt; "", IF(ROW() = 2, "000", TEXT(INDIRECT("A" &amp; ROW() - 1) + 1, "000")), "")</f>
        <v/>
      </c>
      <c r="B184" s="102"/>
      <c r="C184" s="17"/>
      <c r="D184" s="102"/>
      <c r="E184" s="48"/>
      <c r="F184" s="49"/>
      <c r="G184" s="49"/>
      <c r="H184" s="49"/>
      <c r="I184" s="49"/>
      <c r="J184" s="49"/>
      <c r="K184" s="24"/>
      <c r="L184" s="103"/>
      <c r="M184" s="14" t="str">
        <f ca="1">IF(PLATES[[#This Row],[ID]] &lt;&gt; "", IF(A184 = "000", A184 &amp; " | None", A184 &amp; " | " &amp; C184 &amp; " | " &amp; D184), "")</f>
        <v/>
      </c>
    </row>
    <row r="185" spans="1:13" ht="22.5" customHeight="1">
      <c r="A185" s="111" t="str">
        <f ca="1">IF(PLATES[[#This Row],[PRODUCT]] &lt;&gt; "", IF(ROW() = 2, "000", TEXT(INDIRECT("A" &amp; ROW() - 1) + 1, "000")), "")</f>
        <v/>
      </c>
      <c r="B185" s="102"/>
      <c r="C185" s="17"/>
      <c r="D185" s="102"/>
      <c r="E185" s="48"/>
      <c r="F185" s="49"/>
      <c r="G185" s="49"/>
      <c r="H185" s="49"/>
      <c r="I185" s="49"/>
      <c r="J185" s="49"/>
      <c r="K185" s="24"/>
      <c r="L185" s="103"/>
      <c r="M185" s="14" t="str">
        <f ca="1">IF(PLATES[[#This Row],[ID]] &lt;&gt; "", IF(A185 = "000", A185 &amp; " | None", A185 &amp; " | " &amp; C185 &amp; " | " &amp; D185), "")</f>
        <v/>
      </c>
    </row>
    <row r="186" spans="1:13" ht="22.5" customHeight="1">
      <c r="A186" s="111" t="str">
        <f ca="1">IF(PLATES[[#This Row],[PRODUCT]] &lt;&gt; "", IF(ROW() = 2, "000", TEXT(INDIRECT("A" &amp; ROW() - 1) + 1, "000")), "")</f>
        <v/>
      </c>
      <c r="B186" s="102"/>
      <c r="C186" s="17"/>
      <c r="D186" s="102"/>
      <c r="E186" s="48"/>
      <c r="F186" s="49"/>
      <c r="G186" s="49"/>
      <c r="H186" s="49"/>
      <c r="I186" s="49"/>
      <c r="J186" s="49"/>
      <c r="K186" s="24"/>
      <c r="L186" s="103"/>
      <c r="M186" s="14" t="str">
        <f ca="1">IF(PLATES[[#This Row],[ID]] &lt;&gt; "", IF(A186 = "000", A186 &amp; " | None", A186 &amp; " | " &amp; C186 &amp; " | " &amp; D186), "")</f>
        <v/>
      </c>
    </row>
    <row r="187" spans="1:13" ht="22.5" customHeight="1">
      <c r="A187" s="111" t="str">
        <f ca="1">IF(PLATES[[#This Row],[PRODUCT]] &lt;&gt; "", IF(ROW() = 2, "000", TEXT(INDIRECT("A" &amp; ROW() - 1) + 1, "000")), "")</f>
        <v/>
      </c>
      <c r="B187" s="102"/>
      <c r="C187" s="17"/>
      <c r="D187" s="102"/>
      <c r="E187" s="48"/>
      <c r="F187" s="49"/>
      <c r="G187" s="49"/>
      <c r="H187" s="49"/>
      <c r="I187" s="49"/>
      <c r="J187" s="49"/>
      <c r="K187" s="24"/>
      <c r="L187" s="103"/>
      <c r="M187" s="14" t="str">
        <f ca="1">IF(PLATES[[#This Row],[ID]] &lt;&gt; "", IF(A187 = "000", A187 &amp; " | None", A187 &amp; " | " &amp; C187 &amp; " | " &amp; D187), "")</f>
        <v/>
      </c>
    </row>
    <row r="188" spans="1:13" ht="22.5" customHeight="1">
      <c r="A188" s="111" t="str">
        <f ca="1">IF(PLATES[[#This Row],[PRODUCT]] &lt;&gt; "", IF(ROW() = 2, "000", TEXT(INDIRECT("A" &amp; ROW() - 1) + 1, "000")), "")</f>
        <v/>
      </c>
      <c r="B188" s="102"/>
      <c r="C188" s="17"/>
      <c r="D188" s="102"/>
      <c r="E188" s="48"/>
      <c r="F188" s="49"/>
      <c r="G188" s="49"/>
      <c r="H188" s="49"/>
      <c r="I188" s="49"/>
      <c r="J188" s="49"/>
      <c r="K188" s="24"/>
      <c r="L188" s="103"/>
      <c r="M188" s="14" t="str">
        <f ca="1">IF(PLATES[[#This Row],[ID]] &lt;&gt; "", IF(A188 = "000", A188 &amp; " | None", A188 &amp; " | " &amp; C188 &amp; " | " &amp; D188), "")</f>
        <v/>
      </c>
    </row>
    <row r="189" spans="1:13" ht="22.5" customHeight="1">
      <c r="A189" s="111" t="str">
        <f ca="1">IF(PLATES[[#This Row],[PRODUCT]] &lt;&gt; "", IF(ROW() = 2, "000", TEXT(INDIRECT("A" &amp; ROW() - 1) + 1, "000")), "")</f>
        <v/>
      </c>
      <c r="B189" s="102"/>
      <c r="C189" s="17"/>
      <c r="D189" s="102"/>
      <c r="E189" s="48"/>
      <c r="F189" s="49"/>
      <c r="G189" s="49"/>
      <c r="H189" s="49"/>
      <c r="I189" s="49"/>
      <c r="J189" s="49"/>
      <c r="K189" s="24"/>
      <c r="L189" s="103"/>
      <c r="M189" s="14" t="str">
        <f ca="1">IF(PLATES[[#This Row],[ID]] &lt;&gt; "", IF(A189 = "000", A189 &amp; " | None", A189 &amp; " | " &amp; C189 &amp; " | " &amp; D189), "")</f>
        <v/>
      </c>
    </row>
    <row r="190" spans="1:13" ht="22.5" customHeight="1">
      <c r="A190" s="111" t="str">
        <f ca="1">IF(PLATES[[#This Row],[PRODUCT]] &lt;&gt; "", IF(ROW() = 2, "000", TEXT(INDIRECT("A" &amp; ROW() - 1) + 1, "000")), "")</f>
        <v/>
      </c>
      <c r="B190" s="102"/>
      <c r="C190" s="17"/>
      <c r="D190" s="102"/>
      <c r="E190" s="48"/>
      <c r="F190" s="49"/>
      <c r="G190" s="49"/>
      <c r="H190" s="49"/>
      <c r="I190" s="49"/>
      <c r="J190" s="49"/>
      <c r="K190" s="24"/>
      <c r="L190" s="103"/>
      <c r="M190" s="14" t="str">
        <f ca="1">IF(PLATES[[#This Row],[ID]] &lt;&gt; "", IF(A190 = "000", A190 &amp; " | None", A190 &amp; " | " &amp; C190 &amp; " | " &amp; D190), "")</f>
        <v/>
      </c>
    </row>
    <row r="191" spans="1:13" ht="22.5" customHeight="1">
      <c r="A191" s="111" t="str">
        <f ca="1">IF(PLATES[[#This Row],[PRODUCT]] &lt;&gt; "", IF(ROW() = 2, "000", TEXT(INDIRECT("A" &amp; ROW() - 1) + 1, "000")), "")</f>
        <v/>
      </c>
      <c r="B191" s="102"/>
      <c r="C191" s="17"/>
      <c r="D191" s="102"/>
      <c r="E191" s="48"/>
      <c r="F191" s="49"/>
      <c r="G191" s="49"/>
      <c r="H191" s="49"/>
      <c r="I191" s="49"/>
      <c r="J191" s="49"/>
      <c r="K191" s="24"/>
      <c r="L191" s="103"/>
      <c r="M191" s="14" t="str">
        <f ca="1">IF(PLATES[[#This Row],[ID]] &lt;&gt; "", IF(A191 = "000", A191 &amp; " | None", A191 &amp; " | " &amp; C191 &amp; " | " &amp; D191), "")</f>
        <v/>
      </c>
    </row>
    <row r="192" spans="1:13" ht="22.5" customHeight="1">
      <c r="A192" s="111" t="str">
        <f ca="1">IF(PLATES[[#This Row],[PRODUCT]] &lt;&gt; "", IF(ROW() = 2, "000", TEXT(INDIRECT("A" &amp; ROW() - 1) + 1, "000")), "")</f>
        <v/>
      </c>
      <c r="B192" s="102"/>
      <c r="C192" s="17"/>
      <c r="D192" s="102"/>
      <c r="E192" s="48"/>
      <c r="F192" s="49"/>
      <c r="G192" s="49"/>
      <c r="H192" s="49"/>
      <c r="I192" s="49"/>
      <c r="J192" s="49"/>
      <c r="K192" s="24"/>
      <c r="L192" s="103"/>
      <c r="M192" s="14" t="str">
        <f ca="1">IF(PLATES[[#This Row],[ID]] &lt;&gt; "", IF(A192 = "000", A192 &amp; " | None", A192 &amp; " | " &amp; C192 &amp; " | " &amp; D192), "")</f>
        <v/>
      </c>
    </row>
    <row r="193" spans="1:13" ht="22.5" customHeight="1">
      <c r="A193" s="111" t="str">
        <f ca="1">IF(PLATES[[#This Row],[PRODUCT]] &lt;&gt; "", IF(ROW() = 2, "000", TEXT(INDIRECT("A" &amp; ROW() - 1) + 1, "000")), "")</f>
        <v/>
      </c>
      <c r="B193" s="102"/>
      <c r="C193" s="17"/>
      <c r="D193" s="102"/>
      <c r="E193" s="48"/>
      <c r="F193" s="49"/>
      <c r="G193" s="49"/>
      <c r="H193" s="49"/>
      <c r="I193" s="49"/>
      <c r="J193" s="49"/>
      <c r="K193" s="24"/>
      <c r="L193" s="103"/>
      <c r="M193" s="14" t="str">
        <f ca="1">IF(PLATES[[#This Row],[ID]] &lt;&gt; "", IF(A193 = "000", A193 &amp; " | None", A193 &amp; " | " &amp; C193 &amp; " | " &amp; D193), "")</f>
        <v/>
      </c>
    </row>
    <row r="194" spans="1:13" ht="22.5" customHeight="1">
      <c r="A194" s="111" t="str">
        <f ca="1">IF(PLATES[[#This Row],[PRODUCT]] &lt;&gt; "", IF(ROW() = 2, "000", TEXT(INDIRECT("A" &amp; ROW() - 1) + 1, "000")), "")</f>
        <v/>
      </c>
      <c r="B194" s="102"/>
      <c r="C194" s="17"/>
      <c r="D194" s="102"/>
      <c r="E194" s="48"/>
      <c r="F194" s="49"/>
      <c r="G194" s="49"/>
      <c r="H194" s="49"/>
      <c r="I194" s="49"/>
      <c r="J194" s="49"/>
      <c r="K194" s="24"/>
      <c r="L194" s="103"/>
      <c r="M194" s="14" t="str">
        <f ca="1">IF(PLATES[[#This Row],[ID]] &lt;&gt; "", IF(A194 = "000", A194 &amp; " | None", A194 &amp; " | " &amp; C194 &amp; " | " &amp; D194), "")</f>
        <v/>
      </c>
    </row>
    <row r="195" spans="1:13" ht="22.5" customHeight="1">
      <c r="A195" s="111" t="str">
        <f ca="1">IF(PLATES[[#This Row],[PRODUCT]] &lt;&gt; "", IF(ROW() = 2, "000", TEXT(INDIRECT("A" &amp; ROW() - 1) + 1, "000")), "")</f>
        <v/>
      </c>
      <c r="B195" s="102"/>
      <c r="C195" s="17"/>
      <c r="D195" s="102"/>
      <c r="E195" s="48"/>
      <c r="F195" s="49"/>
      <c r="G195" s="49"/>
      <c r="H195" s="49"/>
      <c r="I195" s="49"/>
      <c r="J195" s="49"/>
      <c r="K195" s="24"/>
      <c r="L195" s="103"/>
      <c r="M195" s="14" t="str">
        <f ca="1">IF(PLATES[[#This Row],[ID]] &lt;&gt; "", IF(A195 = "000", A195 &amp; " | None", A195 &amp; " | " &amp; C195 &amp; " | " &amp; D195), "")</f>
        <v/>
      </c>
    </row>
    <row r="196" spans="1:13" ht="22.5" customHeight="1">
      <c r="A196" s="111" t="str">
        <f ca="1">IF(PLATES[[#This Row],[PRODUCT]] &lt;&gt; "", IF(ROW() = 2, "000", TEXT(INDIRECT("A" &amp; ROW() - 1) + 1, "000")), "")</f>
        <v/>
      </c>
      <c r="B196" s="102"/>
      <c r="C196" s="17"/>
      <c r="D196" s="102"/>
      <c r="E196" s="48"/>
      <c r="F196" s="49"/>
      <c r="G196" s="49"/>
      <c r="H196" s="49"/>
      <c r="I196" s="49"/>
      <c r="J196" s="49"/>
      <c r="K196" s="24"/>
      <c r="L196" s="103"/>
      <c r="M196" s="14" t="str">
        <f ca="1">IF(PLATES[[#This Row],[ID]] &lt;&gt; "", IF(A196 = "000", A196 &amp; " | None", A196 &amp; " | " &amp; C196 &amp; " | " &amp; D196), "")</f>
        <v/>
      </c>
    </row>
    <row r="197" spans="1:13" ht="22.5" customHeight="1">
      <c r="A197" s="111" t="str">
        <f ca="1">IF(PLATES[[#This Row],[PRODUCT]] &lt;&gt; "", IF(ROW() = 2, "000", TEXT(INDIRECT("A" &amp; ROW() - 1) + 1, "000")), "")</f>
        <v/>
      </c>
      <c r="B197" s="102"/>
      <c r="C197" s="17"/>
      <c r="D197" s="102"/>
      <c r="E197" s="48"/>
      <c r="F197" s="49"/>
      <c r="G197" s="49"/>
      <c r="H197" s="49"/>
      <c r="I197" s="49"/>
      <c r="J197" s="49"/>
      <c r="K197" s="24"/>
      <c r="L197" s="103"/>
      <c r="M197" s="14" t="str">
        <f ca="1">IF(PLATES[[#This Row],[ID]] &lt;&gt; "", IF(A197 = "000", A197 &amp; " | None", A197 &amp; " | " &amp; C197 &amp; " | " &amp; D197), "")</f>
        <v/>
      </c>
    </row>
    <row r="198" spans="1:13" ht="22.5" customHeight="1">
      <c r="A198" s="111" t="str">
        <f ca="1">IF(PLATES[[#This Row],[PRODUCT]] &lt;&gt; "", IF(ROW() = 2, "000", TEXT(INDIRECT("A" &amp; ROW() - 1) + 1, "000")), "")</f>
        <v/>
      </c>
      <c r="B198" s="102"/>
      <c r="C198" s="17"/>
      <c r="D198" s="102"/>
      <c r="E198" s="48"/>
      <c r="F198" s="49"/>
      <c r="G198" s="49"/>
      <c r="H198" s="49"/>
      <c r="I198" s="49"/>
      <c r="J198" s="49"/>
      <c r="K198" s="24"/>
      <c r="L198" s="103"/>
      <c r="M198" s="14" t="str">
        <f ca="1">IF(PLATES[[#This Row],[ID]] &lt;&gt; "", IF(A198 = "000", A198 &amp; " | None", A198 &amp; " | " &amp; C198 &amp; " | " &amp; D198), "")</f>
        <v/>
      </c>
    </row>
    <row r="199" spans="1:13" ht="22.5" customHeight="1">
      <c r="A199" s="111" t="str">
        <f ca="1">IF(PLATES[[#This Row],[PRODUCT]] &lt;&gt; "", IF(ROW() = 2, "000", TEXT(INDIRECT("A" &amp; ROW() - 1) + 1, "000")), "")</f>
        <v/>
      </c>
      <c r="B199" s="102"/>
      <c r="C199" s="17"/>
      <c r="D199" s="102"/>
      <c r="E199" s="48"/>
      <c r="F199" s="49"/>
      <c r="G199" s="49"/>
      <c r="H199" s="49"/>
      <c r="I199" s="49"/>
      <c r="J199" s="49"/>
      <c r="K199" s="24"/>
      <c r="L199" s="103"/>
      <c r="M199" s="14" t="str">
        <f ca="1">IF(PLATES[[#This Row],[ID]] &lt;&gt; "", IF(A199 = "000", A199 &amp; " | None", A199 &amp; " | " &amp; C199 &amp; " | " &amp; D199), "")</f>
        <v/>
      </c>
    </row>
    <row r="200" spans="1:13" ht="22.5" customHeight="1">
      <c r="A200" s="111" t="str">
        <f ca="1">IF(PLATES[[#This Row],[PRODUCT]] &lt;&gt; "", IF(ROW() = 2, "000", TEXT(INDIRECT("A" &amp; ROW() - 1) + 1, "000")), "")</f>
        <v/>
      </c>
      <c r="B200" s="102"/>
      <c r="C200" s="17"/>
      <c r="D200" s="102"/>
      <c r="E200" s="48"/>
      <c r="F200" s="49"/>
      <c r="G200" s="49"/>
      <c r="H200" s="49"/>
      <c r="I200" s="49"/>
      <c r="J200" s="49"/>
      <c r="K200" s="24"/>
      <c r="L200" s="103"/>
      <c r="M200" s="14" t="str">
        <f ca="1">IF(PLATES[[#This Row],[ID]] &lt;&gt; "", IF(A200 = "000", A200 &amp; " | None", A200 &amp; " | " &amp; C200 &amp; " | " &amp; D200), "")</f>
        <v/>
      </c>
    </row>
    <row r="201" spans="1:13" ht="22.5" customHeight="1">
      <c r="A201" s="111" t="str">
        <f ca="1">IF(PLATES[[#This Row],[PRODUCT]] &lt;&gt; "", IF(ROW() = 2, "000", TEXT(INDIRECT("A" &amp; ROW() - 1) + 1, "000")), "")</f>
        <v/>
      </c>
      <c r="B201" s="102"/>
      <c r="C201" s="17"/>
      <c r="D201" s="102"/>
      <c r="E201" s="48"/>
      <c r="F201" s="49"/>
      <c r="G201" s="49"/>
      <c r="H201" s="49"/>
      <c r="I201" s="49"/>
      <c r="J201" s="49"/>
      <c r="K201" s="24"/>
      <c r="L201" s="103"/>
      <c r="M201" s="14" t="str">
        <f ca="1">IF(PLATES[[#This Row],[ID]] &lt;&gt; "", IF(A201 = "000", A201 &amp; " | None", A201 &amp; " | " &amp; C201 &amp; " | " &amp; D201), "")</f>
        <v/>
      </c>
    </row>
    <row r="202" spans="1:13" ht="22.5" customHeight="1">
      <c r="A202" s="111" t="str">
        <f ca="1">IF(PLATES[[#This Row],[PRODUCT]] &lt;&gt; "", IF(ROW() = 2, "000", TEXT(INDIRECT("A" &amp; ROW() - 1) + 1, "000")), "")</f>
        <v/>
      </c>
      <c r="B202" s="102"/>
      <c r="C202" s="17"/>
      <c r="D202" s="102"/>
      <c r="E202" s="48"/>
      <c r="F202" s="49"/>
      <c r="G202" s="49"/>
      <c r="H202" s="49"/>
      <c r="I202" s="49"/>
      <c r="J202" s="49"/>
      <c r="K202" s="24"/>
      <c r="L202" s="103"/>
      <c r="M202" s="14" t="str">
        <f ca="1">IF(PLATES[[#This Row],[ID]] &lt;&gt; "", IF(A202 = "000", A202 &amp; " | None", A202 &amp; " | " &amp; C202 &amp; " | " &amp; D202), "")</f>
        <v/>
      </c>
    </row>
    <row r="203" spans="1:13" ht="22.5" customHeight="1">
      <c r="A203" s="111" t="str">
        <f ca="1">IF(PLATES[[#This Row],[PRODUCT]] &lt;&gt; "", IF(ROW() = 2, "000", TEXT(INDIRECT("A" &amp; ROW() - 1) + 1, "000")), "")</f>
        <v/>
      </c>
      <c r="B203" s="102"/>
      <c r="C203" s="17"/>
      <c r="D203" s="102"/>
      <c r="E203" s="48"/>
      <c r="F203" s="49"/>
      <c r="G203" s="49"/>
      <c r="H203" s="49"/>
      <c r="I203" s="49"/>
      <c r="J203" s="49"/>
      <c r="K203" s="24"/>
      <c r="L203" s="103"/>
      <c r="M203" s="14" t="str">
        <f ca="1">IF(PLATES[[#This Row],[ID]] &lt;&gt; "", IF(A203 = "000", A203 &amp; " | None", A203 &amp; " | " &amp; C203 &amp; " | " &amp; D203), "")</f>
        <v/>
      </c>
    </row>
    <row r="204" spans="1:13" ht="22.5" customHeight="1">
      <c r="A204" s="111" t="str">
        <f ca="1">IF(PLATES[[#This Row],[PRODUCT]] &lt;&gt; "", IF(ROW() = 2, "000", TEXT(INDIRECT("A" &amp; ROW() - 1) + 1, "000")), "")</f>
        <v/>
      </c>
      <c r="B204" s="102"/>
      <c r="C204" s="17"/>
      <c r="D204" s="102"/>
      <c r="E204" s="48"/>
      <c r="F204" s="49"/>
      <c r="G204" s="49"/>
      <c r="H204" s="49"/>
      <c r="I204" s="49"/>
      <c r="J204" s="49"/>
      <c r="K204" s="24"/>
      <c r="L204" s="103"/>
      <c r="M204" s="14" t="str">
        <f ca="1">IF(PLATES[[#This Row],[ID]] &lt;&gt; "", IF(A204 = "000", A204 &amp; " | None", A204 &amp; " | " &amp; C204 &amp; " | " &amp; D204), "")</f>
        <v/>
      </c>
    </row>
    <row r="205" spans="1:13" ht="22.5" customHeight="1">
      <c r="A205" s="111" t="str">
        <f ca="1">IF(PLATES[[#This Row],[PRODUCT]] &lt;&gt; "", IF(ROW() = 2, "000", TEXT(INDIRECT("A" &amp; ROW() - 1) + 1, "000")), "")</f>
        <v/>
      </c>
      <c r="B205" s="102"/>
      <c r="C205" s="17"/>
      <c r="D205" s="102"/>
      <c r="E205" s="48"/>
      <c r="F205" s="49"/>
      <c r="G205" s="49"/>
      <c r="H205" s="49"/>
      <c r="I205" s="49"/>
      <c r="J205" s="49"/>
      <c r="K205" s="24"/>
      <c r="L205" s="103"/>
      <c r="M205" s="14" t="str">
        <f ca="1">IF(PLATES[[#This Row],[ID]] &lt;&gt; "", IF(A205 = "000", A205 &amp; " | None", A205 &amp; " | " &amp; C205 &amp; " | " &amp; D205), "")</f>
        <v/>
      </c>
    </row>
    <row r="206" spans="1:13" ht="22.5" customHeight="1">
      <c r="A206" s="111" t="str">
        <f ca="1">IF(PLATES[[#This Row],[PRODUCT]] &lt;&gt; "", IF(ROW() = 2, "000", TEXT(INDIRECT("A" &amp; ROW() - 1) + 1, "000")), "")</f>
        <v/>
      </c>
      <c r="B206" s="102"/>
      <c r="C206" s="17"/>
      <c r="D206" s="102"/>
      <c r="E206" s="48"/>
      <c r="F206" s="49"/>
      <c r="G206" s="49"/>
      <c r="H206" s="49"/>
      <c r="I206" s="49"/>
      <c r="J206" s="49"/>
      <c r="K206" s="24"/>
      <c r="L206" s="103"/>
      <c r="M206" s="14" t="str">
        <f ca="1">IF(PLATES[[#This Row],[ID]] &lt;&gt; "", IF(A206 = "000", A206 &amp; " | None", A206 &amp; " | " &amp; C206 &amp; " | " &amp; D206), "")</f>
        <v/>
      </c>
    </row>
    <row r="207" spans="1:13" ht="22.5" customHeight="1">
      <c r="A207" s="111" t="str">
        <f ca="1">IF(PLATES[[#This Row],[PRODUCT]] &lt;&gt; "", IF(ROW() = 2, "000", TEXT(INDIRECT("A" &amp; ROW() - 1) + 1, "000")), "")</f>
        <v/>
      </c>
      <c r="B207" s="102"/>
      <c r="C207" s="17"/>
      <c r="D207" s="102"/>
      <c r="E207" s="48"/>
      <c r="F207" s="49"/>
      <c r="G207" s="49"/>
      <c r="H207" s="49"/>
      <c r="I207" s="49"/>
      <c r="J207" s="49"/>
      <c r="K207" s="24"/>
      <c r="L207" s="103"/>
      <c r="M207" s="14" t="str">
        <f ca="1">IF(PLATES[[#This Row],[ID]] &lt;&gt; "", IF(A207 = "000", A207 &amp; " | None", A207 &amp; " | " &amp; C207 &amp; " | " &amp; D207), "")</f>
        <v/>
      </c>
    </row>
    <row r="208" spans="1:13" ht="22.5" customHeight="1">
      <c r="A208" s="111" t="str">
        <f ca="1">IF(PLATES[[#This Row],[PRODUCT]] &lt;&gt; "", IF(ROW() = 2, "000", TEXT(INDIRECT("A" &amp; ROW() - 1) + 1, "000")), "")</f>
        <v/>
      </c>
      <c r="B208" s="102"/>
      <c r="C208" s="17"/>
      <c r="D208" s="102"/>
      <c r="E208" s="48"/>
      <c r="F208" s="49"/>
      <c r="G208" s="49"/>
      <c r="H208" s="49"/>
      <c r="I208" s="49"/>
      <c r="J208" s="49"/>
      <c r="K208" s="24"/>
      <c r="L208" s="103"/>
      <c r="M208" s="14" t="str">
        <f ca="1">IF(PLATES[[#This Row],[ID]] &lt;&gt; "", IF(A208 = "000", A208 &amp; " | None", A208 &amp; " | " &amp; C208 &amp; " | " &amp; D208), "")</f>
        <v/>
      </c>
    </row>
    <row r="209" spans="1:13" ht="22.5" customHeight="1">
      <c r="A209" s="111" t="str">
        <f ca="1">IF(PLATES[[#This Row],[PRODUCT]] &lt;&gt; "", IF(ROW() = 2, "000", TEXT(INDIRECT("A" &amp; ROW() - 1) + 1, "000")), "")</f>
        <v/>
      </c>
      <c r="B209" s="102"/>
      <c r="C209" s="17"/>
      <c r="D209" s="102"/>
      <c r="E209" s="48"/>
      <c r="F209" s="49"/>
      <c r="G209" s="49"/>
      <c r="H209" s="49"/>
      <c r="I209" s="49"/>
      <c r="J209" s="49"/>
      <c r="K209" s="24"/>
      <c r="L209" s="103"/>
      <c r="M209" s="14" t="str">
        <f ca="1">IF(PLATES[[#This Row],[ID]] &lt;&gt; "", IF(A209 = "000", A209 &amp; " | None", A209 &amp; " | " &amp; C209 &amp; " | " &amp; D209), "")</f>
        <v/>
      </c>
    </row>
    <row r="210" spans="1:13" ht="22.5" customHeight="1">
      <c r="A210" s="111" t="str">
        <f ca="1">IF(PLATES[[#This Row],[PRODUCT]] &lt;&gt; "", IF(ROW() = 2, "000", TEXT(INDIRECT("A" &amp; ROW() - 1) + 1, "000")), "")</f>
        <v/>
      </c>
      <c r="B210" s="102"/>
      <c r="C210" s="17"/>
      <c r="D210" s="102"/>
      <c r="E210" s="48"/>
      <c r="F210" s="49"/>
      <c r="G210" s="49"/>
      <c r="H210" s="49"/>
      <c r="I210" s="49"/>
      <c r="J210" s="49"/>
      <c r="K210" s="24"/>
      <c r="L210" s="103"/>
      <c r="M210" s="14" t="str">
        <f ca="1">IF(PLATES[[#This Row],[ID]] &lt;&gt; "", IF(A210 = "000", A210 &amp; " | None", A210 &amp; " | " &amp; C210 &amp; " | " &amp; D210), "")</f>
        <v/>
      </c>
    </row>
    <row r="211" spans="1:13" ht="22.5" customHeight="1">
      <c r="A211" s="111" t="str">
        <f ca="1">IF(PLATES[[#This Row],[PRODUCT]] &lt;&gt; "", IF(ROW() = 2, "000", TEXT(INDIRECT("A" &amp; ROW() - 1) + 1, "000")), "")</f>
        <v/>
      </c>
      <c r="B211" s="102"/>
      <c r="C211" s="17"/>
      <c r="D211" s="102"/>
      <c r="E211" s="48"/>
      <c r="F211" s="49"/>
      <c r="G211" s="49"/>
      <c r="H211" s="49"/>
      <c r="I211" s="49"/>
      <c r="J211" s="49"/>
      <c r="K211" s="24"/>
      <c r="L211" s="103"/>
      <c r="M211" s="14" t="str">
        <f ca="1">IF(PLATES[[#This Row],[ID]] &lt;&gt; "", IF(A211 = "000", A211 &amp; " | None", A211 &amp; " | " &amp; C211 &amp; " | " &amp; D211), "")</f>
        <v/>
      </c>
    </row>
    <row r="212" spans="1:13" ht="22.5" customHeight="1">
      <c r="A212" s="111" t="str">
        <f ca="1">IF(PLATES[[#This Row],[PRODUCT]] &lt;&gt; "", IF(ROW() = 2, "000", TEXT(INDIRECT("A" &amp; ROW() - 1) + 1, "000")), "")</f>
        <v/>
      </c>
      <c r="B212" s="102"/>
      <c r="C212" s="17"/>
      <c r="D212" s="102"/>
      <c r="E212" s="48"/>
      <c r="F212" s="49"/>
      <c r="G212" s="49"/>
      <c r="H212" s="49"/>
      <c r="I212" s="49"/>
      <c r="J212" s="49"/>
      <c r="K212" s="24"/>
      <c r="L212" s="103"/>
      <c r="M212" s="14" t="str">
        <f ca="1">IF(PLATES[[#This Row],[ID]] &lt;&gt; "", IF(A212 = "000", A212 &amp; " | None", A212 &amp; " | " &amp; C212 &amp; " | " &amp; D212), "")</f>
        <v/>
      </c>
    </row>
    <row r="213" spans="1:13" ht="22.5" customHeight="1">
      <c r="A213" s="111" t="str">
        <f ca="1">IF(PLATES[[#This Row],[PRODUCT]] &lt;&gt; "", IF(ROW() = 2, "000", TEXT(INDIRECT("A" &amp; ROW() - 1) + 1, "000")), "")</f>
        <v/>
      </c>
      <c r="B213" s="102"/>
      <c r="C213" s="17"/>
      <c r="D213" s="102"/>
      <c r="E213" s="48"/>
      <c r="F213" s="49"/>
      <c r="G213" s="49"/>
      <c r="H213" s="49"/>
      <c r="I213" s="49"/>
      <c r="J213" s="49"/>
      <c r="K213" s="24"/>
      <c r="L213" s="103"/>
      <c r="M213" s="14" t="str">
        <f ca="1">IF(PLATES[[#This Row],[ID]] &lt;&gt; "", IF(A213 = "000", A213 &amp; " | None", A213 &amp; " | " &amp; C213 &amp; " | " &amp; D213), "")</f>
        <v/>
      </c>
    </row>
    <row r="214" spans="1:13" ht="22.5" customHeight="1">
      <c r="A214" s="111" t="str">
        <f ca="1">IF(PLATES[[#This Row],[PRODUCT]] &lt;&gt; "", IF(ROW() = 2, "000", TEXT(INDIRECT("A" &amp; ROW() - 1) + 1, "000")), "")</f>
        <v/>
      </c>
      <c r="B214" s="102"/>
      <c r="C214" s="17"/>
      <c r="D214" s="102"/>
      <c r="E214" s="48"/>
      <c r="F214" s="49"/>
      <c r="G214" s="49"/>
      <c r="H214" s="49"/>
      <c r="I214" s="49"/>
      <c r="J214" s="49"/>
      <c r="K214" s="24"/>
      <c r="L214" s="103"/>
      <c r="M214" s="14" t="str">
        <f ca="1">IF(PLATES[[#This Row],[ID]] &lt;&gt; "", IF(A214 = "000", A214 &amp; " | None", A214 &amp; " | " &amp; C214 &amp; " | " &amp; D214), "")</f>
        <v/>
      </c>
    </row>
    <row r="215" spans="1:13" ht="22.5" customHeight="1">
      <c r="A215" s="111" t="str">
        <f ca="1">IF(PLATES[[#This Row],[PRODUCT]] &lt;&gt; "", IF(ROW() = 2, "000", TEXT(INDIRECT("A" &amp; ROW() - 1) + 1, "000")), "")</f>
        <v/>
      </c>
      <c r="B215" s="102"/>
      <c r="C215" s="17"/>
      <c r="D215" s="102"/>
      <c r="E215" s="48"/>
      <c r="F215" s="49"/>
      <c r="G215" s="49"/>
      <c r="H215" s="49"/>
      <c r="I215" s="49"/>
      <c r="J215" s="49"/>
      <c r="K215" s="24"/>
      <c r="L215" s="103"/>
      <c r="M215" s="14" t="str">
        <f ca="1">IF(PLATES[[#This Row],[ID]] &lt;&gt; "", IF(A215 = "000", A215 &amp; " | None", A215 &amp; " | " &amp; C215 &amp; " | " &amp; D215), "")</f>
        <v/>
      </c>
    </row>
    <row r="216" spans="1:13" ht="22.5" customHeight="1">
      <c r="A216" s="111" t="str">
        <f ca="1">IF(PLATES[[#This Row],[PRODUCT]] &lt;&gt; "", IF(ROW() = 2, "000", TEXT(INDIRECT("A" &amp; ROW() - 1) + 1, "000")), "")</f>
        <v/>
      </c>
      <c r="B216" s="102"/>
      <c r="C216" s="17"/>
      <c r="D216" s="102"/>
      <c r="E216" s="48"/>
      <c r="F216" s="49"/>
      <c r="G216" s="49"/>
      <c r="H216" s="49"/>
      <c r="I216" s="49"/>
      <c r="J216" s="49"/>
      <c r="K216" s="24"/>
      <c r="L216" s="103"/>
      <c r="M216" s="14" t="str">
        <f ca="1">IF(PLATES[[#This Row],[ID]] &lt;&gt; "", IF(A216 = "000", A216 &amp; " | None", A216 &amp; " | " &amp; C216 &amp; " | " &amp; D216), "")</f>
        <v/>
      </c>
    </row>
    <row r="217" spans="1:13" ht="22.5" customHeight="1">
      <c r="A217" s="111" t="str">
        <f ca="1">IF(PLATES[[#This Row],[PRODUCT]] &lt;&gt; "", IF(ROW() = 2, "000", TEXT(INDIRECT("A" &amp; ROW() - 1) + 1, "000")), "")</f>
        <v/>
      </c>
      <c r="B217" s="102"/>
      <c r="C217" s="17"/>
      <c r="D217" s="102"/>
      <c r="E217" s="48"/>
      <c r="F217" s="49"/>
      <c r="G217" s="49"/>
      <c r="H217" s="49"/>
      <c r="I217" s="49"/>
      <c r="J217" s="49"/>
      <c r="K217" s="24"/>
      <c r="L217" s="103"/>
      <c r="M217" s="14" t="str">
        <f ca="1">IF(PLATES[[#This Row],[ID]] &lt;&gt; "", IF(A217 = "000", A217 &amp; " | None", A217 &amp; " | " &amp; C217 &amp; " | " &amp; D217), "")</f>
        <v/>
      </c>
    </row>
    <row r="218" spans="1:13" ht="22.5" customHeight="1">
      <c r="A218" s="111" t="str">
        <f ca="1">IF(PLATES[[#This Row],[PRODUCT]] &lt;&gt; "", IF(ROW() = 2, "000", TEXT(INDIRECT("A" &amp; ROW() - 1) + 1, "000")), "")</f>
        <v/>
      </c>
      <c r="B218" s="102"/>
      <c r="C218" s="17"/>
      <c r="D218" s="102"/>
      <c r="E218" s="48"/>
      <c r="F218" s="49"/>
      <c r="G218" s="49"/>
      <c r="H218" s="49"/>
      <c r="I218" s="49"/>
      <c r="J218" s="49"/>
      <c r="K218" s="24"/>
      <c r="L218" s="103"/>
      <c r="M218" s="14" t="str">
        <f ca="1">IF(PLATES[[#This Row],[ID]] &lt;&gt; "", IF(A218 = "000", A218 &amp; " | None", A218 &amp; " | " &amp; C218 &amp; " | " &amp; D218), "")</f>
        <v/>
      </c>
    </row>
    <row r="219" spans="1:13" ht="22.5" customHeight="1">
      <c r="A219" s="111" t="str">
        <f ca="1">IF(PLATES[[#This Row],[PRODUCT]] &lt;&gt; "", IF(ROW() = 2, "000", TEXT(INDIRECT("A" &amp; ROW() - 1) + 1, "000")), "")</f>
        <v/>
      </c>
      <c r="B219" s="102"/>
      <c r="C219" s="17"/>
      <c r="D219" s="102"/>
      <c r="E219" s="48"/>
      <c r="F219" s="49"/>
      <c r="G219" s="49"/>
      <c r="H219" s="49"/>
      <c r="I219" s="49"/>
      <c r="J219" s="49"/>
      <c r="K219" s="24"/>
      <c r="L219" s="103"/>
      <c r="M219" s="14" t="str">
        <f ca="1">IF(PLATES[[#This Row],[ID]] &lt;&gt; "", IF(A219 = "000", A219 &amp; " | None", A219 &amp; " | " &amp; C219 &amp; " | " &amp; D219), "")</f>
        <v/>
      </c>
    </row>
    <row r="220" spans="1:13" ht="22.5" customHeight="1">
      <c r="A220" s="111" t="str">
        <f ca="1">IF(PLATES[[#This Row],[PRODUCT]] &lt;&gt; "", IF(ROW() = 2, "000", TEXT(INDIRECT("A" &amp; ROW() - 1) + 1, "000")), "")</f>
        <v/>
      </c>
      <c r="B220" s="102"/>
      <c r="C220" s="17"/>
      <c r="D220" s="102"/>
      <c r="E220" s="48"/>
      <c r="F220" s="49"/>
      <c r="G220" s="49"/>
      <c r="H220" s="49"/>
      <c r="I220" s="49"/>
      <c r="J220" s="49"/>
      <c r="K220" s="24"/>
      <c r="L220" s="103"/>
      <c r="M220" s="14" t="str">
        <f ca="1">IF(PLATES[[#This Row],[ID]] &lt;&gt; "", IF(A220 = "000", A220 &amp; " | None", A220 &amp; " | " &amp; C220 &amp; " | " &amp; D220), "")</f>
        <v/>
      </c>
    </row>
    <row r="221" spans="1:13" ht="22.5" customHeight="1">
      <c r="A221" s="111" t="str">
        <f ca="1">IF(PLATES[[#This Row],[PRODUCT]] &lt;&gt; "", IF(ROW() = 2, "000", TEXT(INDIRECT("A" &amp; ROW() - 1) + 1, "000")), "")</f>
        <v/>
      </c>
      <c r="B221" s="102"/>
      <c r="C221" s="17"/>
      <c r="D221" s="102"/>
      <c r="E221" s="48"/>
      <c r="F221" s="49"/>
      <c r="G221" s="49"/>
      <c r="H221" s="49"/>
      <c r="I221" s="49"/>
      <c r="J221" s="49"/>
      <c r="K221" s="24"/>
      <c r="L221" s="103"/>
      <c r="M221" s="14" t="str">
        <f ca="1">IF(PLATES[[#This Row],[ID]] &lt;&gt; "", IF(A221 = "000", A221 &amp; " | None", A221 &amp; " | " &amp; C221 &amp; " | " &amp; D221), "")</f>
        <v/>
      </c>
    </row>
    <row r="222" spans="1:13" ht="22.5" customHeight="1">
      <c r="A222" s="111" t="str">
        <f ca="1">IF(PLATES[[#This Row],[PRODUCT]] &lt;&gt; "", IF(ROW() = 2, "000", TEXT(INDIRECT("A" &amp; ROW() - 1) + 1, "000")), "")</f>
        <v/>
      </c>
      <c r="B222" s="102"/>
      <c r="C222" s="17"/>
      <c r="D222" s="102"/>
      <c r="E222" s="48"/>
      <c r="F222" s="49"/>
      <c r="G222" s="49"/>
      <c r="H222" s="49"/>
      <c r="I222" s="49"/>
      <c r="J222" s="49"/>
      <c r="K222" s="24"/>
      <c r="L222" s="103"/>
      <c r="M222" s="14" t="str">
        <f ca="1">IF(PLATES[[#This Row],[ID]] &lt;&gt; "", IF(A222 = "000", A222 &amp; " | None", A222 &amp; " | " &amp; C222 &amp; " | " &amp; D222), "")</f>
        <v/>
      </c>
    </row>
    <row r="223" spans="1:13" ht="22.5" customHeight="1">
      <c r="A223" s="111" t="str">
        <f ca="1">IF(PLATES[[#This Row],[PRODUCT]] &lt;&gt; "", IF(ROW() = 2, "000", TEXT(INDIRECT("A" &amp; ROW() - 1) + 1, "000")), "")</f>
        <v/>
      </c>
      <c r="B223" s="102"/>
      <c r="C223" s="17"/>
      <c r="D223" s="102"/>
      <c r="E223" s="48"/>
      <c r="F223" s="49"/>
      <c r="G223" s="49"/>
      <c r="H223" s="49"/>
      <c r="I223" s="49"/>
      <c r="J223" s="49"/>
      <c r="K223" s="24"/>
      <c r="L223" s="103"/>
      <c r="M223" s="14" t="str">
        <f ca="1">IF(PLATES[[#This Row],[ID]] &lt;&gt; "", IF(A223 = "000", A223 &amp; " | None", A223 &amp; " | " &amp; C223 &amp; " | " &amp; D223), "")</f>
        <v/>
      </c>
    </row>
    <row r="224" spans="1:13" ht="22.5" customHeight="1">
      <c r="A224" s="111" t="str">
        <f ca="1">IF(PLATES[[#This Row],[PRODUCT]] &lt;&gt; "", IF(ROW() = 2, "000", TEXT(INDIRECT("A" &amp; ROW() - 1) + 1, "000")), "")</f>
        <v/>
      </c>
      <c r="B224" s="102"/>
      <c r="C224" s="17"/>
      <c r="D224" s="102"/>
      <c r="E224" s="48"/>
      <c r="F224" s="49"/>
      <c r="G224" s="49"/>
      <c r="H224" s="49"/>
      <c r="I224" s="49"/>
      <c r="J224" s="49"/>
      <c r="K224" s="24"/>
      <c r="L224" s="103"/>
      <c r="M224" s="14" t="str">
        <f ca="1">IF(PLATES[[#This Row],[ID]] &lt;&gt; "", IF(A224 = "000", A224 &amp; " | None", A224 &amp; " | " &amp; C224 &amp; " | " &amp; D224), "")</f>
        <v/>
      </c>
    </row>
    <row r="225" spans="1:13" ht="22.5" customHeight="1">
      <c r="A225" s="111" t="str">
        <f ca="1">IF(PLATES[[#This Row],[PRODUCT]] &lt;&gt; "", IF(ROW() = 2, "000", TEXT(INDIRECT("A" &amp; ROW() - 1) + 1, "000")), "")</f>
        <v/>
      </c>
      <c r="B225" s="102"/>
      <c r="C225" s="17"/>
      <c r="D225" s="102"/>
      <c r="E225" s="48"/>
      <c r="F225" s="49"/>
      <c r="G225" s="49"/>
      <c r="H225" s="49"/>
      <c r="I225" s="49"/>
      <c r="J225" s="49"/>
      <c r="K225" s="24"/>
      <c r="L225" s="103"/>
      <c r="M225" s="14" t="str">
        <f ca="1">IF(PLATES[[#This Row],[ID]] &lt;&gt; "", IF(A225 = "000", A225 &amp; " | None", A225 &amp; " | " &amp; C225 &amp; " | " &amp; D225), "")</f>
        <v/>
      </c>
    </row>
    <row r="226" spans="1:13" ht="22.5" customHeight="1">
      <c r="A226" s="111" t="str">
        <f ca="1">IF(PLATES[[#This Row],[PRODUCT]] &lt;&gt; "", IF(ROW() = 2, "000", TEXT(INDIRECT("A" &amp; ROW() - 1) + 1, "000")), "")</f>
        <v/>
      </c>
      <c r="B226" s="102"/>
      <c r="C226" s="17"/>
      <c r="D226" s="102"/>
      <c r="E226" s="48"/>
      <c r="F226" s="49"/>
      <c r="G226" s="49"/>
      <c r="H226" s="49"/>
      <c r="I226" s="49"/>
      <c r="J226" s="49"/>
      <c r="K226" s="24"/>
      <c r="L226" s="103"/>
      <c r="M226" s="14" t="str">
        <f ca="1">IF(PLATES[[#This Row],[ID]] &lt;&gt; "", IF(A226 = "000", A226 &amp; " | None", A226 &amp; " | " &amp; C226 &amp; " | " &amp; D226), "")</f>
        <v/>
      </c>
    </row>
    <row r="227" spans="1:13" ht="22.5" customHeight="1">
      <c r="A227" s="111" t="str">
        <f ca="1">IF(PLATES[[#This Row],[PRODUCT]] &lt;&gt; "", IF(ROW() = 2, "000", TEXT(INDIRECT("A" &amp; ROW() - 1) + 1, "000")), "")</f>
        <v/>
      </c>
      <c r="B227" s="102"/>
      <c r="C227" s="17"/>
      <c r="D227" s="102"/>
      <c r="E227" s="48"/>
      <c r="F227" s="49"/>
      <c r="G227" s="49"/>
      <c r="H227" s="49"/>
      <c r="I227" s="49"/>
      <c r="J227" s="49"/>
      <c r="K227" s="24"/>
      <c r="L227" s="103"/>
      <c r="M227" s="14" t="str">
        <f ca="1">IF(PLATES[[#This Row],[ID]] &lt;&gt; "", IF(A227 = "000", A227 &amp; " | None", A227 &amp; " | " &amp; C227 &amp; " | " &amp; D227), "")</f>
        <v/>
      </c>
    </row>
    <row r="228" spans="1:13" ht="22.5" customHeight="1">
      <c r="A228" s="111" t="str">
        <f ca="1">IF(PLATES[[#This Row],[PRODUCT]] &lt;&gt; "", IF(ROW() = 2, "000", TEXT(INDIRECT("A" &amp; ROW() - 1) + 1, "000")), "")</f>
        <v/>
      </c>
      <c r="B228" s="102"/>
      <c r="C228" s="17"/>
      <c r="D228" s="102"/>
      <c r="E228" s="48"/>
      <c r="F228" s="49"/>
      <c r="G228" s="49"/>
      <c r="H228" s="49"/>
      <c r="I228" s="49"/>
      <c r="J228" s="49"/>
      <c r="K228" s="24"/>
      <c r="L228" s="103"/>
      <c r="M228" s="14" t="str">
        <f ca="1">IF(PLATES[[#This Row],[ID]] &lt;&gt; "", IF(A228 = "000", A228 &amp; " | None", A228 &amp; " | " &amp; C228 &amp; " | " &amp; D228), "")</f>
        <v/>
      </c>
    </row>
    <row r="229" spans="1:13" ht="22.5" customHeight="1">
      <c r="A229" s="111" t="str">
        <f ca="1">IF(PLATES[[#This Row],[PRODUCT]] &lt;&gt; "", IF(ROW() = 2, "000", TEXT(INDIRECT("A" &amp; ROW() - 1) + 1, "000")), "")</f>
        <v/>
      </c>
      <c r="B229" s="102"/>
      <c r="C229" s="17"/>
      <c r="D229" s="102"/>
      <c r="E229" s="48"/>
      <c r="F229" s="49"/>
      <c r="G229" s="49"/>
      <c r="H229" s="49"/>
      <c r="I229" s="49"/>
      <c r="J229" s="49"/>
      <c r="K229" s="24"/>
      <c r="L229" s="103"/>
      <c r="M229" s="14" t="str">
        <f ca="1">IF(PLATES[[#This Row],[ID]] &lt;&gt; "", IF(A229 = "000", A229 &amp; " | None", A229 &amp; " | " &amp; C229 &amp; " | " &amp; D229), "")</f>
        <v/>
      </c>
    </row>
    <row r="230" spans="1:13" ht="22.5" customHeight="1">
      <c r="A230" s="111" t="str">
        <f ca="1">IF(PLATES[[#This Row],[PRODUCT]] &lt;&gt; "", IF(ROW() = 2, "000", TEXT(INDIRECT("A" &amp; ROW() - 1) + 1, "000")), "")</f>
        <v/>
      </c>
      <c r="B230" s="102"/>
      <c r="C230" s="17"/>
      <c r="D230" s="102"/>
      <c r="E230" s="48"/>
      <c r="F230" s="49"/>
      <c r="G230" s="49"/>
      <c r="H230" s="49"/>
      <c r="I230" s="49"/>
      <c r="J230" s="49"/>
      <c r="K230" s="24"/>
      <c r="L230" s="103"/>
      <c r="M230" s="14" t="str">
        <f ca="1">IF(PLATES[[#This Row],[ID]] &lt;&gt; "", IF(A230 = "000", A230 &amp; " | None", A230 &amp; " | " &amp; C230 &amp; " | " &amp; D230), "")</f>
        <v/>
      </c>
    </row>
    <row r="231" spans="1:13" ht="22.5" customHeight="1">
      <c r="A231" s="111" t="str">
        <f ca="1">IF(PLATES[[#This Row],[PRODUCT]] &lt;&gt; "", IF(ROW() = 2, "000", TEXT(INDIRECT("A" &amp; ROW() - 1) + 1, "000")), "")</f>
        <v/>
      </c>
      <c r="B231" s="102"/>
      <c r="C231" s="17"/>
      <c r="D231" s="102"/>
      <c r="E231" s="48"/>
      <c r="F231" s="49"/>
      <c r="G231" s="49"/>
      <c r="H231" s="49"/>
      <c r="I231" s="49"/>
      <c r="J231" s="49"/>
      <c r="K231" s="24"/>
      <c r="L231" s="103"/>
      <c r="M231" s="14" t="str">
        <f ca="1">IF(PLATES[[#This Row],[ID]] &lt;&gt; "", IF(A231 = "000", A231 &amp; " | None", A231 &amp; " | " &amp; C231 &amp; " | " &amp; D231), "")</f>
        <v/>
      </c>
    </row>
    <row r="232" spans="1:13" ht="22.5" customHeight="1">
      <c r="A232" s="111" t="str">
        <f ca="1">IF(PLATES[[#This Row],[PRODUCT]] &lt;&gt; "", IF(ROW() = 2, "000", TEXT(INDIRECT("A" &amp; ROW() - 1) + 1, "000")), "")</f>
        <v/>
      </c>
      <c r="B232" s="102"/>
      <c r="C232" s="17"/>
      <c r="D232" s="102"/>
      <c r="E232" s="48"/>
      <c r="F232" s="49"/>
      <c r="G232" s="49"/>
      <c r="H232" s="49"/>
      <c r="I232" s="49"/>
      <c r="J232" s="49"/>
      <c r="K232" s="24"/>
      <c r="L232" s="103"/>
      <c r="M232" s="14" t="str">
        <f ca="1">IF(PLATES[[#This Row],[ID]] &lt;&gt; "", IF(A232 = "000", A232 &amp; " | None", A232 &amp; " | " &amp; C232 &amp; " | " &amp; D232), "")</f>
        <v/>
      </c>
    </row>
    <row r="233" spans="1:13" ht="22.5" customHeight="1">
      <c r="A233" s="111" t="str">
        <f ca="1">IF(PLATES[[#This Row],[PRODUCT]] &lt;&gt; "", IF(ROW() = 2, "000", TEXT(INDIRECT("A" &amp; ROW() - 1) + 1, "000")), "")</f>
        <v/>
      </c>
      <c r="B233" s="102"/>
      <c r="C233" s="17"/>
      <c r="D233" s="102"/>
      <c r="E233" s="48"/>
      <c r="F233" s="49"/>
      <c r="G233" s="49"/>
      <c r="H233" s="49"/>
      <c r="I233" s="49"/>
      <c r="J233" s="49"/>
      <c r="K233" s="24"/>
      <c r="L233" s="103"/>
      <c r="M233" s="14" t="str">
        <f ca="1">IF(PLATES[[#This Row],[ID]] &lt;&gt; "", IF(A233 = "000", A233 &amp; " | None", A233 &amp; " | " &amp; C233 &amp; " | " &amp; D233), "")</f>
        <v/>
      </c>
    </row>
    <row r="234" spans="1:13" ht="22.5" customHeight="1">
      <c r="A234" s="111" t="str">
        <f ca="1">IF(PLATES[[#This Row],[PRODUCT]] &lt;&gt; "", IF(ROW() = 2, "000", TEXT(INDIRECT("A" &amp; ROW() - 1) + 1, "000")), "")</f>
        <v/>
      </c>
      <c r="B234" s="102"/>
      <c r="C234" s="17"/>
      <c r="D234" s="102"/>
      <c r="E234" s="48"/>
      <c r="F234" s="49"/>
      <c r="G234" s="49"/>
      <c r="H234" s="49"/>
      <c r="I234" s="49"/>
      <c r="J234" s="49"/>
      <c r="K234" s="24"/>
      <c r="L234" s="103"/>
      <c r="M234" s="14" t="str">
        <f ca="1">IF(PLATES[[#This Row],[ID]] &lt;&gt; "", IF(A234 = "000", A234 &amp; " | None", A234 &amp; " | " &amp; C234 &amp; " | " &amp; D234), "")</f>
        <v/>
      </c>
    </row>
    <row r="235" spans="1:13" ht="22.5" customHeight="1">
      <c r="A235" s="111" t="str">
        <f ca="1">IF(PLATES[[#This Row],[PRODUCT]] &lt;&gt; "", IF(ROW() = 2, "000", TEXT(INDIRECT("A" &amp; ROW() - 1) + 1, "000")), "")</f>
        <v/>
      </c>
      <c r="B235" s="102"/>
      <c r="C235" s="17"/>
      <c r="D235" s="102"/>
      <c r="E235" s="48"/>
      <c r="F235" s="49"/>
      <c r="G235" s="49"/>
      <c r="H235" s="49"/>
      <c r="I235" s="49"/>
      <c r="J235" s="49"/>
      <c r="K235" s="24"/>
      <c r="L235" s="103"/>
      <c r="M235" s="14" t="str">
        <f ca="1">IF(PLATES[[#This Row],[ID]] &lt;&gt; "", IF(A235 = "000", A235 &amp; " | None", A235 &amp; " | " &amp; C235 &amp; " | " &amp; D235), "")</f>
        <v/>
      </c>
    </row>
    <row r="236" spans="1:13" ht="22.5" customHeight="1">
      <c r="A236" s="111" t="str">
        <f ca="1">IF(PLATES[[#This Row],[PRODUCT]] &lt;&gt; "", IF(ROW() = 2, "000", TEXT(INDIRECT("A" &amp; ROW() - 1) + 1, "000")), "")</f>
        <v/>
      </c>
      <c r="B236" s="102"/>
      <c r="C236" s="17"/>
      <c r="D236" s="102"/>
      <c r="E236" s="48"/>
      <c r="F236" s="49"/>
      <c r="G236" s="49"/>
      <c r="H236" s="49"/>
      <c r="I236" s="49"/>
      <c r="J236" s="49"/>
      <c r="K236" s="24"/>
      <c r="L236" s="103"/>
      <c r="M236" s="14" t="str">
        <f ca="1">IF(PLATES[[#This Row],[ID]] &lt;&gt; "", IF(A236 = "000", A236 &amp; " | None", A236 &amp; " | " &amp; C236 &amp; " | " &amp; D236), "")</f>
        <v/>
      </c>
    </row>
    <row r="237" spans="1:13" ht="22.5" customHeight="1">
      <c r="A237" s="111" t="str">
        <f ca="1">IF(PLATES[[#This Row],[PRODUCT]] &lt;&gt; "", IF(ROW() = 2, "000", TEXT(INDIRECT("A" &amp; ROW() - 1) + 1, "000")), "")</f>
        <v/>
      </c>
      <c r="B237" s="102"/>
      <c r="C237" s="17"/>
      <c r="D237" s="102"/>
      <c r="E237" s="48"/>
      <c r="F237" s="49"/>
      <c r="G237" s="49"/>
      <c r="H237" s="49"/>
      <c r="I237" s="49"/>
      <c r="J237" s="49"/>
      <c r="K237" s="24"/>
      <c r="L237" s="103"/>
      <c r="M237" s="14" t="str">
        <f ca="1">IF(PLATES[[#This Row],[ID]] &lt;&gt; "", IF(A237 = "000", A237 &amp; " | None", A237 &amp; " | " &amp; C237 &amp; " | " &amp; D237), "")</f>
        <v/>
      </c>
    </row>
    <row r="238" spans="1:13" ht="22.5" customHeight="1">
      <c r="A238" s="111" t="str">
        <f ca="1">IF(PLATES[[#This Row],[PRODUCT]] &lt;&gt; "", IF(ROW() = 2, "000", TEXT(INDIRECT("A" &amp; ROW() - 1) + 1, "000")), "")</f>
        <v/>
      </c>
      <c r="B238" s="102"/>
      <c r="C238" s="17"/>
      <c r="D238" s="102"/>
      <c r="E238" s="48"/>
      <c r="F238" s="49"/>
      <c r="G238" s="49"/>
      <c r="H238" s="49"/>
      <c r="I238" s="49"/>
      <c r="J238" s="49"/>
      <c r="K238" s="24"/>
      <c r="L238" s="103"/>
      <c r="M238" s="14" t="str">
        <f ca="1">IF(PLATES[[#This Row],[ID]] &lt;&gt; "", IF(A238 = "000", A238 &amp; " | None", A238 &amp; " | " &amp; C238 &amp; " | " &amp; D238), "")</f>
        <v/>
      </c>
    </row>
    <row r="239" spans="1:13" ht="22.5" customHeight="1">
      <c r="A239" s="111" t="str">
        <f ca="1">IF(PLATES[[#This Row],[PRODUCT]] &lt;&gt; "", IF(ROW() = 2, "000", TEXT(INDIRECT("A" &amp; ROW() - 1) + 1, "000")), "")</f>
        <v/>
      </c>
      <c r="B239" s="102"/>
      <c r="C239" s="17"/>
      <c r="D239" s="102"/>
      <c r="E239" s="48"/>
      <c r="F239" s="49"/>
      <c r="G239" s="49"/>
      <c r="H239" s="49"/>
      <c r="I239" s="49"/>
      <c r="J239" s="49"/>
      <c r="K239" s="24"/>
      <c r="L239" s="103"/>
      <c r="M239" s="14" t="str">
        <f ca="1">IF(PLATES[[#This Row],[ID]] &lt;&gt; "", IF(A239 = "000", A239 &amp; " | None", A239 &amp; " | " &amp; C239 &amp; " | " &amp; D239), "")</f>
        <v/>
      </c>
    </row>
    <row r="240" spans="1:13" ht="22.5" customHeight="1">
      <c r="A240" s="111" t="str">
        <f ca="1">IF(PLATES[[#This Row],[PRODUCT]] &lt;&gt; "", IF(ROW() = 2, "000", TEXT(INDIRECT("A" &amp; ROW() - 1) + 1, "000")), "")</f>
        <v/>
      </c>
      <c r="B240" s="102"/>
      <c r="C240" s="17"/>
      <c r="D240" s="102"/>
      <c r="E240" s="48"/>
      <c r="F240" s="49"/>
      <c r="G240" s="49"/>
      <c r="H240" s="49"/>
      <c r="I240" s="49"/>
      <c r="J240" s="49"/>
      <c r="K240" s="24"/>
      <c r="L240" s="103"/>
      <c r="M240" s="14" t="str">
        <f ca="1">IF(PLATES[[#This Row],[ID]] &lt;&gt; "", IF(A240 = "000", A240 &amp; " | None", A240 &amp; " | " &amp; C240 &amp; " | " &amp; D240), "")</f>
        <v/>
      </c>
    </row>
    <row r="241" spans="1:13" ht="22.5" customHeight="1">
      <c r="A241" s="111" t="str">
        <f ca="1">IF(PLATES[[#This Row],[PRODUCT]] &lt;&gt; "", IF(ROW() = 2, "000", TEXT(INDIRECT("A" &amp; ROW() - 1) + 1, "000")), "")</f>
        <v/>
      </c>
      <c r="B241" s="102"/>
      <c r="C241" s="17"/>
      <c r="D241" s="102"/>
      <c r="E241" s="48"/>
      <c r="F241" s="49"/>
      <c r="G241" s="49"/>
      <c r="H241" s="49"/>
      <c r="I241" s="49"/>
      <c r="J241" s="49"/>
      <c r="K241" s="24"/>
      <c r="L241" s="103"/>
      <c r="M241" s="14" t="str">
        <f ca="1">IF(PLATES[[#This Row],[ID]] &lt;&gt; "", IF(A241 = "000", A241 &amp; " | None", A241 &amp; " | " &amp; C241 &amp; " | " &amp; D241), "")</f>
        <v/>
      </c>
    </row>
    <row r="242" spans="1:13" ht="22.5" customHeight="1">
      <c r="A242" s="111" t="str">
        <f ca="1">IF(PLATES[[#This Row],[PRODUCT]] &lt;&gt; "", IF(ROW() = 2, "000", TEXT(INDIRECT("A" &amp; ROW() - 1) + 1, "000")), "")</f>
        <v/>
      </c>
      <c r="B242" s="102"/>
      <c r="C242" s="17"/>
      <c r="D242" s="102"/>
      <c r="E242" s="48"/>
      <c r="F242" s="49"/>
      <c r="G242" s="49"/>
      <c r="H242" s="49"/>
      <c r="I242" s="49"/>
      <c r="J242" s="49"/>
      <c r="K242" s="24"/>
      <c r="L242" s="103"/>
      <c r="M242" s="14" t="str">
        <f ca="1">IF(PLATES[[#This Row],[ID]] &lt;&gt; "", IF(A242 = "000", A242 &amp; " | None", A242 &amp; " | " &amp; C242 &amp; " | " &amp; D242), "")</f>
        <v/>
      </c>
    </row>
    <row r="243" spans="1:13" ht="22.5" customHeight="1">
      <c r="A243" s="111" t="str">
        <f ca="1">IF(PLATES[[#This Row],[PRODUCT]] &lt;&gt; "", IF(ROW() = 2, "000", TEXT(INDIRECT("A" &amp; ROW() - 1) + 1, "000")), "")</f>
        <v/>
      </c>
      <c r="B243" s="102"/>
      <c r="C243" s="17"/>
      <c r="D243" s="102"/>
      <c r="E243" s="48"/>
      <c r="F243" s="49"/>
      <c r="G243" s="49"/>
      <c r="H243" s="49"/>
      <c r="I243" s="49"/>
      <c r="J243" s="49"/>
      <c r="K243" s="24"/>
      <c r="L243" s="103"/>
      <c r="M243" s="14" t="str">
        <f ca="1">IF(PLATES[[#This Row],[ID]] &lt;&gt; "", IF(A243 = "000", A243 &amp; " | None", A243 &amp; " | " &amp; C243 &amp; " | " &amp; D243), "")</f>
        <v/>
      </c>
    </row>
    <row r="244" spans="1:13" ht="22.5" customHeight="1">
      <c r="A244" s="111" t="str">
        <f ca="1">IF(PLATES[[#This Row],[PRODUCT]] &lt;&gt; "", IF(ROW() = 2, "000", TEXT(INDIRECT("A" &amp; ROW() - 1) + 1, "000")), "")</f>
        <v/>
      </c>
      <c r="B244" s="102"/>
      <c r="C244" s="17"/>
      <c r="D244" s="102"/>
      <c r="E244" s="48"/>
      <c r="F244" s="49"/>
      <c r="G244" s="49"/>
      <c r="H244" s="49"/>
      <c r="I244" s="49"/>
      <c r="J244" s="49"/>
      <c r="K244" s="24"/>
      <c r="L244" s="103"/>
      <c r="M244" s="14" t="str">
        <f ca="1">IF(PLATES[[#This Row],[ID]] &lt;&gt; "", IF(A244 = "000", A244 &amp; " | None", A244 &amp; " | " &amp; C244 &amp; " | " &amp; D244), "")</f>
        <v/>
      </c>
    </row>
    <row r="245" spans="1:13" ht="22.5" customHeight="1">
      <c r="A245" s="111" t="str">
        <f ca="1">IF(PLATES[[#This Row],[PRODUCT]] &lt;&gt; "", IF(ROW() = 2, "000", TEXT(INDIRECT("A" &amp; ROW() - 1) + 1, "000")), "")</f>
        <v/>
      </c>
      <c r="B245" s="102"/>
      <c r="C245" s="17"/>
      <c r="D245" s="102"/>
      <c r="E245" s="48"/>
      <c r="F245" s="49"/>
      <c r="G245" s="49"/>
      <c r="H245" s="49"/>
      <c r="I245" s="49"/>
      <c r="J245" s="49"/>
      <c r="K245" s="24"/>
      <c r="L245" s="103"/>
      <c r="M245" s="14" t="str">
        <f ca="1">IF(PLATES[[#This Row],[ID]] &lt;&gt; "", IF(A245 = "000", A245 &amp; " | None", A245 &amp; " | " &amp; C245 &amp; " | " &amp; D245), "")</f>
        <v/>
      </c>
    </row>
    <row r="246" spans="1:13" ht="22.5" customHeight="1">
      <c r="A246" s="111" t="str">
        <f ca="1">IF(PLATES[[#This Row],[PRODUCT]] &lt;&gt; "", IF(ROW() = 2, "000", TEXT(INDIRECT("A" &amp; ROW() - 1) + 1, "000")), "")</f>
        <v/>
      </c>
      <c r="B246" s="102"/>
      <c r="C246" s="17"/>
      <c r="D246" s="102"/>
      <c r="E246" s="48"/>
      <c r="F246" s="49"/>
      <c r="G246" s="49"/>
      <c r="H246" s="49"/>
      <c r="I246" s="49"/>
      <c r="J246" s="49"/>
      <c r="K246" s="24"/>
      <c r="L246" s="103"/>
      <c r="M246" s="14" t="str">
        <f ca="1">IF(PLATES[[#This Row],[ID]] &lt;&gt; "", IF(A246 = "000", A246 &amp; " | None", A246 &amp; " | " &amp; C246 &amp; " | " &amp; D246), "")</f>
        <v/>
      </c>
    </row>
    <row r="247" spans="1:13" ht="22.5" customHeight="1">
      <c r="A247" s="111" t="str">
        <f ca="1">IF(PLATES[[#This Row],[PRODUCT]] &lt;&gt; "", IF(ROW() = 2, "000", TEXT(INDIRECT("A" &amp; ROW() - 1) + 1, "000")), "")</f>
        <v/>
      </c>
      <c r="B247" s="102"/>
      <c r="C247" s="17"/>
      <c r="D247" s="102"/>
      <c r="E247" s="48"/>
      <c r="F247" s="49"/>
      <c r="G247" s="49"/>
      <c r="H247" s="49"/>
      <c r="I247" s="49"/>
      <c r="J247" s="49"/>
      <c r="K247" s="24"/>
      <c r="L247" s="103"/>
      <c r="M247" s="14" t="str">
        <f ca="1">IF(PLATES[[#This Row],[ID]] &lt;&gt; "", IF(A247 = "000", A247 &amp; " | None", A247 &amp; " | " &amp; C247 &amp; " | " &amp; D247), "")</f>
        <v/>
      </c>
    </row>
    <row r="248" spans="1:13" ht="22.5" customHeight="1">
      <c r="A248" s="111" t="str">
        <f ca="1">IF(PLATES[[#This Row],[PRODUCT]] &lt;&gt; "", IF(ROW() = 2, "000", TEXT(INDIRECT("A" &amp; ROW() - 1) + 1, "000")), "")</f>
        <v/>
      </c>
      <c r="B248" s="102"/>
      <c r="C248" s="17"/>
      <c r="D248" s="102"/>
      <c r="E248" s="48"/>
      <c r="F248" s="49"/>
      <c r="G248" s="49"/>
      <c r="H248" s="49"/>
      <c r="I248" s="49"/>
      <c r="J248" s="49"/>
      <c r="K248" s="24"/>
      <c r="L248" s="103"/>
      <c r="M248" s="14" t="str">
        <f ca="1">IF(PLATES[[#This Row],[ID]] &lt;&gt; "", IF(A248 = "000", A248 &amp; " | None", A248 &amp; " | " &amp; C248 &amp; " | " &amp; D248), "")</f>
        <v/>
      </c>
    </row>
    <row r="249" spans="1:13" ht="22.5" customHeight="1">
      <c r="A249" s="111" t="str">
        <f ca="1">IF(PLATES[[#This Row],[PRODUCT]] &lt;&gt; "", IF(ROW() = 2, "000", TEXT(INDIRECT("A" &amp; ROW() - 1) + 1, "000")), "")</f>
        <v/>
      </c>
      <c r="B249" s="102"/>
      <c r="C249" s="17"/>
      <c r="D249" s="102"/>
      <c r="E249" s="48"/>
      <c r="F249" s="49"/>
      <c r="G249" s="49"/>
      <c r="H249" s="49"/>
      <c r="I249" s="49"/>
      <c r="J249" s="49"/>
      <c r="K249" s="24"/>
      <c r="L249" s="103"/>
      <c r="M249" s="14" t="str">
        <f ca="1">IF(PLATES[[#This Row],[ID]] &lt;&gt; "", IF(A249 = "000", A249 &amp; " | None", A249 &amp; " | " &amp; C249 &amp; " | " &amp; D249), "")</f>
        <v/>
      </c>
    </row>
    <row r="250" spans="1:13" ht="22.5" customHeight="1">
      <c r="A250" s="111" t="str">
        <f ca="1">IF(PLATES[[#This Row],[PRODUCT]] &lt;&gt; "", IF(ROW() = 2, "000", TEXT(INDIRECT("A" &amp; ROW() - 1) + 1, "000")), "")</f>
        <v/>
      </c>
      <c r="B250" s="102"/>
      <c r="C250" s="17"/>
      <c r="D250" s="102"/>
      <c r="E250" s="48"/>
      <c r="F250" s="49"/>
      <c r="G250" s="49"/>
      <c r="H250" s="49"/>
      <c r="I250" s="49"/>
      <c r="J250" s="49"/>
      <c r="K250" s="24"/>
      <c r="L250" s="103"/>
      <c r="M250" s="14" t="str">
        <f ca="1">IF(PLATES[[#This Row],[ID]] &lt;&gt; "", IF(A250 = "000", A250 &amp; " | None", A250 &amp; " | " &amp; C250 &amp; " | " &amp; D250), "")</f>
        <v/>
      </c>
    </row>
    <row r="251" spans="1:13" ht="22.5" customHeight="1">
      <c r="A251" s="111" t="str">
        <f ca="1">IF(PLATES[[#This Row],[PRODUCT]] &lt;&gt; "", IF(ROW() = 2, "000", TEXT(INDIRECT("A" &amp; ROW() - 1) + 1, "000")), "")</f>
        <v/>
      </c>
      <c r="B251" s="102"/>
      <c r="C251" s="17"/>
      <c r="D251" s="102"/>
      <c r="E251" s="48"/>
      <c r="F251" s="49"/>
      <c r="G251" s="49"/>
      <c r="H251" s="49"/>
      <c r="I251" s="49"/>
      <c r="J251" s="49"/>
      <c r="K251" s="24"/>
      <c r="L251" s="103"/>
      <c r="M251" s="14" t="str">
        <f ca="1">IF(PLATES[[#This Row],[ID]] &lt;&gt; "", IF(A251 = "000", A251 &amp; " | None", A251 &amp; " | " &amp; C251 &amp; " | " &amp; D251), "")</f>
        <v/>
      </c>
    </row>
    <row r="252" spans="1:13" ht="22.5" customHeight="1">
      <c r="A252" s="111" t="str">
        <f ca="1">IF(PLATES[[#This Row],[PRODUCT]] &lt;&gt; "", IF(ROW() = 2, "000", TEXT(INDIRECT("A" &amp; ROW() - 1) + 1, "000")), "")</f>
        <v/>
      </c>
      <c r="B252" s="102"/>
      <c r="C252" s="17"/>
      <c r="D252" s="102"/>
      <c r="E252" s="48"/>
      <c r="F252" s="49"/>
      <c r="G252" s="49"/>
      <c r="H252" s="49"/>
      <c r="I252" s="49"/>
      <c r="J252" s="49"/>
      <c r="K252" s="24"/>
      <c r="L252" s="103"/>
      <c r="M252" s="14" t="str">
        <f ca="1">IF(PLATES[[#This Row],[ID]] &lt;&gt; "", IF(A252 = "000", A252 &amp; " | None", A252 &amp; " | " &amp; C252 &amp; " | " &amp; D252), "")</f>
        <v/>
      </c>
    </row>
    <row r="253" spans="1:13" ht="22.5" customHeight="1">
      <c r="A253" s="111" t="str">
        <f ca="1">IF(PLATES[[#This Row],[PRODUCT]] &lt;&gt; "", IF(ROW() = 2, "000", TEXT(INDIRECT("A" &amp; ROW() - 1) + 1, "000")), "")</f>
        <v/>
      </c>
      <c r="B253" s="102"/>
      <c r="C253" s="17"/>
      <c r="D253" s="102"/>
      <c r="E253" s="48"/>
      <c r="F253" s="49"/>
      <c r="G253" s="49"/>
      <c r="H253" s="49"/>
      <c r="I253" s="49"/>
      <c r="J253" s="49"/>
      <c r="K253" s="24"/>
      <c r="L253" s="103"/>
      <c r="M253" s="14" t="str">
        <f ca="1">IF(PLATES[[#This Row],[ID]] &lt;&gt; "", IF(A253 = "000", A253 &amp; " | None", A253 &amp; " | " &amp; C253 &amp; " | " &amp; D253), "")</f>
        <v/>
      </c>
    </row>
    <row r="254" spans="1:13" ht="22.5" customHeight="1">
      <c r="A254" s="111" t="str">
        <f ca="1">IF(PLATES[[#This Row],[PRODUCT]] &lt;&gt; "", IF(ROW() = 2, "000", TEXT(INDIRECT("A" &amp; ROW() - 1) + 1, "000")), "")</f>
        <v/>
      </c>
      <c r="B254" s="102"/>
      <c r="C254" s="17"/>
      <c r="D254" s="102"/>
      <c r="E254" s="48"/>
      <c r="F254" s="49"/>
      <c r="G254" s="49"/>
      <c r="H254" s="49"/>
      <c r="I254" s="49"/>
      <c r="J254" s="49"/>
      <c r="K254" s="24"/>
      <c r="L254" s="103"/>
      <c r="M254" s="14" t="str">
        <f ca="1">IF(PLATES[[#This Row],[ID]] &lt;&gt; "", IF(A254 = "000", A254 &amp; " | None", A254 &amp; " | " &amp; C254 &amp; " | " &amp; D254), "")</f>
        <v/>
      </c>
    </row>
    <row r="255" spans="1:13" ht="22.5" customHeight="1">
      <c r="A255" s="111" t="str">
        <f ca="1">IF(PLATES[[#This Row],[PRODUCT]] &lt;&gt; "", IF(ROW() = 2, "000", TEXT(INDIRECT("A" &amp; ROW() - 1) + 1, "000")), "")</f>
        <v/>
      </c>
      <c r="B255" s="102"/>
      <c r="C255" s="17"/>
      <c r="D255" s="102"/>
      <c r="E255" s="48"/>
      <c r="F255" s="49"/>
      <c r="G255" s="49"/>
      <c r="H255" s="49"/>
      <c r="I255" s="49"/>
      <c r="J255" s="49"/>
      <c r="K255" s="24"/>
      <c r="L255" s="103"/>
      <c r="M255" s="14" t="str">
        <f ca="1">IF(PLATES[[#This Row],[ID]] &lt;&gt; "", IF(A255 = "000", A255 &amp; " | None", A255 &amp; " | " &amp; C255 &amp; " | " &amp; D255), "")</f>
        <v/>
      </c>
    </row>
    <row r="256" spans="1:13" ht="22.5" customHeight="1">
      <c r="A256" s="111" t="str">
        <f ca="1">IF(PLATES[[#This Row],[PRODUCT]] &lt;&gt; "", IF(ROW() = 2, "000", TEXT(INDIRECT("A" &amp; ROW() - 1) + 1, "000")), "")</f>
        <v/>
      </c>
      <c r="B256" s="102"/>
      <c r="C256" s="17"/>
      <c r="D256" s="102"/>
      <c r="E256" s="48"/>
      <c r="F256" s="49"/>
      <c r="G256" s="49"/>
      <c r="H256" s="49"/>
      <c r="I256" s="49"/>
      <c r="J256" s="49"/>
      <c r="K256" s="24"/>
      <c r="L256" s="103"/>
      <c r="M256" s="14" t="str">
        <f ca="1">IF(PLATES[[#This Row],[ID]] &lt;&gt; "", IF(A256 = "000", A256 &amp; " | None", A256 &amp; " | " &amp; C256 &amp; " | " &amp; D256), "")</f>
        <v/>
      </c>
    </row>
    <row r="257" spans="1:13" ht="22.5" customHeight="1">
      <c r="A257" s="111" t="str">
        <f ca="1">IF(PLATES[[#This Row],[PRODUCT]] &lt;&gt; "", IF(ROW() = 2, "000", TEXT(INDIRECT("A" &amp; ROW() - 1) + 1, "000")), "")</f>
        <v/>
      </c>
      <c r="B257" s="102"/>
      <c r="C257" s="17"/>
      <c r="D257" s="102"/>
      <c r="E257" s="48"/>
      <c r="F257" s="49"/>
      <c r="G257" s="49"/>
      <c r="H257" s="49"/>
      <c r="I257" s="49"/>
      <c r="J257" s="49"/>
      <c r="K257" s="24"/>
      <c r="L257" s="103"/>
      <c r="M257" s="14" t="str">
        <f ca="1">IF(PLATES[[#This Row],[ID]] &lt;&gt; "", IF(A257 = "000", A257 &amp; " | None", A257 &amp; " | " &amp; C257 &amp; " | " &amp; D257), "")</f>
        <v/>
      </c>
    </row>
    <row r="258" spans="1:13" ht="22.5" customHeight="1">
      <c r="A258" s="111" t="str">
        <f ca="1">IF(PLATES[[#This Row],[PRODUCT]] &lt;&gt; "", IF(ROW() = 2, "000", TEXT(INDIRECT("A" &amp; ROW() - 1) + 1, "000")), "")</f>
        <v/>
      </c>
      <c r="B258" s="102"/>
      <c r="C258" s="17"/>
      <c r="D258" s="102"/>
      <c r="E258" s="48"/>
      <c r="F258" s="49"/>
      <c r="G258" s="49"/>
      <c r="H258" s="49"/>
      <c r="I258" s="49"/>
      <c r="J258" s="49"/>
      <c r="K258" s="24"/>
      <c r="L258" s="103"/>
      <c r="M258" s="14" t="str">
        <f ca="1">IF(PLATES[[#This Row],[ID]] &lt;&gt; "", IF(A258 = "000", A258 &amp; " | None", A258 &amp; " | " &amp; C258 &amp; " | " &amp; D258), "")</f>
        <v/>
      </c>
    </row>
    <row r="259" spans="1:13" ht="22.5" customHeight="1">
      <c r="A259" s="111" t="str">
        <f ca="1">IF(PLATES[[#This Row],[PRODUCT]] &lt;&gt; "", IF(ROW() = 2, "000", TEXT(INDIRECT("A" &amp; ROW() - 1) + 1, "000")), "")</f>
        <v/>
      </c>
      <c r="B259" s="102"/>
      <c r="C259" s="17"/>
      <c r="D259" s="102"/>
      <c r="E259" s="48"/>
      <c r="F259" s="49"/>
      <c r="G259" s="49"/>
      <c r="H259" s="49"/>
      <c r="I259" s="49"/>
      <c r="J259" s="49"/>
      <c r="K259" s="24"/>
      <c r="L259" s="103"/>
      <c r="M259" s="14" t="str">
        <f ca="1">IF(PLATES[[#This Row],[ID]] &lt;&gt; "", IF(A259 = "000", A259 &amp; " | None", A259 &amp; " | " &amp; C259 &amp; " | " &amp; D259), "")</f>
        <v/>
      </c>
    </row>
    <row r="260" spans="1:13" ht="22.5" customHeight="1">
      <c r="A260" s="111" t="str">
        <f ca="1">IF(PLATES[[#This Row],[PRODUCT]] &lt;&gt; "", IF(ROW() = 2, "000", TEXT(INDIRECT("A" &amp; ROW() - 1) + 1, "000")), "")</f>
        <v/>
      </c>
      <c r="B260" s="102"/>
      <c r="C260" s="17"/>
      <c r="D260" s="102"/>
      <c r="E260" s="48"/>
      <c r="F260" s="49"/>
      <c r="G260" s="49"/>
      <c r="H260" s="49"/>
      <c r="I260" s="49"/>
      <c r="J260" s="49"/>
      <c r="K260" s="24"/>
      <c r="L260" s="103"/>
      <c r="M260" s="14" t="str">
        <f ca="1">IF(PLATES[[#This Row],[ID]] &lt;&gt; "", IF(A260 = "000", A260 &amp; " | None", A260 &amp; " | " &amp; C260 &amp; " | " &amp; D260), "")</f>
        <v/>
      </c>
    </row>
    <row r="261" spans="1:13" ht="22.5" customHeight="1">
      <c r="A261" s="111" t="str">
        <f ca="1">IF(PLATES[[#This Row],[PRODUCT]] &lt;&gt; "", IF(ROW() = 2, "000", TEXT(INDIRECT("A" &amp; ROW() - 1) + 1, "000")), "")</f>
        <v/>
      </c>
      <c r="B261" s="102"/>
      <c r="C261" s="17"/>
      <c r="D261" s="102"/>
      <c r="E261" s="48"/>
      <c r="F261" s="49"/>
      <c r="G261" s="49"/>
      <c r="H261" s="49"/>
      <c r="I261" s="49"/>
      <c r="J261" s="49"/>
      <c r="K261" s="24"/>
      <c r="L261" s="103"/>
      <c r="M261" s="14" t="str">
        <f ca="1">IF(PLATES[[#This Row],[ID]] &lt;&gt; "", IF(A261 = "000", A261 &amp; " | None", A261 &amp; " | " &amp; C261 &amp; " | " &amp; D261), "")</f>
        <v/>
      </c>
    </row>
    <row r="262" spans="1:13" ht="22.5" customHeight="1">
      <c r="A262" s="111" t="str">
        <f ca="1">IF(PLATES[[#This Row],[PRODUCT]] &lt;&gt; "", IF(ROW() = 2, "000", TEXT(INDIRECT("A" &amp; ROW() - 1) + 1, "000")), "")</f>
        <v/>
      </c>
      <c r="B262" s="102"/>
      <c r="C262" s="17"/>
      <c r="D262" s="102"/>
      <c r="E262" s="48"/>
      <c r="F262" s="49"/>
      <c r="G262" s="49"/>
      <c r="H262" s="49"/>
      <c r="I262" s="49"/>
      <c r="J262" s="49"/>
      <c r="K262" s="24"/>
      <c r="L262" s="103"/>
      <c r="M262" s="14" t="str">
        <f ca="1">IF(PLATES[[#This Row],[ID]] &lt;&gt; "", IF(A262 = "000", A262 &amp; " | None", A262 &amp; " | " &amp; C262 &amp; " | " &amp; D262), "")</f>
        <v/>
      </c>
    </row>
    <row r="263" spans="1:13" ht="22.5" customHeight="1">
      <c r="A263" s="111" t="str">
        <f ca="1">IF(PLATES[[#This Row],[PRODUCT]] &lt;&gt; "", IF(ROW() = 2, "000", TEXT(INDIRECT("A" &amp; ROW() - 1) + 1, "000")), "")</f>
        <v/>
      </c>
      <c r="B263" s="102"/>
      <c r="C263" s="17"/>
      <c r="D263" s="102"/>
      <c r="E263" s="48"/>
      <c r="F263" s="49"/>
      <c r="G263" s="49"/>
      <c r="H263" s="49"/>
      <c r="I263" s="49"/>
      <c r="J263" s="49"/>
      <c r="K263" s="24"/>
      <c r="L263" s="103"/>
      <c r="M263" s="14" t="str">
        <f ca="1">IF(PLATES[[#This Row],[ID]] &lt;&gt; "", IF(A263 = "000", A263 &amp; " | None", A263 &amp; " | " &amp; C263 &amp; " | " &amp; D263), "")</f>
        <v/>
      </c>
    </row>
    <row r="264" spans="1:13" ht="22.5" customHeight="1">
      <c r="A264" s="111" t="str">
        <f ca="1">IF(PLATES[[#This Row],[PRODUCT]] &lt;&gt; "", IF(ROW() = 2, "000", TEXT(INDIRECT("A" &amp; ROW() - 1) + 1, "000")), "")</f>
        <v/>
      </c>
      <c r="B264" s="102"/>
      <c r="C264" s="17"/>
      <c r="D264" s="102"/>
      <c r="E264" s="48"/>
      <c r="F264" s="49"/>
      <c r="G264" s="49"/>
      <c r="H264" s="49"/>
      <c r="I264" s="49"/>
      <c r="J264" s="49"/>
      <c r="K264" s="24"/>
      <c r="L264" s="103"/>
      <c r="M264" s="14" t="str">
        <f ca="1">IF(PLATES[[#This Row],[ID]] &lt;&gt; "", IF(A264 = "000", A264 &amp; " | None", A264 &amp; " | " &amp; C264 &amp; " | " &amp; D264), "")</f>
        <v/>
      </c>
    </row>
    <row r="265" spans="1:13" ht="22.5" customHeight="1">
      <c r="A265" s="111" t="str">
        <f ca="1">IF(PLATES[[#This Row],[PRODUCT]] &lt;&gt; "", IF(ROW() = 2, "000", TEXT(INDIRECT("A" &amp; ROW() - 1) + 1, "000")), "")</f>
        <v/>
      </c>
      <c r="B265" s="102"/>
      <c r="C265" s="17"/>
      <c r="D265" s="102"/>
      <c r="E265" s="48"/>
      <c r="F265" s="49"/>
      <c r="G265" s="49"/>
      <c r="H265" s="49"/>
      <c r="I265" s="49"/>
      <c r="J265" s="49"/>
      <c r="K265" s="24"/>
      <c r="L265" s="103"/>
      <c r="M265" s="14" t="str">
        <f ca="1">IF(PLATES[[#This Row],[ID]] &lt;&gt; "", IF(A265 = "000", A265 &amp; " | None", A265 &amp; " | " &amp; C265 &amp; " | " &amp; D265), "")</f>
        <v/>
      </c>
    </row>
    <row r="266" spans="1:13" ht="22.5" customHeight="1">
      <c r="A266" s="111" t="str">
        <f ca="1">IF(PLATES[[#This Row],[PRODUCT]] &lt;&gt; "", IF(ROW() = 2, "000", TEXT(INDIRECT("A" &amp; ROW() - 1) + 1, "000")), "")</f>
        <v/>
      </c>
      <c r="B266" s="102"/>
      <c r="C266" s="17"/>
      <c r="D266" s="102"/>
      <c r="E266" s="48"/>
      <c r="F266" s="49"/>
      <c r="G266" s="49"/>
      <c r="H266" s="49"/>
      <c r="I266" s="49"/>
      <c r="J266" s="49"/>
      <c r="K266" s="24"/>
      <c r="L266" s="103"/>
      <c r="M266" s="14" t="str">
        <f ca="1">IF(PLATES[[#This Row],[ID]] &lt;&gt; "", IF(A266 = "000", A266 &amp; " | None", A266 &amp; " | " &amp; C266 &amp; " | " &amp; D266), "")</f>
        <v/>
      </c>
    </row>
    <row r="267" spans="1:13" ht="22.5" customHeight="1">
      <c r="A267" s="111" t="str">
        <f ca="1">IF(PLATES[[#This Row],[PRODUCT]] &lt;&gt; "", IF(ROW() = 2, "000", TEXT(INDIRECT("A" &amp; ROW() - 1) + 1, "000")), "")</f>
        <v/>
      </c>
      <c r="B267" s="102"/>
      <c r="C267" s="17"/>
      <c r="D267" s="102"/>
      <c r="E267" s="48"/>
      <c r="F267" s="49"/>
      <c r="G267" s="49"/>
      <c r="H267" s="49"/>
      <c r="I267" s="49"/>
      <c r="J267" s="49"/>
      <c r="K267" s="24"/>
      <c r="L267" s="103"/>
      <c r="M267" s="14" t="str">
        <f ca="1">IF(PLATES[[#This Row],[ID]] &lt;&gt; "", IF(A267 = "000", A267 &amp; " | None", A267 &amp; " | " &amp; C267 &amp; " | " &amp; D267), "")</f>
        <v/>
      </c>
    </row>
    <row r="268" spans="1:13" ht="22.5" customHeight="1">
      <c r="A268" s="111" t="str">
        <f ca="1">IF(PLATES[[#This Row],[PRODUCT]] &lt;&gt; "", IF(ROW() = 2, "000", TEXT(INDIRECT("A" &amp; ROW() - 1) + 1, "000")), "")</f>
        <v/>
      </c>
      <c r="B268" s="102"/>
      <c r="C268" s="17"/>
      <c r="D268" s="102"/>
      <c r="E268" s="48"/>
      <c r="F268" s="49"/>
      <c r="G268" s="49"/>
      <c r="H268" s="49"/>
      <c r="I268" s="49"/>
      <c r="J268" s="49"/>
      <c r="K268" s="24"/>
      <c r="L268" s="103"/>
      <c r="M268" s="14" t="str">
        <f ca="1">IF(PLATES[[#This Row],[ID]] &lt;&gt; "", IF(A268 = "000", A268 &amp; " | None", A268 &amp; " | " &amp; C268 &amp; " | " &amp; D268), "")</f>
        <v/>
      </c>
    </row>
    <row r="269" spans="1:13" ht="22.5" customHeight="1">
      <c r="A269" s="111" t="str">
        <f ca="1">IF(PLATES[[#This Row],[PRODUCT]] &lt;&gt; "", IF(ROW() = 2, "000", TEXT(INDIRECT("A" &amp; ROW() - 1) + 1, "000")), "")</f>
        <v/>
      </c>
      <c r="B269" s="102"/>
      <c r="C269" s="17"/>
      <c r="D269" s="102"/>
      <c r="E269" s="48"/>
      <c r="F269" s="49"/>
      <c r="G269" s="49"/>
      <c r="H269" s="49"/>
      <c r="I269" s="49"/>
      <c r="J269" s="49"/>
      <c r="K269" s="24"/>
      <c r="L269" s="103"/>
      <c r="M269" s="14" t="str">
        <f ca="1">IF(PLATES[[#This Row],[ID]] &lt;&gt; "", IF(A269 = "000", A269 &amp; " | None", A269 &amp; " | " &amp; C269 &amp; " | " &amp; D269), "")</f>
        <v/>
      </c>
    </row>
    <row r="270" spans="1:13" ht="22.5" customHeight="1">
      <c r="A270" s="111" t="str">
        <f ca="1">IF(PLATES[[#This Row],[PRODUCT]] &lt;&gt; "", IF(ROW() = 2, "000", TEXT(INDIRECT("A" &amp; ROW() - 1) + 1, "000")), "")</f>
        <v/>
      </c>
      <c r="B270" s="102"/>
      <c r="C270" s="17"/>
      <c r="D270" s="102"/>
      <c r="E270" s="48"/>
      <c r="F270" s="49"/>
      <c r="G270" s="49"/>
      <c r="H270" s="49"/>
      <c r="I270" s="49"/>
      <c r="J270" s="49"/>
      <c r="K270" s="24"/>
      <c r="L270" s="103"/>
      <c r="M270" s="14" t="str">
        <f ca="1">IF(PLATES[[#This Row],[ID]] &lt;&gt; "", IF(A270 = "000", A270 &amp; " | None", A270 &amp; " | " &amp; C270 &amp; " | " &amp; D270), "")</f>
        <v/>
      </c>
    </row>
    <row r="271" spans="1:13" ht="22.5" customHeight="1">
      <c r="A271" s="111" t="str">
        <f ca="1">IF(PLATES[[#This Row],[PRODUCT]] &lt;&gt; "", IF(ROW() = 2, "000", TEXT(INDIRECT("A" &amp; ROW() - 1) + 1, "000")), "")</f>
        <v/>
      </c>
      <c r="B271" s="102"/>
      <c r="C271" s="17"/>
      <c r="D271" s="102"/>
      <c r="E271" s="48"/>
      <c r="F271" s="49"/>
      <c r="G271" s="49"/>
      <c r="H271" s="49"/>
      <c r="I271" s="49"/>
      <c r="J271" s="49"/>
      <c r="K271" s="24"/>
      <c r="L271" s="103"/>
      <c r="M271" s="14" t="str">
        <f ca="1">IF(PLATES[[#This Row],[ID]] &lt;&gt; "", IF(A271 = "000", A271 &amp; " | None", A271 &amp; " | " &amp; C271 &amp; " | " &amp; D271), "")</f>
        <v/>
      </c>
    </row>
    <row r="272" spans="1:13" ht="22.5" customHeight="1">
      <c r="A272" s="111" t="str">
        <f ca="1">IF(PLATES[[#This Row],[PRODUCT]] &lt;&gt; "", IF(ROW() = 2, "000", TEXT(INDIRECT("A" &amp; ROW() - 1) + 1, "000")), "")</f>
        <v/>
      </c>
      <c r="B272" s="102"/>
      <c r="C272" s="17"/>
      <c r="D272" s="102"/>
      <c r="E272" s="48"/>
      <c r="F272" s="49"/>
      <c r="G272" s="49"/>
      <c r="H272" s="49"/>
      <c r="I272" s="49"/>
      <c r="J272" s="49"/>
      <c r="K272" s="24"/>
      <c r="L272" s="103"/>
      <c r="M272" s="14" t="str">
        <f ca="1">IF(PLATES[[#This Row],[ID]] &lt;&gt; "", IF(A272 = "000", A272 &amp; " | None", A272 &amp; " | " &amp; C272 &amp; " | " &amp; D272), "")</f>
        <v/>
      </c>
    </row>
    <row r="273" spans="1:13" ht="22.5" customHeight="1">
      <c r="A273" s="111" t="str">
        <f ca="1">IF(PLATES[[#This Row],[PRODUCT]] &lt;&gt; "", IF(ROW() = 2, "000", TEXT(INDIRECT("A" &amp; ROW() - 1) + 1, "000")), "")</f>
        <v/>
      </c>
      <c r="B273" s="102"/>
      <c r="C273" s="17"/>
      <c r="D273" s="102"/>
      <c r="E273" s="48"/>
      <c r="F273" s="49"/>
      <c r="G273" s="49"/>
      <c r="H273" s="49"/>
      <c r="I273" s="49"/>
      <c r="J273" s="49"/>
      <c r="K273" s="24"/>
      <c r="L273" s="103"/>
      <c r="M273" s="14" t="str">
        <f ca="1">IF(PLATES[[#This Row],[ID]] &lt;&gt; "", IF(A273 = "000", A273 &amp; " | None", A273 &amp; " | " &amp; C273 &amp; " | " &amp; D273), "")</f>
        <v/>
      </c>
    </row>
    <row r="274" spans="1:13" ht="22.5" customHeight="1">
      <c r="A274" s="111" t="str">
        <f ca="1">IF(PLATES[[#This Row],[PRODUCT]] &lt;&gt; "", IF(ROW() = 2, "000", TEXT(INDIRECT("A" &amp; ROW() - 1) + 1, "000")), "")</f>
        <v/>
      </c>
      <c r="B274" s="102"/>
      <c r="C274" s="17"/>
      <c r="D274" s="102"/>
      <c r="E274" s="48"/>
      <c r="F274" s="49"/>
      <c r="G274" s="49"/>
      <c r="H274" s="49"/>
      <c r="I274" s="49"/>
      <c r="J274" s="49"/>
      <c r="K274" s="24"/>
      <c r="L274" s="103"/>
      <c r="M274" s="14" t="str">
        <f ca="1">IF(PLATES[[#This Row],[ID]] &lt;&gt; "", IF(A274 = "000", A274 &amp; " | None", A274 &amp; " | " &amp; C274 &amp; " | " &amp; D274), "")</f>
        <v/>
      </c>
    </row>
    <row r="275" spans="1:13" ht="22.5" customHeight="1">
      <c r="A275" s="111" t="str">
        <f ca="1">IF(PLATES[[#This Row],[PRODUCT]] &lt;&gt; "", IF(ROW() = 2, "000", TEXT(INDIRECT("A" &amp; ROW() - 1) + 1, "000")), "")</f>
        <v/>
      </c>
      <c r="B275" s="102"/>
      <c r="C275" s="17"/>
      <c r="D275" s="102"/>
      <c r="E275" s="48"/>
      <c r="F275" s="49"/>
      <c r="G275" s="49"/>
      <c r="H275" s="49"/>
      <c r="I275" s="49"/>
      <c r="J275" s="49"/>
      <c r="K275" s="24"/>
      <c r="L275" s="103"/>
      <c r="M275" s="14" t="str">
        <f ca="1">IF(PLATES[[#This Row],[ID]] &lt;&gt; "", IF(A275 = "000", A275 &amp; " | None", A275 &amp; " | " &amp; C275 &amp; " | " &amp; D275), "")</f>
        <v/>
      </c>
    </row>
    <row r="276" spans="1:13" ht="22.5" customHeight="1">
      <c r="A276" s="111" t="str">
        <f ca="1">IF(PLATES[[#This Row],[PRODUCT]] &lt;&gt; "", IF(ROW() = 2, "000", TEXT(INDIRECT("A" &amp; ROW() - 1) + 1, "000")), "")</f>
        <v/>
      </c>
      <c r="B276" s="102"/>
      <c r="C276" s="17"/>
      <c r="D276" s="102"/>
      <c r="E276" s="48"/>
      <c r="F276" s="49"/>
      <c r="G276" s="49"/>
      <c r="H276" s="49"/>
      <c r="I276" s="49"/>
      <c r="J276" s="49"/>
      <c r="K276" s="24"/>
      <c r="L276" s="103"/>
      <c r="M276" s="14" t="str">
        <f ca="1">IF(PLATES[[#This Row],[ID]] &lt;&gt; "", IF(A276 = "000", A276 &amp; " | None", A276 &amp; " | " &amp; C276 &amp; " | " &amp; D276), "")</f>
        <v/>
      </c>
    </row>
    <row r="277" spans="1:13" ht="22.5" customHeight="1">
      <c r="A277" s="111" t="str">
        <f ca="1">IF(PLATES[[#This Row],[PRODUCT]] &lt;&gt; "", IF(ROW() = 2, "000", TEXT(INDIRECT("A" &amp; ROW() - 1) + 1, "000")), "")</f>
        <v/>
      </c>
      <c r="B277" s="102"/>
      <c r="C277" s="17"/>
      <c r="D277" s="102"/>
      <c r="E277" s="48"/>
      <c r="F277" s="49"/>
      <c r="G277" s="49"/>
      <c r="H277" s="49"/>
      <c r="I277" s="49"/>
      <c r="J277" s="49"/>
      <c r="K277" s="24"/>
      <c r="L277" s="103"/>
      <c r="M277" s="14" t="str">
        <f ca="1">IF(PLATES[[#This Row],[ID]] &lt;&gt; "", IF(A277 = "000", A277 &amp; " | None", A277 &amp; " | " &amp; C277 &amp; " | " &amp; D277), "")</f>
        <v/>
      </c>
    </row>
    <row r="278" spans="1:13" ht="22.5" customHeight="1">
      <c r="A278" s="111" t="str">
        <f ca="1">IF(PLATES[[#This Row],[PRODUCT]] &lt;&gt; "", IF(ROW() = 2, "000", TEXT(INDIRECT("A" &amp; ROW() - 1) + 1, "000")), "")</f>
        <v/>
      </c>
      <c r="B278" s="102"/>
      <c r="C278" s="17"/>
      <c r="D278" s="102"/>
      <c r="E278" s="48"/>
      <c r="F278" s="49"/>
      <c r="G278" s="49"/>
      <c r="H278" s="49"/>
      <c r="I278" s="49"/>
      <c r="J278" s="49"/>
      <c r="K278" s="24"/>
      <c r="L278" s="103"/>
      <c r="M278" s="14" t="str">
        <f ca="1">IF(PLATES[[#This Row],[ID]] &lt;&gt; "", IF(A278 = "000", A278 &amp; " | None", A278 &amp; " | " &amp; C278 &amp; " | " &amp; D278), "")</f>
        <v/>
      </c>
    </row>
    <row r="279" spans="1:13" ht="22.5" customHeight="1">
      <c r="A279" s="111" t="str">
        <f ca="1">IF(PLATES[[#This Row],[PRODUCT]] &lt;&gt; "", IF(ROW() = 2, "000", TEXT(INDIRECT("A" &amp; ROW() - 1) + 1, "000")), "")</f>
        <v/>
      </c>
      <c r="B279" s="102"/>
      <c r="C279" s="17"/>
      <c r="D279" s="102"/>
      <c r="E279" s="48"/>
      <c r="F279" s="49"/>
      <c r="G279" s="49"/>
      <c r="H279" s="49"/>
      <c r="I279" s="49"/>
      <c r="J279" s="49"/>
      <c r="K279" s="24"/>
      <c r="L279" s="103"/>
      <c r="M279" s="14" t="str">
        <f ca="1">IF(PLATES[[#This Row],[ID]] &lt;&gt; "", IF(A279 = "000", A279 &amp; " | None", A279 &amp; " | " &amp; C279 &amp; " | " &amp; D279), "")</f>
        <v/>
      </c>
    </row>
    <row r="280" spans="1:13" ht="22.5" customHeight="1">
      <c r="A280" s="111" t="str">
        <f ca="1">IF(PLATES[[#This Row],[PRODUCT]] &lt;&gt; "", IF(ROW() = 2, "000", TEXT(INDIRECT("A" &amp; ROW() - 1) + 1, "000")), "")</f>
        <v/>
      </c>
      <c r="B280" s="102"/>
      <c r="C280" s="17"/>
      <c r="D280" s="102"/>
      <c r="E280" s="48"/>
      <c r="F280" s="49"/>
      <c r="G280" s="49"/>
      <c r="H280" s="49"/>
      <c r="I280" s="49"/>
      <c r="J280" s="49"/>
      <c r="K280" s="24"/>
      <c r="L280" s="103"/>
      <c r="M280" s="14" t="str">
        <f ca="1">IF(PLATES[[#This Row],[ID]] &lt;&gt; "", IF(A280 = "000", A280 &amp; " | None", A280 &amp; " | " &amp; C280 &amp; " | " &amp; D280), "")</f>
        <v/>
      </c>
    </row>
    <row r="281" spans="1:13" ht="22.5" customHeight="1">
      <c r="A281" s="111" t="str">
        <f ca="1">IF(PLATES[[#This Row],[PRODUCT]] &lt;&gt; "", IF(ROW() = 2, "000", TEXT(INDIRECT("A" &amp; ROW() - 1) + 1, "000")), "")</f>
        <v/>
      </c>
      <c r="B281" s="102"/>
      <c r="C281" s="17"/>
      <c r="D281" s="102"/>
      <c r="E281" s="48"/>
      <c r="F281" s="49"/>
      <c r="G281" s="49"/>
      <c r="H281" s="49"/>
      <c r="I281" s="49"/>
      <c r="J281" s="49"/>
      <c r="K281" s="24"/>
      <c r="L281" s="103"/>
      <c r="M281" s="14" t="str">
        <f ca="1">IF(PLATES[[#This Row],[ID]] &lt;&gt; "", IF(A281 = "000", A281 &amp; " | None", A281 &amp; " | " &amp; C281 &amp; " | " &amp; D281), "")</f>
        <v/>
      </c>
    </row>
    <row r="282" spans="1:13" ht="22.5" customHeight="1">
      <c r="A282" s="111" t="str">
        <f ca="1">IF(PLATES[[#This Row],[PRODUCT]] &lt;&gt; "", IF(ROW() = 2, "000", TEXT(INDIRECT("A" &amp; ROW() - 1) + 1, "000")), "")</f>
        <v/>
      </c>
      <c r="B282" s="102"/>
      <c r="C282" s="17"/>
      <c r="D282" s="102"/>
      <c r="E282" s="48"/>
      <c r="F282" s="49"/>
      <c r="G282" s="49"/>
      <c r="H282" s="49"/>
      <c r="I282" s="49"/>
      <c r="J282" s="49"/>
      <c r="K282" s="24"/>
      <c r="L282" s="103"/>
      <c r="M282" s="14" t="str">
        <f ca="1">IF(PLATES[[#This Row],[ID]] &lt;&gt; "", IF(A282 = "000", A282 &amp; " | None", A282 &amp; " | " &amp; C282 &amp; " | " &amp; D282), "")</f>
        <v/>
      </c>
    </row>
    <row r="283" spans="1:13" ht="22.5" customHeight="1">
      <c r="A283" s="111" t="str">
        <f ca="1">IF(PLATES[[#This Row],[PRODUCT]] &lt;&gt; "", IF(ROW() = 2, "000", TEXT(INDIRECT("A" &amp; ROW() - 1) + 1, "000")), "")</f>
        <v/>
      </c>
      <c r="B283" s="102"/>
      <c r="C283" s="17"/>
      <c r="D283" s="102"/>
      <c r="E283" s="48"/>
      <c r="F283" s="49"/>
      <c r="G283" s="49"/>
      <c r="H283" s="49"/>
      <c r="I283" s="49"/>
      <c r="J283" s="49"/>
      <c r="K283" s="24"/>
      <c r="L283" s="103"/>
      <c r="M283" s="14" t="str">
        <f ca="1">IF(PLATES[[#This Row],[ID]] &lt;&gt; "", IF(A283 = "000", A283 &amp; " | None", A283 &amp; " | " &amp; C283 &amp; " | " &amp; D283), "")</f>
        <v/>
      </c>
    </row>
    <row r="284" spans="1:13" ht="22.5" customHeight="1">
      <c r="A284" s="111" t="str">
        <f ca="1">IF(PLATES[[#This Row],[PRODUCT]] &lt;&gt; "", IF(ROW() = 2, "000", TEXT(INDIRECT("A" &amp; ROW() - 1) + 1, "000")), "")</f>
        <v/>
      </c>
      <c r="B284" s="102"/>
      <c r="C284" s="17"/>
      <c r="D284" s="102"/>
      <c r="E284" s="48"/>
      <c r="F284" s="49"/>
      <c r="G284" s="49"/>
      <c r="H284" s="49"/>
      <c r="I284" s="49"/>
      <c r="J284" s="49"/>
      <c r="K284" s="24"/>
      <c r="L284" s="103"/>
      <c r="M284" s="14" t="str">
        <f ca="1">IF(PLATES[[#This Row],[ID]] &lt;&gt; "", IF(A284 = "000", A284 &amp; " | None", A284 &amp; " | " &amp; C284 &amp; " | " &amp; D284), "")</f>
        <v/>
      </c>
    </row>
    <row r="285" spans="1:13" ht="22.5" customHeight="1">
      <c r="A285" s="111" t="str">
        <f ca="1">IF(PLATES[[#This Row],[PRODUCT]] &lt;&gt; "", IF(ROW() = 2, "000", TEXT(INDIRECT("A" &amp; ROW() - 1) + 1, "000")), "")</f>
        <v/>
      </c>
      <c r="B285" s="102"/>
      <c r="C285" s="17"/>
      <c r="D285" s="102"/>
      <c r="E285" s="48"/>
      <c r="F285" s="49"/>
      <c r="G285" s="49"/>
      <c r="H285" s="49"/>
      <c r="I285" s="49"/>
      <c r="J285" s="49"/>
      <c r="K285" s="24"/>
      <c r="L285" s="103"/>
      <c r="M285" s="14" t="str">
        <f ca="1">IF(PLATES[[#This Row],[ID]] &lt;&gt; "", IF(A285 = "000", A285 &amp; " | None", A285 &amp; " | " &amp; C285 &amp; " | " &amp; D285), "")</f>
        <v/>
      </c>
    </row>
    <row r="286" spans="1:13" ht="22.5" customHeight="1">
      <c r="A286" s="111" t="str">
        <f ca="1">IF(PLATES[[#This Row],[PRODUCT]] &lt;&gt; "", IF(ROW() = 2, "000", TEXT(INDIRECT("A" &amp; ROW() - 1) + 1, "000")), "")</f>
        <v/>
      </c>
      <c r="B286" s="102"/>
      <c r="C286" s="17"/>
      <c r="D286" s="102"/>
      <c r="E286" s="48"/>
      <c r="F286" s="49"/>
      <c r="G286" s="49"/>
      <c r="H286" s="49"/>
      <c r="I286" s="49"/>
      <c r="J286" s="49"/>
      <c r="K286" s="24"/>
      <c r="L286" s="103"/>
      <c r="M286" s="14" t="str">
        <f ca="1">IF(PLATES[[#This Row],[ID]] &lt;&gt; "", IF(A286 = "000", A286 &amp; " | None", A286 &amp; " | " &amp; C286 &amp; " | " &amp; D286), "")</f>
        <v/>
      </c>
    </row>
    <row r="287" spans="1:13" ht="22.5" customHeight="1">
      <c r="A287" s="111" t="str">
        <f ca="1">IF(PLATES[[#This Row],[PRODUCT]] &lt;&gt; "", IF(ROW() = 2, "000", TEXT(INDIRECT("A" &amp; ROW() - 1) + 1, "000")), "")</f>
        <v/>
      </c>
      <c r="B287" s="102"/>
      <c r="C287" s="17"/>
      <c r="D287" s="102"/>
      <c r="E287" s="48"/>
      <c r="F287" s="49"/>
      <c r="G287" s="49"/>
      <c r="H287" s="49"/>
      <c r="I287" s="49"/>
      <c r="J287" s="49"/>
      <c r="K287" s="24"/>
      <c r="L287" s="103"/>
      <c r="M287" s="14" t="str">
        <f ca="1">IF(PLATES[[#This Row],[ID]] &lt;&gt; "", IF(A287 = "000", A287 &amp; " | None", A287 &amp; " | " &amp; C287 &amp; " | " &amp; D287), "")</f>
        <v/>
      </c>
    </row>
    <row r="288" spans="1:13" ht="22.5" customHeight="1">
      <c r="A288" s="111" t="str">
        <f ca="1">IF(PLATES[[#This Row],[PRODUCT]] &lt;&gt; "", IF(ROW() = 2, "000", TEXT(INDIRECT("A" &amp; ROW() - 1) + 1, "000")), "")</f>
        <v/>
      </c>
      <c r="B288" s="102"/>
      <c r="C288" s="17"/>
      <c r="D288" s="102"/>
      <c r="E288" s="48"/>
      <c r="F288" s="49"/>
      <c r="G288" s="49"/>
      <c r="H288" s="49"/>
      <c r="I288" s="49"/>
      <c r="J288" s="49"/>
      <c r="K288" s="24"/>
      <c r="L288" s="103"/>
      <c r="M288" s="14" t="str">
        <f ca="1">IF(PLATES[[#This Row],[ID]] &lt;&gt; "", IF(A288 = "000", A288 &amp; " | None", A288 &amp; " | " &amp; C288 &amp; " | " &amp; D288), "")</f>
        <v/>
      </c>
    </row>
    <row r="289" spans="1:13" ht="22.5" customHeight="1">
      <c r="A289" s="111" t="str">
        <f ca="1">IF(PLATES[[#This Row],[PRODUCT]] &lt;&gt; "", IF(ROW() = 2, "000", TEXT(INDIRECT("A" &amp; ROW() - 1) + 1, "000")), "")</f>
        <v/>
      </c>
      <c r="B289" s="102"/>
      <c r="C289" s="17"/>
      <c r="D289" s="102"/>
      <c r="E289" s="48"/>
      <c r="F289" s="49"/>
      <c r="G289" s="49"/>
      <c r="H289" s="49"/>
      <c r="I289" s="49"/>
      <c r="J289" s="49"/>
      <c r="K289" s="24"/>
      <c r="L289" s="103"/>
      <c r="M289" s="14" t="str">
        <f ca="1">IF(PLATES[[#This Row],[ID]] &lt;&gt; "", IF(A289 = "000", A289 &amp; " | None", A289 &amp; " | " &amp; C289 &amp; " | " &amp; D289), "")</f>
        <v/>
      </c>
    </row>
    <row r="290" spans="1:13" ht="22.5" customHeight="1">
      <c r="A290" s="111" t="str">
        <f ca="1">IF(PLATES[[#This Row],[PRODUCT]] &lt;&gt; "", IF(ROW() = 2, "000", TEXT(INDIRECT("A" &amp; ROW() - 1) + 1, "000")), "")</f>
        <v/>
      </c>
      <c r="B290" s="102"/>
      <c r="C290" s="17"/>
      <c r="D290" s="102"/>
      <c r="E290" s="48"/>
      <c r="F290" s="49"/>
      <c r="G290" s="49"/>
      <c r="H290" s="49"/>
      <c r="I290" s="49"/>
      <c r="J290" s="49"/>
      <c r="K290" s="24"/>
      <c r="L290" s="103"/>
      <c r="M290" s="14" t="str">
        <f ca="1">IF(PLATES[[#This Row],[ID]] &lt;&gt; "", IF(A290 = "000", A290 &amp; " | None", A290 &amp; " | " &amp; C290 &amp; " | " &amp; D290), "")</f>
        <v/>
      </c>
    </row>
    <row r="291" spans="1:13" ht="22.5" customHeight="1">
      <c r="A291" s="111" t="str">
        <f ca="1">IF(PLATES[[#This Row],[PRODUCT]] &lt;&gt; "", IF(ROW() = 2, "000", TEXT(INDIRECT("A" &amp; ROW() - 1) + 1, "000")), "")</f>
        <v/>
      </c>
      <c r="B291" s="102"/>
      <c r="C291" s="17"/>
      <c r="D291" s="102"/>
      <c r="E291" s="48"/>
      <c r="F291" s="49"/>
      <c r="G291" s="49"/>
      <c r="H291" s="49"/>
      <c r="I291" s="49"/>
      <c r="J291" s="49"/>
      <c r="K291" s="24"/>
      <c r="L291" s="103"/>
      <c r="M291" s="14" t="str">
        <f ca="1">IF(PLATES[[#This Row],[ID]] &lt;&gt; "", IF(A291 = "000", A291 &amp; " | None", A291 &amp; " | " &amp; C291 &amp; " | " &amp; D291), "")</f>
        <v/>
      </c>
    </row>
    <row r="292" spans="1:13" ht="22.5" customHeight="1">
      <c r="A292" s="111" t="str">
        <f ca="1">IF(PLATES[[#This Row],[PRODUCT]] &lt;&gt; "", IF(ROW() = 2, "000", TEXT(INDIRECT("A" &amp; ROW() - 1) + 1, "000")), "")</f>
        <v/>
      </c>
      <c r="B292" s="102"/>
      <c r="C292" s="17"/>
      <c r="D292" s="102"/>
      <c r="E292" s="48"/>
      <c r="F292" s="49"/>
      <c r="G292" s="49"/>
      <c r="H292" s="49"/>
      <c r="I292" s="49"/>
      <c r="J292" s="49"/>
      <c r="K292" s="24"/>
      <c r="L292" s="103"/>
      <c r="M292" s="14" t="str">
        <f ca="1">IF(PLATES[[#This Row],[ID]] &lt;&gt; "", IF(A292 = "000", A292 &amp; " | None", A292 &amp; " | " &amp; C292 &amp; " | " &amp; D292), "")</f>
        <v/>
      </c>
    </row>
    <row r="293" spans="1:13" ht="22.5" customHeight="1">
      <c r="A293" s="111" t="str">
        <f ca="1">IF(PLATES[[#This Row],[PRODUCT]] &lt;&gt; "", IF(ROW() = 2, "000", TEXT(INDIRECT("A" &amp; ROW() - 1) + 1, "000")), "")</f>
        <v/>
      </c>
      <c r="B293" s="102"/>
      <c r="C293" s="17"/>
      <c r="D293" s="102"/>
      <c r="E293" s="48"/>
      <c r="F293" s="49"/>
      <c r="G293" s="49"/>
      <c r="H293" s="49"/>
      <c r="I293" s="49"/>
      <c r="J293" s="49"/>
      <c r="K293" s="24"/>
      <c r="L293" s="103"/>
      <c r="M293" s="14" t="str">
        <f ca="1">IF(PLATES[[#This Row],[ID]] &lt;&gt; "", IF(A293 = "000", A293 &amp; " | None", A293 &amp; " | " &amp; C293 &amp; " | " &amp; D293), "")</f>
        <v/>
      </c>
    </row>
    <row r="294" spans="1:13" ht="22.5" customHeight="1">
      <c r="A294" s="111" t="str">
        <f ca="1">IF(PLATES[[#This Row],[PRODUCT]] &lt;&gt; "", IF(ROW() = 2, "000", TEXT(INDIRECT("A" &amp; ROW() - 1) + 1, "000")), "")</f>
        <v/>
      </c>
      <c r="B294" s="102"/>
      <c r="C294" s="17"/>
      <c r="D294" s="102"/>
      <c r="E294" s="48"/>
      <c r="F294" s="49"/>
      <c r="G294" s="49"/>
      <c r="H294" s="49"/>
      <c r="I294" s="49"/>
      <c r="J294" s="49"/>
      <c r="K294" s="24"/>
      <c r="L294" s="103"/>
      <c r="M294" s="14" t="str">
        <f ca="1">IF(PLATES[[#This Row],[ID]] &lt;&gt; "", IF(A294 = "000", A294 &amp; " | None", A294 &amp; " | " &amp; C294 &amp; " | " &amp; D294), "")</f>
        <v/>
      </c>
    </row>
    <row r="295" spans="1:13" ht="22.5" customHeight="1">
      <c r="A295" s="111" t="str">
        <f ca="1">IF(PLATES[[#This Row],[PRODUCT]] &lt;&gt; "", IF(ROW() = 2, "000", TEXT(INDIRECT("A" &amp; ROW() - 1) + 1, "000")), "")</f>
        <v/>
      </c>
      <c r="B295" s="102"/>
      <c r="C295" s="17"/>
      <c r="D295" s="102"/>
      <c r="E295" s="48"/>
      <c r="F295" s="49"/>
      <c r="G295" s="49"/>
      <c r="H295" s="49"/>
      <c r="I295" s="49"/>
      <c r="J295" s="49"/>
      <c r="K295" s="24"/>
      <c r="L295" s="103"/>
      <c r="M295" s="14" t="str">
        <f ca="1">IF(PLATES[[#This Row],[ID]] &lt;&gt; "", IF(A295 = "000", A295 &amp; " | None", A295 &amp; " | " &amp; C295 &amp; " | " &amp; D295), "")</f>
        <v/>
      </c>
    </row>
    <row r="296" spans="1:13" ht="22.5" customHeight="1">
      <c r="A296" s="111" t="str">
        <f ca="1">IF(PLATES[[#This Row],[PRODUCT]] &lt;&gt; "", IF(ROW() = 2, "000", TEXT(INDIRECT("A" &amp; ROW() - 1) + 1, "000")), "")</f>
        <v/>
      </c>
      <c r="B296" s="102"/>
      <c r="C296" s="17"/>
      <c r="D296" s="102"/>
      <c r="E296" s="48"/>
      <c r="F296" s="49"/>
      <c r="G296" s="49"/>
      <c r="H296" s="49"/>
      <c r="I296" s="49"/>
      <c r="J296" s="49"/>
      <c r="K296" s="24"/>
      <c r="L296" s="103"/>
      <c r="M296" s="14" t="str">
        <f ca="1">IF(PLATES[[#This Row],[ID]] &lt;&gt; "", IF(A296 = "000", A296 &amp; " | None", A296 &amp; " | " &amp; C296 &amp; " | " &amp; D296), "")</f>
        <v/>
      </c>
    </row>
    <row r="297" spans="1:13" ht="22.5" customHeight="1">
      <c r="A297" s="111" t="str">
        <f ca="1">IF(PLATES[[#This Row],[PRODUCT]] &lt;&gt; "", IF(ROW() = 2, "000", TEXT(INDIRECT("A" &amp; ROW() - 1) + 1, "000")), "")</f>
        <v/>
      </c>
      <c r="B297" s="102"/>
      <c r="C297" s="17"/>
      <c r="D297" s="102"/>
      <c r="E297" s="48"/>
      <c r="F297" s="49"/>
      <c r="G297" s="49"/>
      <c r="H297" s="49"/>
      <c r="I297" s="49"/>
      <c r="J297" s="49"/>
      <c r="K297" s="24"/>
      <c r="L297" s="103"/>
      <c r="M297" s="14" t="str">
        <f ca="1">IF(PLATES[[#This Row],[ID]] &lt;&gt; "", IF(A297 = "000", A297 &amp; " | None", A297 &amp; " | " &amp; C297 &amp; " | " &amp; D297), "")</f>
        <v/>
      </c>
    </row>
    <row r="298" spans="1:13" ht="22.5" customHeight="1">
      <c r="A298" s="111" t="str">
        <f ca="1">IF(PLATES[[#This Row],[PRODUCT]] &lt;&gt; "", IF(ROW() = 2, "000", TEXT(INDIRECT("A" &amp; ROW() - 1) + 1, "000")), "")</f>
        <v/>
      </c>
      <c r="B298" s="102"/>
      <c r="C298" s="17"/>
      <c r="D298" s="102"/>
      <c r="E298" s="48"/>
      <c r="F298" s="49"/>
      <c r="G298" s="49"/>
      <c r="H298" s="49"/>
      <c r="I298" s="49"/>
      <c r="J298" s="49"/>
      <c r="K298" s="24"/>
      <c r="L298" s="103"/>
      <c r="M298" s="14" t="str">
        <f ca="1">IF(PLATES[[#This Row],[ID]] &lt;&gt; "", IF(A298 = "000", A298 &amp; " | None", A298 &amp; " | " &amp; C298 &amp; " | " &amp; D298), "")</f>
        <v/>
      </c>
    </row>
    <row r="299" spans="1:13" ht="22.5" customHeight="1">
      <c r="A299" s="111" t="str">
        <f ca="1">IF(PLATES[[#This Row],[PRODUCT]] &lt;&gt; "", IF(ROW() = 2, "000", TEXT(INDIRECT("A" &amp; ROW() - 1) + 1, "000")), "")</f>
        <v/>
      </c>
      <c r="B299" s="102"/>
      <c r="C299" s="17"/>
      <c r="D299" s="102"/>
      <c r="E299" s="48"/>
      <c r="F299" s="49"/>
      <c r="G299" s="49"/>
      <c r="H299" s="49"/>
      <c r="I299" s="49"/>
      <c r="J299" s="49"/>
      <c r="K299" s="24"/>
      <c r="L299" s="103"/>
      <c r="M299" s="14" t="str">
        <f ca="1">IF(PLATES[[#This Row],[ID]] &lt;&gt; "", IF(A299 = "000", A299 &amp; " | None", A299 &amp; " | " &amp; C299 &amp; " | " &amp; D299), "")</f>
        <v/>
      </c>
    </row>
    <row r="300" spans="1:13" ht="22.5" customHeight="1">
      <c r="A300" s="111" t="str">
        <f ca="1">IF(PLATES[[#This Row],[PRODUCT]] &lt;&gt; "", IF(ROW() = 2, "000", TEXT(INDIRECT("A" &amp; ROW() - 1) + 1, "000")), "")</f>
        <v/>
      </c>
      <c r="B300" s="102"/>
      <c r="C300" s="17"/>
      <c r="D300" s="102"/>
      <c r="E300" s="48"/>
      <c r="F300" s="49"/>
      <c r="G300" s="49"/>
      <c r="H300" s="49"/>
      <c r="I300" s="49"/>
      <c r="J300" s="49"/>
      <c r="K300" s="24"/>
      <c r="L300" s="103"/>
      <c r="M300" s="14" t="str">
        <f ca="1">IF(PLATES[[#This Row],[ID]] &lt;&gt; "", IF(A300 = "000", A300 &amp; " | None", A300 &amp; " | " &amp; C300 &amp; " | " &amp; D300), "")</f>
        <v/>
      </c>
    </row>
    <row r="301" spans="1:13" ht="22.5" customHeight="1">
      <c r="A301" s="111" t="str">
        <f ca="1">IF(PLATES[[#This Row],[PRODUCT]] &lt;&gt; "", IF(ROW() = 2, "000", TEXT(INDIRECT("A" &amp; ROW() - 1) + 1, "000")), "")</f>
        <v/>
      </c>
      <c r="B301" s="102"/>
      <c r="C301" s="17"/>
      <c r="D301" s="102"/>
      <c r="E301" s="48"/>
      <c r="F301" s="49"/>
      <c r="G301" s="49"/>
      <c r="H301" s="49"/>
      <c r="I301" s="49"/>
      <c r="J301" s="49"/>
      <c r="K301" s="24"/>
      <c r="L301" s="103"/>
      <c r="M301" s="14" t="str">
        <f ca="1">IF(PLATES[[#This Row],[ID]] &lt;&gt; "", IF(A301 = "000", A301 &amp; " | None", A301 &amp; " | " &amp; C301 &amp; " | " &amp; D301), "")</f>
        <v/>
      </c>
    </row>
    <row r="302" spans="1:13" ht="22.5" customHeight="1">
      <c r="A302" s="50"/>
      <c r="B302" s="102"/>
      <c r="C302" s="17"/>
      <c r="D302" s="102"/>
      <c r="E302" s="48"/>
      <c r="F302" s="49"/>
      <c r="G302" s="49"/>
      <c r="H302" s="49"/>
      <c r="I302" s="49"/>
      <c r="J302" s="49"/>
      <c r="K302" s="24"/>
      <c r="L302" s="103"/>
    </row>
    <row r="303" spans="1:13" ht="22.5" customHeight="1">
      <c r="A303" s="50"/>
      <c r="B303" s="102"/>
      <c r="C303" s="17"/>
      <c r="D303" s="102"/>
      <c r="E303" s="48"/>
      <c r="F303" s="49"/>
      <c r="G303" s="49"/>
      <c r="H303" s="49"/>
      <c r="I303" s="49"/>
      <c r="J303" s="49"/>
      <c r="K303" s="24"/>
      <c r="L303" s="103"/>
    </row>
    <row r="304" spans="1:13" ht="22.5" customHeight="1">
      <c r="A304" s="50"/>
      <c r="B304" s="102"/>
      <c r="C304" s="17"/>
      <c r="D304" s="102"/>
      <c r="E304" s="48"/>
      <c r="F304" s="49"/>
      <c r="G304" s="49"/>
      <c r="H304" s="49"/>
      <c r="I304" s="49"/>
      <c r="J304" s="49"/>
      <c r="K304" s="24"/>
      <c r="L304" s="103"/>
    </row>
    <row r="305" spans="1:12" ht="22.5" customHeight="1">
      <c r="A305" s="50"/>
      <c r="B305" s="102"/>
      <c r="C305" s="17"/>
      <c r="D305" s="102"/>
      <c r="E305" s="48"/>
      <c r="F305" s="49"/>
      <c r="G305" s="49"/>
      <c r="H305" s="49"/>
      <c r="I305" s="49"/>
      <c r="J305" s="49"/>
      <c r="K305" s="24"/>
      <c r="L305" s="103"/>
    </row>
    <row r="306" spans="1:12" ht="22.5" customHeight="1">
      <c r="A306" s="50"/>
      <c r="B306" s="102"/>
      <c r="C306" s="17"/>
      <c r="D306" s="102"/>
      <c r="E306" s="48"/>
      <c r="F306" s="49"/>
      <c r="G306" s="49"/>
      <c r="H306" s="49"/>
      <c r="I306" s="49"/>
      <c r="J306" s="49"/>
      <c r="K306" s="24"/>
      <c r="L306" s="103"/>
    </row>
    <row r="307" spans="1:12" ht="22.5" customHeight="1">
      <c r="A307" s="50"/>
      <c r="B307" s="102"/>
      <c r="C307" s="17"/>
      <c r="D307" s="102"/>
      <c r="E307" s="48"/>
      <c r="F307" s="49"/>
      <c r="G307" s="49"/>
      <c r="H307" s="49"/>
      <c r="I307" s="49"/>
      <c r="J307" s="49"/>
      <c r="K307" s="24"/>
      <c r="L307" s="103"/>
    </row>
    <row r="308" spans="1:12" ht="22.5" customHeight="1">
      <c r="A308" s="50"/>
      <c r="B308" s="102"/>
      <c r="C308" s="17"/>
      <c r="D308" s="102"/>
      <c r="E308" s="48"/>
      <c r="F308" s="49"/>
      <c r="G308" s="49"/>
      <c r="H308" s="49"/>
      <c r="I308" s="49"/>
      <c r="J308" s="49"/>
      <c r="K308" s="24"/>
      <c r="L308" s="103"/>
    </row>
    <row r="309" spans="1:12" ht="22.5" customHeight="1">
      <c r="A309" s="50"/>
      <c r="B309" s="102"/>
      <c r="C309" s="17"/>
      <c r="D309" s="102"/>
      <c r="E309" s="48"/>
      <c r="F309" s="49"/>
      <c r="G309" s="49"/>
      <c r="H309" s="49"/>
      <c r="I309" s="49"/>
      <c r="J309" s="49"/>
      <c r="K309" s="24"/>
      <c r="L309" s="103"/>
    </row>
    <row r="310" spans="1:12" ht="22.5" customHeight="1">
      <c r="A310" s="50"/>
      <c r="B310" s="102"/>
      <c r="C310" s="17"/>
      <c r="D310" s="102"/>
      <c r="E310" s="48"/>
      <c r="F310" s="49"/>
      <c r="G310" s="49"/>
      <c r="H310" s="49"/>
      <c r="I310" s="49"/>
      <c r="J310" s="49"/>
      <c r="K310" s="24"/>
      <c r="L310" s="103"/>
    </row>
    <row r="311" spans="1:12" ht="22.5" customHeight="1">
      <c r="A311" s="50"/>
      <c r="B311" s="102"/>
      <c r="C311" s="17"/>
      <c r="D311" s="102"/>
      <c r="E311" s="48"/>
      <c r="F311" s="49"/>
      <c r="G311" s="49"/>
      <c r="H311" s="49"/>
      <c r="I311" s="49"/>
      <c r="J311" s="49"/>
      <c r="K311" s="24"/>
      <c r="L311" s="103"/>
    </row>
    <row r="312" spans="1:12" ht="22.5" customHeight="1">
      <c r="A312" s="50"/>
      <c r="B312" s="102"/>
      <c r="C312" s="17"/>
      <c r="D312" s="102"/>
      <c r="E312" s="48"/>
      <c r="F312" s="49"/>
      <c r="G312" s="49"/>
      <c r="H312" s="49"/>
      <c r="I312" s="49"/>
      <c r="J312" s="49"/>
      <c r="K312" s="24"/>
      <c r="L312" s="103"/>
    </row>
    <row r="313" spans="1:12" ht="22.5" customHeight="1">
      <c r="A313" s="50"/>
      <c r="B313" s="102"/>
      <c r="C313" s="17"/>
      <c r="D313" s="102"/>
      <c r="E313" s="48"/>
      <c r="F313" s="49"/>
      <c r="G313" s="49"/>
      <c r="H313" s="49"/>
      <c r="I313" s="49"/>
      <c r="J313" s="49"/>
      <c r="K313" s="24"/>
      <c r="L313" s="103"/>
    </row>
    <row r="314" spans="1:12" ht="22.5" customHeight="1">
      <c r="A314" s="50"/>
      <c r="B314" s="102"/>
      <c r="C314" s="17"/>
      <c r="D314" s="102"/>
      <c r="E314" s="48"/>
      <c r="F314" s="49"/>
      <c r="G314" s="49"/>
      <c r="H314" s="49"/>
      <c r="I314" s="49"/>
      <c r="J314" s="49"/>
      <c r="K314" s="24"/>
      <c r="L314" s="103"/>
    </row>
    <row r="315" spans="1:12" ht="22.5" customHeight="1">
      <c r="A315" s="50"/>
      <c r="B315" s="102"/>
      <c r="C315" s="17"/>
      <c r="D315" s="102"/>
      <c r="E315" s="48"/>
      <c r="F315" s="49"/>
      <c r="G315" s="49"/>
      <c r="H315" s="49"/>
      <c r="I315" s="49"/>
      <c r="J315" s="49"/>
      <c r="K315" s="24"/>
      <c r="L315" s="103"/>
    </row>
    <row r="316" spans="1:12" ht="22.5" customHeight="1">
      <c r="A316" s="50"/>
      <c r="B316" s="102"/>
      <c r="C316" s="17"/>
      <c r="D316" s="102"/>
      <c r="E316" s="48"/>
      <c r="F316" s="49"/>
      <c r="G316" s="49"/>
      <c r="H316" s="49"/>
      <c r="I316" s="49"/>
      <c r="J316" s="49"/>
      <c r="K316" s="24"/>
      <c r="L316" s="103"/>
    </row>
    <row r="317" spans="1:12" ht="22.5" customHeight="1">
      <c r="A317" s="50"/>
      <c r="B317" s="102"/>
      <c r="C317" s="17"/>
      <c r="D317" s="102"/>
      <c r="E317" s="48"/>
      <c r="F317" s="49"/>
      <c r="G317" s="49"/>
      <c r="H317" s="49"/>
      <c r="I317" s="49"/>
      <c r="J317" s="49"/>
      <c r="K317" s="24"/>
      <c r="L317" s="103"/>
    </row>
    <row r="318" spans="1:12" ht="22.5" customHeight="1">
      <c r="A318" s="50"/>
      <c r="B318" s="102"/>
      <c r="C318" s="17"/>
      <c r="D318" s="102"/>
      <c r="E318" s="48"/>
      <c r="F318" s="49"/>
      <c r="G318" s="49"/>
      <c r="H318" s="49"/>
      <c r="I318" s="49"/>
      <c r="J318" s="49"/>
      <c r="K318" s="24"/>
      <c r="L318" s="103"/>
    </row>
    <row r="319" spans="1:12" ht="22.5" customHeight="1">
      <c r="A319" s="50"/>
      <c r="B319" s="102"/>
      <c r="C319" s="17"/>
      <c r="D319" s="102"/>
      <c r="E319" s="48"/>
      <c r="F319" s="49"/>
      <c r="G319" s="49"/>
      <c r="H319" s="49"/>
      <c r="I319" s="49"/>
      <c r="J319" s="49"/>
      <c r="K319" s="24"/>
      <c r="L319" s="103"/>
    </row>
    <row r="320" spans="1:12" ht="22.5" customHeight="1">
      <c r="A320" s="50"/>
      <c r="B320" s="102"/>
      <c r="C320" s="17"/>
      <c r="D320" s="102"/>
      <c r="E320" s="48"/>
      <c r="F320" s="49"/>
      <c r="G320" s="49"/>
      <c r="H320" s="49"/>
      <c r="I320" s="49"/>
      <c r="J320" s="49"/>
      <c r="K320" s="24"/>
      <c r="L320" s="103"/>
    </row>
    <row r="321" spans="1:12" ht="22.5" customHeight="1">
      <c r="A321" s="50"/>
      <c r="B321" s="102"/>
      <c r="C321" s="17"/>
      <c r="D321" s="102"/>
      <c r="E321" s="48"/>
      <c r="F321" s="49"/>
      <c r="G321" s="49"/>
      <c r="H321" s="49"/>
      <c r="I321" s="49"/>
      <c r="J321" s="49"/>
      <c r="K321" s="24"/>
      <c r="L321" s="103"/>
    </row>
    <row r="322" spans="1:12" ht="22.5" customHeight="1">
      <c r="A322" s="50"/>
      <c r="B322" s="102"/>
      <c r="C322" s="17"/>
      <c r="D322" s="102"/>
      <c r="E322" s="48"/>
      <c r="F322" s="49"/>
      <c r="G322" s="49"/>
      <c r="H322" s="49"/>
      <c r="I322" s="49"/>
      <c r="J322" s="49"/>
      <c r="K322" s="24"/>
      <c r="L322" s="103"/>
    </row>
    <row r="323" spans="1:12" ht="22.5" customHeight="1">
      <c r="A323" s="50"/>
      <c r="B323" s="102"/>
      <c r="C323" s="17"/>
      <c r="D323" s="102"/>
      <c r="E323" s="48"/>
      <c r="F323" s="49"/>
      <c r="G323" s="49"/>
      <c r="H323" s="49"/>
      <c r="I323" s="49"/>
      <c r="J323" s="49"/>
      <c r="K323" s="24"/>
      <c r="L323" s="103"/>
    </row>
    <row r="324" spans="1:12" ht="22.5" customHeight="1">
      <c r="A324" s="50"/>
      <c r="B324" s="102"/>
      <c r="C324" s="17"/>
      <c r="D324" s="102"/>
      <c r="E324" s="48"/>
      <c r="F324" s="49"/>
      <c r="G324" s="49"/>
      <c r="H324" s="49"/>
      <c r="I324" s="49"/>
      <c r="J324" s="49"/>
      <c r="K324" s="24"/>
      <c r="L324" s="103"/>
    </row>
    <row r="325" spans="1:12" ht="22.5" customHeight="1">
      <c r="A325" s="50"/>
      <c r="B325" s="102"/>
      <c r="C325" s="17"/>
      <c r="D325" s="102"/>
      <c r="E325" s="48"/>
      <c r="F325" s="49"/>
      <c r="G325" s="49"/>
      <c r="H325" s="49"/>
      <c r="I325" s="49"/>
      <c r="J325" s="49"/>
      <c r="K325" s="24"/>
      <c r="L325" s="103"/>
    </row>
    <row r="326" spans="1:12" ht="22.5" customHeight="1">
      <c r="A326" s="50"/>
      <c r="B326" s="102"/>
      <c r="C326" s="17"/>
      <c r="D326" s="102"/>
      <c r="E326" s="48"/>
      <c r="F326" s="49"/>
      <c r="G326" s="49"/>
      <c r="H326" s="49"/>
      <c r="I326" s="49"/>
      <c r="J326" s="49"/>
      <c r="K326" s="24"/>
      <c r="L326" s="103"/>
    </row>
    <row r="327" spans="1:12" ht="22.5" customHeight="1">
      <c r="A327" s="50"/>
      <c r="B327" s="102"/>
      <c r="C327" s="17"/>
      <c r="D327" s="102"/>
      <c r="E327" s="48"/>
      <c r="F327" s="49"/>
      <c r="G327" s="49"/>
      <c r="H327" s="49"/>
      <c r="I327" s="49"/>
      <c r="J327" s="49"/>
      <c r="K327" s="24"/>
      <c r="L327" s="103"/>
    </row>
    <row r="328" spans="1:12" ht="22.5" customHeight="1">
      <c r="A328" s="50"/>
      <c r="B328" s="102"/>
      <c r="C328" s="17"/>
      <c r="D328" s="102"/>
      <c r="E328" s="48"/>
      <c r="F328" s="49"/>
      <c r="G328" s="49"/>
      <c r="H328" s="49"/>
      <c r="I328" s="49"/>
      <c r="J328" s="49"/>
      <c r="K328" s="24"/>
      <c r="L328" s="103"/>
    </row>
    <row r="329" spans="1:12" ht="22.5" customHeight="1">
      <c r="A329" s="50"/>
      <c r="B329" s="102"/>
      <c r="C329" s="17"/>
      <c r="D329" s="102"/>
      <c r="E329" s="48"/>
      <c r="F329" s="49"/>
      <c r="G329" s="49"/>
      <c r="H329" s="49"/>
      <c r="I329" s="49"/>
      <c r="J329" s="49"/>
      <c r="K329" s="24"/>
      <c r="L329" s="103"/>
    </row>
    <row r="330" spans="1:12" ht="22.5" customHeight="1">
      <c r="A330" s="50"/>
      <c r="B330" s="102"/>
      <c r="C330" s="17"/>
      <c r="D330" s="102"/>
      <c r="E330" s="48"/>
      <c r="F330" s="49"/>
      <c r="G330" s="49"/>
      <c r="H330" s="49"/>
      <c r="I330" s="49"/>
      <c r="J330" s="49"/>
      <c r="K330" s="24"/>
      <c r="L330" s="103"/>
    </row>
    <row r="331" spans="1:12" ht="22.5" customHeight="1">
      <c r="A331" s="50"/>
      <c r="B331" s="102"/>
      <c r="C331" s="17"/>
      <c r="D331" s="102"/>
      <c r="E331" s="48"/>
      <c r="F331" s="49"/>
      <c r="G331" s="49"/>
      <c r="H331" s="49"/>
      <c r="I331" s="49"/>
      <c r="J331" s="49"/>
      <c r="K331" s="24"/>
      <c r="L331" s="103"/>
    </row>
    <row r="332" spans="1:12" ht="22.5" customHeight="1">
      <c r="A332" s="50"/>
      <c r="B332" s="102"/>
      <c r="C332" s="17"/>
      <c r="D332" s="102"/>
      <c r="E332" s="48"/>
      <c r="F332" s="49"/>
      <c r="G332" s="49"/>
      <c r="H332" s="49"/>
      <c r="I332" s="49"/>
      <c r="J332" s="49"/>
      <c r="K332" s="24"/>
      <c r="L332" s="103"/>
    </row>
    <row r="333" spans="1:12" ht="22.5" customHeight="1">
      <c r="A333" s="50"/>
      <c r="B333" s="102"/>
      <c r="C333" s="17"/>
      <c r="D333" s="102"/>
      <c r="E333" s="48"/>
      <c r="F333" s="49"/>
      <c r="G333" s="49"/>
      <c r="H333" s="49"/>
      <c r="I333" s="49"/>
      <c r="J333" s="49"/>
      <c r="K333" s="24"/>
      <c r="L333" s="103"/>
    </row>
    <row r="334" spans="1:12" ht="22.5" customHeight="1">
      <c r="A334" s="50"/>
      <c r="B334" s="102"/>
      <c r="C334" s="17"/>
      <c r="D334" s="102"/>
      <c r="E334" s="48"/>
      <c r="F334" s="49"/>
      <c r="G334" s="49"/>
      <c r="H334" s="49"/>
      <c r="I334" s="49"/>
      <c r="J334" s="49"/>
      <c r="K334" s="24"/>
      <c r="L334" s="103"/>
    </row>
    <row r="335" spans="1:12" ht="22.5" customHeight="1">
      <c r="A335" s="50"/>
      <c r="B335" s="102"/>
      <c r="C335" s="17"/>
      <c r="D335" s="102"/>
      <c r="E335" s="48"/>
      <c r="F335" s="49"/>
      <c r="G335" s="49"/>
      <c r="H335" s="49"/>
      <c r="I335" s="49"/>
      <c r="J335" s="49"/>
      <c r="K335" s="24"/>
      <c r="L335" s="103"/>
    </row>
    <row r="336" spans="1:12" ht="22.5" customHeight="1">
      <c r="A336" s="50"/>
      <c r="B336" s="102"/>
      <c r="C336" s="17"/>
      <c r="D336" s="102"/>
      <c r="E336" s="48"/>
      <c r="F336" s="49"/>
      <c r="G336" s="49"/>
      <c r="H336" s="49"/>
      <c r="I336" s="49"/>
      <c r="J336" s="49"/>
      <c r="K336" s="24"/>
      <c r="L336" s="103"/>
    </row>
    <row r="337" spans="1:12" ht="22.5" customHeight="1">
      <c r="A337" s="50"/>
      <c r="B337" s="102"/>
      <c r="C337" s="17"/>
      <c r="D337" s="102"/>
      <c r="E337" s="48"/>
      <c r="F337" s="49"/>
      <c r="G337" s="49"/>
      <c r="H337" s="49"/>
      <c r="I337" s="49"/>
      <c r="J337" s="49"/>
      <c r="K337" s="24"/>
      <c r="L337" s="103"/>
    </row>
    <row r="338" spans="1:12" ht="22.5" customHeight="1">
      <c r="A338" s="50"/>
      <c r="B338" s="102"/>
      <c r="C338" s="17"/>
      <c r="D338" s="102"/>
      <c r="E338" s="48"/>
      <c r="F338" s="49"/>
      <c r="G338" s="49"/>
      <c r="H338" s="49"/>
      <c r="I338" s="49"/>
      <c r="J338" s="49"/>
      <c r="K338" s="24"/>
      <c r="L338" s="103"/>
    </row>
    <row r="339" spans="1:12" ht="22.5" customHeight="1">
      <c r="A339" s="50"/>
      <c r="B339" s="102"/>
      <c r="C339" s="17"/>
      <c r="D339" s="102"/>
      <c r="E339" s="48"/>
      <c r="F339" s="49"/>
      <c r="G339" s="49"/>
      <c r="H339" s="49"/>
      <c r="I339" s="49"/>
      <c r="J339" s="49"/>
      <c r="K339" s="24"/>
      <c r="L339" s="103"/>
    </row>
    <row r="340" spans="1:12" ht="22.5" customHeight="1">
      <c r="A340" s="50"/>
      <c r="B340" s="102"/>
      <c r="C340" s="17"/>
      <c r="D340" s="102"/>
      <c r="E340" s="48"/>
      <c r="F340" s="49"/>
      <c r="G340" s="49"/>
      <c r="H340" s="49"/>
      <c r="I340" s="49"/>
      <c r="J340" s="49"/>
      <c r="K340" s="24"/>
      <c r="L340" s="103"/>
    </row>
    <row r="341" spans="1:12" ht="22.5" customHeight="1">
      <c r="A341" s="50"/>
      <c r="B341" s="102"/>
      <c r="C341" s="17"/>
      <c r="D341" s="102"/>
      <c r="E341" s="48"/>
      <c r="F341" s="49"/>
      <c r="G341" s="49"/>
      <c r="H341" s="49"/>
      <c r="I341" s="49"/>
      <c r="J341" s="49"/>
      <c r="K341" s="24"/>
      <c r="L341" s="103"/>
    </row>
    <row r="342" spans="1:12" ht="22.5" customHeight="1">
      <c r="A342" s="50"/>
      <c r="B342" s="102"/>
      <c r="C342" s="17"/>
      <c r="D342" s="102"/>
      <c r="E342" s="48"/>
      <c r="F342" s="49"/>
      <c r="G342" s="49"/>
      <c r="H342" s="49"/>
      <c r="I342" s="49"/>
      <c r="J342" s="49"/>
      <c r="K342" s="24"/>
      <c r="L342" s="103"/>
    </row>
    <row r="343" spans="1:12" ht="22.5" customHeight="1">
      <c r="A343" s="50"/>
      <c r="B343" s="102"/>
      <c r="C343" s="17"/>
      <c r="D343" s="102"/>
      <c r="E343" s="48"/>
      <c r="F343" s="49"/>
      <c r="G343" s="49"/>
      <c r="H343" s="49"/>
      <c r="I343" s="49"/>
      <c r="J343" s="49"/>
      <c r="K343" s="24"/>
      <c r="L343" s="103"/>
    </row>
    <row r="344" spans="1:12" ht="22.5" customHeight="1">
      <c r="A344" s="50"/>
      <c r="B344" s="102"/>
      <c r="C344" s="17"/>
      <c r="D344" s="102"/>
      <c r="E344" s="48"/>
      <c r="F344" s="49"/>
      <c r="G344" s="49"/>
      <c r="H344" s="49"/>
      <c r="I344" s="49"/>
      <c r="J344" s="49"/>
      <c r="K344" s="24"/>
      <c r="L344" s="103"/>
    </row>
    <row r="345" spans="1:12" ht="22.5" customHeight="1">
      <c r="A345" s="50"/>
      <c r="B345" s="102"/>
      <c r="C345" s="17"/>
      <c r="D345" s="102"/>
      <c r="E345" s="48"/>
      <c r="F345" s="49"/>
      <c r="G345" s="49"/>
      <c r="H345" s="49"/>
      <c r="I345" s="49"/>
      <c r="J345" s="49"/>
      <c r="K345" s="24"/>
      <c r="L345" s="103"/>
    </row>
    <row r="346" spans="1:12" ht="22.5" customHeight="1">
      <c r="A346" s="50"/>
      <c r="B346" s="102"/>
      <c r="C346" s="17"/>
      <c r="D346" s="102"/>
      <c r="E346" s="48"/>
      <c r="F346" s="49"/>
      <c r="G346" s="49"/>
      <c r="H346" s="49"/>
      <c r="I346" s="49"/>
      <c r="J346" s="49"/>
      <c r="K346" s="24"/>
      <c r="L346" s="103"/>
    </row>
    <row r="347" spans="1:12" ht="22.5" customHeight="1">
      <c r="A347" s="50"/>
      <c r="B347" s="102"/>
      <c r="C347" s="17"/>
      <c r="D347" s="102"/>
      <c r="E347" s="48"/>
      <c r="F347" s="49"/>
      <c r="G347" s="49"/>
      <c r="H347" s="49"/>
      <c r="I347" s="49"/>
      <c r="J347" s="49"/>
      <c r="K347" s="24"/>
      <c r="L347" s="103"/>
    </row>
    <row r="348" spans="1:12" ht="22.5" customHeight="1">
      <c r="A348" s="50"/>
      <c r="B348" s="102"/>
      <c r="C348" s="17"/>
      <c r="D348" s="102"/>
      <c r="E348" s="48"/>
      <c r="F348" s="49"/>
      <c r="G348" s="49"/>
      <c r="H348" s="49"/>
      <c r="I348" s="49"/>
      <c r="J348" s="49"/>
      <c r="K348" s="24"/>
      <c r="L348" s="103"/>
    </row>
    <row r="349" spans="1:12" ht="22.5" customHeight="1">
      <c r="A349" s="50"/>
      <c r="B349" s="102"/>
      <c r="C349" s="17"/>
      <c r="D349" s="102"/>
      <c r="E349" s="48"/>
      <c r="F349" s="49"/>
      <c r="G349" s="49"/>
      <c r="H349" s="49"/>
      <c r="I349" s="49"/>
      <c r="J349" s="49"/>
      <c r="K349" s="24"/>
      <c r="L349" s="103"/>
    </row>
    <row r="350" spans="1:12" ht="22.5" customHeight="1">
      <c r="A350" s="50"/>
      <c r="B350" s="102"/>
      <c r="C350" s="17"/>
      <c r="D350" s="102"/>
      <c r="E350" s="48"/>
      <c r="F350" s="49"/>
      <c r="G350" s="49"/>
      <c r="H350" s="49"/>
      <c r="I350" s="49"/>
      <c r="J350" s="49"/>
      <c r="K350" s="24"/>
      <c r="L350" s="103"/>
    </row>
    <row r="351" spans="1:12" ht="22.5" customHeight="1">
      <c r="A351" s="50"/>
      <c r="B351" s="102"/>
      <c r="C351" s="17"/>
      <c r="D351" s="102"/>
      <c r="E351" s="48"/>
      <c r="F351" s="49"/>
      <c r="G351" s="49"/>
      <c r="H351" s="49"/>
      <c r="I351" s="49"/>
      <c r="J351" s="49"/>
      <c r="K351" s="24"/>
      <c r="L351" s="103"/>
    </row>
    <row r="352" spans="1:12" ht="22.5" customHeight="1">
      <c r="A352" s="50"/>
      <c r="B352" s="102"/>
      <c r="C352" s="17"/>
      <c r="D352" s="102"/>
      <c r="E352" s="48"/>
      <c r="F352" s="49"/>
      <c r="G352" s="49"/>
      <c r="H352" s="49"/>
      <c r="I352" s="49"/>
      <c r="J352" s="49"/>
      <c r="K352" s="24"/>
      <c r="L352" s="103"/>
    </row>
    <row r="353" spans="1:12" ht="22.5" customHeight="1">
      <c r="A353" s="50"/>
      <c r="B353" s="102"/>
      <c r="C353" s="17"/>
      <c r="D353" s="102"/>
      <c r="E353" s="48"/>
      <c r="F353" s="49"/>
      <c r="G353" s="49"/>
      <c r="H353" s="49"/>
      <c r="I353" s="49"/>
      <c r="J353" s="49"/>
      <c r="K353" s="24"/>
      <c r="L353" s="103"/>
    </row>
    <row r="354" spans="1:12" ht="22.5" customHeight="1">
      <c r="A354" s="50"/>
      <c r="B354" s="102"/>
      <c r="C354" s="17"/>
      <c r="D354" s="102"/>
      <c r="E354" s="48"/>
      <c r="F354" s="49"/>
      <c r="G354" s="49"/>
      <c r="H354" s="49"/>
      <c r="I354" s="49"/>
      <c r="J354" s="49"/>
      <c r="K354" s="24"/>
      <c r="L354" s="103"/>
    </row>
    <row r="355" spans="1:12" ht="22.5" customHeight="1">
      <c r="A355" s="50"/>
      <c r="B355" s="102"/>
      <c r="C355" s="17"/>
      <c r="D355" s="102"/>
      <c r="E355" s="48"/>
      <c r="F355" s="49"/>
      <c r="G355" s="49"/>
      <c r="H355" s="49"/>
      <c r="I355" s="49"/>
      <c r="J355" s="49"/>
      <c r="K355" s="24"/>
      <c r="L355" s="103"/>
    </row>
    <row r="356" spans="1:12" ht="22.5" customHeight="1">
      <c r="A356" s="50"/>
      <c r="B356" s="102"/>
      <c r="C356" s="17"/>
      <c r="D356" s="102"/>
      <c r="E356" s="48"/>
      <c r="F356" s="49"/>
      <c r="G356" s="49"/>
      <c r="H356" s="49"/>
      <c r="I356" s="49"/>
      <c r="J356" s="49"/>
      <c r="K356" s="24"/>
      <c r="L356" s="103"/>
    </row>
    <row r="357" spans="1:12" ht="22.5" customHeight="1">
      <c r="A357" s="50"/>
      <c r="B357" s="102"/>
      <c r="C357" s="17"/>
      <c r="D357" s="102"/>
      <c r="E357" s="48"/>
      <c r="F357" s="49"/>
      <c r="G357" s="49"/>
      <c r="H357" s="49"/>
      <c r="I357" s="49"/>
      <c r="J357" s="49"/>
      <c r="K357" s="24"/>
      <c r="L357" s="103"/>
    </row>
    <row r="358" spans="1:12" ht="22.5" customHeight="1">
      <c r="A358" s="50"/>
      <c r="B358" s="102"/>
      <c r="C358" s="17"/>
      <c r="D358" s="102"/>
      <c r="E358" s="48"/>
      <c r="F358" s="49"/>
      <c r="G358" s="49"/>
      <c r="H358" s="49"/>
      <c r="I358" s="49"/>
      <c r="J358" s="49"/>
      <c r="K358" s="24"/>
      <c r="L358" s="103"/>
    </row>
    <row r="359" spans="1:12" ht="22.5" customHeight="1">
      <c r="A359" s="50"/>
      <c r="B359" s="102"/>
      <c r="C359" s="17"/>
      <c r="D359" s="102"/>
      <c r="E359" s="48"/>
      <c r="F359" s="49"/>
      <c r="G359" s="49"/>
      <c r="H359" s="49"/>
      <c r="I359" s="49"/>
      <c r="J359" s="49"/>
      <c r="K359" s="24"/>
      <c r="L359" s="103"/>
    </row>
    <row r="360" spans="1:12" ht="22.5" customHeight="1">
      <c r="A360" s="50"/>
      <c r="B360" s="102"/>
      <c r="C360" s="17"/>
      <c r="D360" s="102"/>
      <c r="E360" s="48"/>
      <c r="F360" s="49"/>
      <c r="G360" s="49"/>
      <c r="H360" s="49"/>
      <c r="I360" s="49"/>
      <c r="J360" s="49"/>
      <c r="K360" s="24"/>
      <c r="L360" s="103"/>
    </row>
    <row r="361" spans="1:12" ht="22.5" customHeight="1">
      <c r="A361" s="50"/>
      <c r="B361" s="102"/>
      <c r="C361" s="17"/>
      <c r="D361" s="102"/>
      <c r="E361" s="48"/>
      <c r="F361" s="49"/>
      <c r="G361" s="49"/>
      <c r="H361" s="49"/>
      <c r="I361" s="49"/>
      <c r="J361" s="49"/>
      <c r="K361" s="24"/>
      <c r="L361" s="103"/>
    </row>
    <row r="362" spans="1:12" ht="22.5" customHeight="1">
      <c r="A362" s="50"/>
      <c r="B362" s="102"/>
      <c r="C362" s="17"/>
      <c r="D362" s="102"/>
      <c r="E362" s="48"/>
      <c r="F362" s="49"/>
      <c r="G362" s="49"/>
      <c r="H362" s="49"/>
      <c r="I362" s="49"/>
      <c r="J362" s="49"/>
      <c r="K362" s="24"/>
      <c r="L362" s="103"/>
    </row>
    <row r="363" spans="1:12" ht="22.5" customHeight="1">
      <c r="A363" s="50"/>
      <c r="B363" s="102"/>
      <c r="C363" s="17"/>
      <c r="D363" s="102"/>
      <c r="E363" s="48"/>
      <c r="F363" s="49"/>
      <c r="G363" s="49"/>
      <c r="H363" s="49"/>
      <c r="I363" s="49"/>
      <c r="J363" s="49"/>
      <c r="K363" s="24"/>
      <c r="L363" s="103"/>
    </row>
    <row r="364" spans="1:12" ht="22.5" customHeight="1">
      <c r="A364" s="50"/>
      <c r="B364" s="102"/>
      <c r="C364" s="17"/>
      <c r="D364" s="102"/>
      <c r="E364" s="48"/>
      <c r="F364" s="49"/>
      <c r="G364" s="49"/>
      <c r="H364" s="49"/>
      <c r="I364" s="49"/>
      <c r="J364" s="49"/>
      <c r="K364" s="24"/>
      <c r="L364" s="103"/>
    </row>
    <row r="365" spans="1:12" ht="22.5" customHeight="1">
      <c r="A365" s="50"/>
      <c r="B365" s="102"/>
      <c r="C365" s="17"/>
      <c r="D365" s="102"/>
      <c r="E365" s="48"/>
      <c r="F365" s="49"/>
      <c r="G365" s="49"/>
      <c r="H365" s="49"/>
      <c r="I365" s="49"/>
      <c r="J365" s="49"/>
      <c r="K365" s="24"/>
      <c r="L365" s="103"/>
    </row>
    <row r="366" spans="1:12" ht="22.5" customHeight="1">
      <c r="A366" s="50"/>
      <c r="B366" s="102"/>
      <c r="C366" s="17"/>
      <c r="D366" s="102"/>
      <c r="E366" s="48"/>
      <c r="F366" s="49"/>
      <c r="G366" s="49"/>
      <c r="H366" s="49"/>
      <c r="I366" s="49"/>
      <c r="J366" s="49"/>
      <c r="K366" s="24"/>
      <c r="L366" s="103"/>
    </row>
    <row r="367" spans="1:12" ht="22.5" customHeight="1">
      <c r="A367" s="50"/>
      <c r="B367" s="102"/>
      <c r="C367" s="17"/>
      <c r="D367" s="102"/>
      <c r="E367" s="48"/>
      <c r="F367" s="49"/>
      <c r="G367" s="49"/>
      <c r="H367" s="49"/>
      <c r="I367" s="49"/>
      <c r="J367" s="49"/>
      <c r="K367" s="24"/>
      <c r="L367" s="103"/>
    </row>
    <row r="368" spans="1:12" ht="22.5" customHeight="1">
      <c r="A368" s="50"/>
      <c r="B368" s="102"/>
      <c r="C368" s="17"/>
      <c r="D368" s="102"/>
      <c r="E368" s="48"/>
      <c r="F368" s="49"/>
      <c r="G368" s="49"/>
      <c r="H368" s="49"/>
      <c r="I368" s="49"/>
      <c r="J368" s="49"/>
      <c r="K368" s="24"/>
      <c r="L368" s="103"/>
    </row>
    <row r="369" spans="1:12" ht="22.5" customHeight="1">
      <c r="A369" s="50"/>
      <c r="B369" s="102"/>
      <c r="C369" s="17"/>
      <c r="D369" s="102"/>
      <c r="E369" s="48"/>
      <c r="F369" s="49"/>
      <c r="G369" s="49"/>
      <c r="H369" s="49"/>
      <c r="I369" s="49"/>
      <c r="J369" s="49"/>
      <c r="K369" s="24"/>
      <c r="L369" s="103"/>
    </row>
    <row r="370" spans="1:12" ht="22.5" customHeight="1">
      <c r="A370" s="50"/>
      <c r="B370" s="102"/>
      <c r="C370" s="17"/>
      <c r="D370" s="102"/>
      <c r="E370" s="48"/>
      <c r="F370" s="49"/>
      <c r="G370" s="49"/>
      <c r="H370" s="49"/>
      <c r="I370" s="49"/>
      <c r="J370" s="49"/>
      <c r="K370" s="24"/>
      <c r="L370" s="103"/>
    </row>
    <row r="371" spans="1:12" ht="22.5" customHeight="1">
      <c r="A371" s="50"/>
      <c r="B371" s="102"/>
      <c r="C371" s="17"/>
      <c r="D371" s="102"/>
      <c r="E371" s="48"/>
      <c r="F371" s="49"/>
      <c r="G371" s="49"/>
      <c r="H371" s="49"/>
      <c r="I371" s="49"/>
      <c r="J371" s="49"/>
      <c r="K371" s="24"/>
      <c r="L371" s="103"/>
    </row>
    <row r="372" spans="1:12" ht="22.5" customHeight="1">
      <c r="A372" s="50"/>
      <c r="B372" s="102"/>
      <c r="C372" s="17"/>
      <c r="D372" s="102"/>
      <c r="E372" s="48"/>
      <c r="F372" s="49"/>
      <c r="G372" s="49"/>
      <c r="H372" s="49"/>
      <c r="I372" s="49"/>
      <c r="J372" s="49"/>
      <c r="K372" s="24"/>
      <c r="L372" s="103"/>
    </row>
    <row r="373" spans="1:12" ht="22.5" customHeight="1">
      <c r="A373" s="50"/>
      <c r="B373" s="102"/>
      <c r="C373" s="17"/>
      <c r="D373" s="102"/>
      <c r="E373" s="48"/>
      <c r="F373" s="49"/>
      <c r="G373" s="49"/>
      <c r="H373" s="49"/>
      <c r="I373" s="49"/>
      <c r="J373" s="49"/>
      <c r="K373" s="24"/>
      <c r="L373" s="103"/>
    </row>
    <row r="374" spans="1:12" ht="22.5" customHeight="1">
      <c r="A374" s="50"/>
      <c r="B374" s="102"/>
      <c r="C374" s="17"/>
      <c r="D374" s="102"/>
      <c r="E374" s="48"/>
      <c r="F374" s="49"/>
      <c r="G374" s="49"/>
      <c r="H374" s="49"/>
      <c r="I374" s="49"/>
      <c r="J374" s="49"/>
      <c r="K374" s="24"/>
      <c r="L374" s="103"/>
    </row>
    <row r="375" spans="1:12" ht="22.5" customHeight="1">
      <c r="A375" s="50"/>
      <c r="B375" s="102"/>
      <c r="C375" s="17"/>
      <c r="D375" s="102"/>
      <c r="E375" s="48"/>
      <c r="F375" s="49"/>
      <c r="G375" s="49"/>
      <c r="H375" s="49"/>
      <c r="I375" s="49"/>
      <c r="J375" s="49"/>
      <c r="K375" s="24"/>
      <c r="L375" s="103"/>
    </row>
    <row r="376" spans="1:12" ht="22.5" customHeight="1">
      <c r="A376" s="50"/>
      <c r="B376" s="102"/>
      <c r="C376" s="17"/>
      <c r="D376" s="102"/>
      <c r="E376" s="48"/>
      <c r="F376" s="49"/>
      <c r="G376" s="49"/>
      <c r="H376" s="49"/>
      <c r="I376" s="49"/>
      <c r="J376" s="49"/>
      <c r="K376" s="24"/>
      <c r="L376" s="103"/>
    </row>
    <row r="377" spans="1:12" ht="22.5" customHeight="1">
      <c r="A377" s="50"/>
      <c r="B377" s="102"/>
      <c r="C377" s="17"/>
      <c r="D377" s="102"/>
      <c r="E377" s="48"/>
      <c r="F377" s="49"/>
      <c r="G377" s="49"/>
      <c r="H377" s="49"/>
      <c r="I377" s="49"/>
      <c r="J377" s="49"/>
      <c r="K377" s="24"/>
      <c r="L377" s="103"/>
    </row>
    <row r="378" spans="1:12" ht="22.5" customHeight="1">
      <c r="A378" s="50"/>
      <c r="B378" s="102"/>
      <c r="C378" s="17"/>
      <c r="D378" s="102"/>
      <c r="E378" s="48"/>
      <c r="F378" s="49"/>
      <c r="G378" s="49"/>
      <c r="H378" s="49"/>
      <c r="I378" s="49"/>
      <c r="J378" s="49"/>
      <c r="K378" s="24"/>
      <c r="L378" s="103"/>
    </row>
    <row r="379" spans="1:12" ht="22.5" customHeight="1">
      <c r="A379" s="50"/>
      <c r="B379" s="102"/>
      <c r="C379" s="17"/>
      <c r="D379" s="102"/>
      <c r="E379" s="48"/>
      <c r="F379" s="49"/>
      <c r="G379" s="49"/>
      <c r="H379" s="49"/>
      <c r="I379" s="49"/>
      <c r="J379" s="49"/>
      <c r="K379" s="24"/>
      <c r="L379" s="103"/>
    </row>
    <row r="380" spans="1:12" ht="22.5" customHeight="1">
      <c r="A380" s="50"/>
      <c r="B380" s="102"/>
      <c r="C380" s="17"/>
      <c r="D380" s="102"/>
      <c r="E380" s="48"/>
      <c r="F380" s="49"/>
      <c r="G380" s="49"/>
      <c r="H380" s="49"/>
      <c r="I380" s="49"/>
      <c r="J380" s="49"/>
      <c r="K380" s="24"/>
      <c r="L380" s="103"/>
    </row>
    <row r="381" spans="1:12" ht="22.5" customHeight="1">
      <c r="A381" s="50"/>
      <c r="B381" s="102"/>
      <c r="C381" s="17"/>
      <c r="D381" s="102"/>
      <c r="E381" s="48"/>
      <c r="F381" s="49"/>
      <c r="G381" s="49"/>
      <c r="H381" s="49"/>
      <c r="I381" s="49"/>
      <c r="J381" s="49"/>
      <c r="K381" s="24"/>
      <c r="L381" s="103"/>
    </row>
    <row r="382" spans="1:12" ht="22.5" customHeight="1">
      <c r="A382" s="50"/>
      <c r="B382" s="102"/>
      <c r="C382" s="17"/>
      <c r="D382" s="102"/>
      <c r="E382" s="48"/>
      <c r="F382" s="49"/>
      <c r="G382" s="49"/>
      <c r="H382" s="49"/>
      <c r="I382" s="49"/>
      <c r="J382" s="49"/>
      <c r="K382" s="24"/>
      <c r="L382" s="103"/>
    </row>
    <row r="383" spans="1:12" ht="22.5" customHeight="1">
      <c r="A383" s="50"/>
      <c r="B383" s="102"/>
      <c r="C383" s="17"/>
      <c r="D383" s="102"/>
      <c r="E383" s="48"/>
      <c r="F383" s="49"/>
      <c r="G383" s="49"/>
      <c r="H383" s="49"/>
      <c r="I383" s="49"/>
      <c r="J383" s="49"/>
      <c r="K383" s="24"/>
      <c r="L383" s="103"/>
    </row>
    <row r="384" spans="1:12" ht="22.5" customHeight="1">
      <c r="A384" s="50"/>
      <c r="B384" s="102"/>
      <c r="C384" s="17"/>
      <c r="D384" s="102"/>
      <c r="E384" s="48"/>
      <c r="F384" s="49"/>
      <c r="G384" s="49"/>
      <c r="H384" s="49"/>
      <c r="I384" s="49"/>
      <c r="J384" s="49"/>
      <c r="K384" s="24"/>
      <c r="L384" s="103"/>
    </row>
    <row r="385" spans="1:12" ht="22.5" customHeight="1">
      <c r="A385" s="50"/>
      <c r="B385" s="102"/>
      <c r="C385" s="17"/>
      <c r="D385" s="102"/>
      <c r="E385" s="48"/>
      <c r="F385" s="49"/>
      <c r="G385" s="49"/>
      <c r="H385" s="49"/>
      <c r="I385" s="49"/>
      <c r="J385" s="49"/>
      <c r="K385" s="24"/>
      <c r="L385" s="103"/>
    </row>
    <row r="386" spans="1:12" ht="22.5" customHeight="1">
      <c r="A386" s="50"/>
      <c r="B386" s="102"/>
      <c r="C386" s="17"/>
      <c r="D386" s="102"/>
      <c r="E386" s="48"/>
      <c r="F386" s="49"/>
      <c r="G386" s="49"/>
      <c r="H386" s="49"/>
      <c r="I386" s="49"/>
      <c r="J386" s="49"/>
      <c r="K386" s="24"/>
      <c r="L386" s="103"/>
    </row>
    <row r="387" spans="1:12" ht="22.5" customHeight="1">
      <c r="A387" s="50"/>
      <c r="B387" s="102"/>
      <c r="C387" s="17"/>
      <c r="D387" s="102"/>
      <c r="E387" s="48"/>
      <c r="F387" s="49"/>
      <c r="G387" s="49"/>
      <c r="H387" s="49"/>
      <c r="I387" s="49"/>
      <c r="J387" s="49"/>
      <c r="K387" s="24"/>
      <c r="L387" s="103"/>
    </row>
    <row r="388" spans="1:12" ht="22.5" customHeight="1">
      <c r="A388" s="50"/>
      <c r="B388" s="102"/>
      <c r="C388" s="17"/>
      <c r="D388" s="102"/>
      <c r="E388" s="48"/>
      <c r="F388" s="49"/>
      <c r="G388" s="49"/>
      <c r="H388" s="49"/>
      <c r="I388" s="49"/>
      <c r="J388" s="49"/>
      <c r="K388" s="24"/>
      <c r="L388" s="103"/>
    </row>
    <row r="389" spans="1:12" ht="22.5" customHeight="1">
      <c r="A389" s="50"/>
      <c r="B389" s="102"/>
      <c r="C389" s="17"/>
      <c r="D389" s="102"/>
      <c r="E389" s="48"/>
      <c r="F389" s="49"/>
      <c r="G389" s="49"/>
      <c r="H389" s="49"/>
      <c r="I389" s="49"/>
      <c r="J389" s="49"/>
      <c r="K389" s="24"/>
      <c r="L389" s="103"/>
    </row>
    <row r="390" spans="1:12" ht="22.5" customHeight="1">
      <c r="A390" s="50"/>
      <c r="B390" s="102"/>
      <c r="C390" s="17"/>
      <c r="D390" s="102"/>
      <c r="E390" s="48"/>
      <c r="F390" s="49"/>
      <c r="G390" s="49"/>
      <c r="H390" s="49"/>
      <c r="I390" s="49"/>
      <c r="J390" s="49"/>
      <c r="K390" s="24"/>
      <c r="L390" s="103"/>
    </row>
    <row r="391" spans="1:12" ht="22.5" customHeight="1">
      <c r="A391" s="50"/>
      <c r="B391" s="102"/>
      <c r="C391" s="17"/>
      <c r="D391" s="102"/>
      <c r="E391" s="48"/>
      <c r="F391" s="49"/>
      <c r="G391" s="49"/>
      <c r="H391" s="49"/>
      <c r="I391" s="49"/>
      <c r="J391" s="49"/>
      <c r="K391" s="24"/>
      <c r="L391" s="103"/>
    </row>
    <row r="392" spans="1:12" ht="22.5" customHeight="1">
      <c r="A392" s="50"/>
      <c r="B392" s="102"/>
      <c r="C392" s="17"/>
      <c r="D392" s="102"/>
      <c r="E392" s="48"/>
      <c r="F392" s="49"/>
      <c r="G392" s="49"/>
      <c r="H392" s="49"/>
      <c r="I392" s="49"/>
      <c r="J392" s="49"/>
      <c r="K392" s="24"/>
      <c r="L392" s="103"/>
    </row>
    <row r="393" spans="1:12" ht="22.5" customHeight="1">
      <c r="A393" s="50"/>
      <c r="B393" s="102"/>
      <c r="C393" s="17"/>
      <c r="D393" s="102"/>
      <c r="E393" s="48"/>
      <c r="F393" s="49"/>
      <c r="G393" s="49"/>
      <c r="H393" s="49"/>
      <c r="I393" s="49"/>
      <c r="J393" s="49"/>
      <c r="K393" s="24"/>
      <c r="L393" s="103"/>
    </row>
    <row r="394" spans="1:12" ht="22.5" customHeight="1">
      <c r="A394" s="50"/>
      <c r="B394" s="102"/>
      <c r="C394" s="17"/>
      <c r="D394" s="102"/>
      <c r="E394" s="48"/>
      <c r="F394" s="49"/>
      <c r="G394" s="49"/>
      <c r="H394" s="49"/>
      <c r="I394" s="49"/>
      <c r="J394" s="49"/>
      <c r="K394" s="24"/>
      <c r="L394" s="103"/>
    </row>
    <row r="395" spans="1:12" ht="22.5" customHeight="1">
      <c r="A395" s="50"/>
      <c r="B395" s="102"/>
      <c r="C395" s="17"/>
      <c r="D395" s="102"/>
      <c r="E395" s="48"/>
      <c r="F395" s="49"/>
      <c r="G395" s="49"/>
      <c r="H395" s="49"/>
      <c r="I395" s="49"/>
      <c r="J395" s="49"/>
      <c r="K395" s="24"/>
      <c r="L395" s="103"/>
    </row>
    <row r="396" spans="1:12" ht="22.5" customHeight="1">
      <c r="A396" s="50"/>
      <c r="B396" s="102"/>
      <c r="C396" s="17"/>
      <c r="D396" s="102"/>
      <c r="E396" s="48"/>
      <c r="F396" s="49"/>
      <c r="G396" s="49"/>
      <c r="H396" s="49"/>
      <c r="I396" s="49"/>
      <c r="J396" s="49"/>
      <c r="K396" s="24"/>
      <c r="L396" s="103"/>
    </row>
    <row r="397" spans="1:12" ht="22.5" customHeight="1">
      <c r="A397" s="50"/>
      <c r="B397" s="102"/>
      <c r="C397" s="17"/>
      <c r="D397" s="102"/>
      <c r="E397" s="48"/>
      <c r="F397" s="49"/>
      <c r="G397" s="49"/>
      <c r="H397" s="49"/>
      <c r="I397" s="49"/>
      <c r="J397" s="49"/>
      <c r="K397" s="24"/>
      <c r="L397" s="103"/>
    </row>
    <row r="398" spans="1:12" ht="22.5" customHeight="1">
      <c r="A398" s="50"/>
      <c r="B398" s="102"/>
      <c r="C398" s="17"/>
      <c r="D398" s="102"/>
      <c r="E398" s="48"/>
      <c r="F398" s="49"/>
      <c r="G398" s="49"/>
      <c r="H398" s="49"/>
      <c r="I398" s="49"/>
      <c r="J398" s="49"/>
      <c r="K398" s="24"/>
      <c r="L398" s="103"/>
    </row>
    <row r="399" spans="1:12" ht="22.5" customHeight="1">
      <c r="A399" s="50"/>
      <c r="B399" s="102"/>
      <c r="C399" s="17"/>
      <c r="D399" s="102"/>
      <c r="E399" s="48"/>
      <c r="F399" s="49"/>
      <c r="G399" s="49"/>
      <c r="H399" s="49"/>
      <c r="I399" s="49"/>
      <c r="J399" s="49"/>
      <c r="K399" s="24"/>
      <c r="L399" s="103"/>
    </row>
    <row r="400" spans="1:12" ht="22.5" customHeight="1">
      <c r="A400" s="50"/>
      <c r="B400" s="102"/>
      <c r="C400" s="17"/>
      <c r="D400" s="102"/>
      <c r="E400" s="48"/>
      <c r="F400" s="49"/>
      <c r="G400" s="49"/>
      <c r="H400" s="49"/>
      <c r="I400" s="49"/>
      <c r="J400" s="49"/>
      <c r="K400" s="24"/>
      <c r="L400" s="103"/>
    </row>
    <row r="401" spans="1:12" ht="22.5" customHeight="1">
      <c r="A401" s="50"/>
      <c r="B401" s="102"/>
      <c r="C401" s="17"/>
      <c r="D401" s="102"/>
      <c r="E401" s="48"/>
      <c r="F401" s="49"/>
      <c r="G401" s="49"/>
      <c r="H401" s="49"/>
      <c r="I401" s="49"/>
      <c r="J401" s="49"/>
      <c r="K401" s="24"/>
      <c r="L401" s="103"/>
    </row>
    <row r="402" spans="1:12" ht="22.5" customHeight="1">
      <c r="A402" s="50"/>
      <c r="B402" s="102"/>
      <c r="C402" s="17"/>
      <c r="D402" s="102"/>
      <c r="E402" s="48"/>
      <c r="F402" s="49"/>
      <c r="G402" s="49"/>
      <c r="H402" s="49"/>
      <c r="I402" s="49"/>
      <c r="J402" s="49"/>
      <c r="K402" s="24"/>
      <c r="L402" s="103"/>
    </row>
    <row r="403" spans="1:12" ht="22.5" customHeight="1">
      <c r="A403" s="50"/>
      <c r="B403" s="102"/>
      <c r="C403" s="17"/>
      <c r="D403" s="102"/>
      <c r="E403" s="48"/>
      <c r="F403" s="49"/>
      <c r="G403" s="49"/>
      <c r="H403" s="49"/>
      <c r="I403" s="49"/>
      <c r="J403" s="49"/>
      <c r="K403" s="24"/>
      <c r="L403" s="103"/>
    </row>
    <row r="404" spans="1:12" ht="22.5" customHeight="1">
      <c r="A404" s="50"/>
      <c r="B404" s="102"/>
      <c r="C404" s="17"/>
      <c r="D404" s="102"/>
      <c r="E404" s="48"/>
      <c r="F404" s="49"/>
      <c r="G404" s="49"/>
      <c r="H404" s="49"/>
      <c r="I404" s="49"/>
      <c r="J404" s="49"/>
      <c r="K404" s="24"/>
      <c r="L404" s="103"/>
    </row>
    <row r="405" spans="1:12" ht="22.5" customHeight="1">
      <c r="A405" s="50"/>
      <c r="B405" s="102"/>
      <c r="C405" s="17"/>
      <c r="D405" s="102"/>
      <c r="E405" s="48"/>
      <c r="F405" s="49"/>
      <c r="G405" s="49"/>
      <c r="H405" s="49"/>
      <c r="I405" s="49"/>
      <c r="J405" s="49"/>
      <c r="K405" s="24"/>
      <c r="L405" s="103"/>
    </row>
    <row r="406" spans="1:12" ht="22.5" customHeight="1">
      <c r="A406" s="50"/>
      <c r="B406" s="102"/>
      <c r="C406" s="17"/>
      <c r="D406" s="102"/>
      <c r="E406" s="48"/>
      <c r="F406" s="49"/>
      <c r="G406" s="49"/>
      <c r="H406" s="49"/>
      <c r="I406" s="49"/>
      <c r="J406" s="49"/>
      <c r="K406" s="24"/>
      <c r="L406" s="103"/>
    </row>
    <row r="407" spans="1:12" ht="22.5" customHeight="1">
      <c r="A407" s="50"/>
      <c r="B407" s="102"/>
      <c r="C407" s="17"/>
      <c r="D407" s="102"/>
      <c r="E407" s="48"/>
      <c r="F407" s="49"/>
      <c r="G407" s="49"/>
      <c r="H407" s="49"/>
      <c r="I407" s="49"/>
      <c r="J407" s="49"/>
      <c r="K407" s="24"/>
      <c r="L407" s="103"/>
    </row>
    <row r="408" spans="1:12" ht="22.5" customHeight="1">
      <c r="A408" s="50"/>
      <c r="B408" s="102"/>
      <c r="C408" s="17"/>
      <c r="D408" s="102"/>
      <c r="E408" s="48"/>
      <c r="F408" s="49"/>
      <c r="G408" s="49"/>
      <c r="H408" s="49"/>
      <c r="I408" s="49"/>
      <c r="J408" s="49"/>
      <c r="K408" s="24"/>
      <c r="L408" s="103"/>
    </row>
    <row r="409" spans="1:12" ht="22.5" customHeight="1">
      <c r="A409" s="50"/>
      <c r="B409" s="102"/>
      <c r="C409" s="17"/>
      <c r="D409" s="102"/>
      <c r="E409" s="48"/>
      <c r="F409" s="49"/>
      <c r="G409" s="49"/>
      <c r="H409" s="49"/>
      <c r="I409" s="49"/>
      <c r="J409" s="49"/>
      <c r="K409" s="24"/>
      <c r="L409" s="103"/>
    </row>
    <row r="410" spans="1:12" ht="22.5" customHeight="1">
      <c r="A410" s="50"/>
      <c r="B410" s="102"/>
      <c r="C410" s="17"/>
      <c r="D410" s="102"/>
      <c r="E410" s="48"/>
      <c r="F410" s="49"/>
      <c r="G410" s="49"/>
      <c r="H410" s="49"/>
      <c r="I410" s="49"/>
      <c r="J410" s="49"/>
      <c r="K410" s="24"/>
      <c r="L410" s="103"/>
    </row>
    <row r="411" spans="1:12" ht="22.5" customHeight="1">
      <c r="A411" s="50"/>
      <c r="B411" s="102"/>
      <c r="C411" s="17"/>
      <c r="D411" s="102"/>
      <c r="E411" s="48"/>
      <c r="F411" s="49"/>
      <c r="G411" s="49"/>
      <c r="H411" s="49"/>
      <c r="I411" s="49"/>
      <c r="J411" s="49"/>
      <c r="K411" s="24"/>
      <c r="L411" s="103"/>
    </row>
    <row r="412" spans="1:12" ht="22.5" customHeight="1">
      <c r="A412" s="50"/>
      <c r="B412" s="102"/>
      <c r="C412" s="17"/>
      <c r="D412" s="102"/>
      <c r="E412" s="48"/>
      <c r="F412" s="49"/>
      <c r="G412" s="49"/>
      <c r="H412" s="49"/>
      <c r="I412" s="49"/>
      <c r="J412" s="49"/>
      <c r="K412" s="24"/>
      <c r="L412" s="103"/>
    </row>
    <row r="413" spans="1:12" ht="22.5" customHeight="1">
      <c r="A413" s="50"/>
      <c r="B413" s="102"/>
      <c r="C413" s="17"/>
      <c r="D413" s="102"/>
      <c r="E413" s="48"/>
      <c r="F413" s="49"/>
      <c r="G413" s="49"/>
      <c r="H413" s="49"/>
      <c r="I413" s="49"/>
      <c r="J413" s="49"/>
      <c r="K413" s="24"/>
      <c r="L413" s="103"/>
    </row>
    <row r="414" spans="1:12" ht="22.5" customHeight="1">
      <c r="A414" s="50"/>
      <c r="B414" s="102"/>
      <c r="C414" s="17"/>
      <c r="D414" s="102"/>
      <c r="E414" s="48"/>
      <c r="F414" s="49"/>
      <c r="G414" s="49"/>
      <c r="H414" s="49"/>
      <c r="I414" s="49"/>
      <c r="J414" s="49"/>
      <c r="K414" s="24"/>
      <c r="L414" s="103"/>
    </row>
    <row r="415" spans="1:12" ht="22.5" customHeight="1">
      <c r="A415" s="50"/>
      <c r="B415" s="102"/>
      <c r="C415" s="17"/>
      <c r="D415" s="102"/>
      <c r="E415" s="48"/>
      <c r="F415" s="49"/>
      <c r="G415" s="49"/>
      <c r="H415" s="49"/>
      <c r="I415" s="49"/>
      <c r="J415" s="49"/>
      <c r="K415" s="24"/>
      <c r="L415" s="103"/>
    </row>
    <row r="416" spans="1:12" ht="22.5" customHeight="1">
      <c r="A416" s="50"/>
      <c r="B416" s="102"/>
      <c r="C416" s="17"/>
      <c r="D416" s="102"/>
      <c r="E416" s="48"/>
      <c r="F416" s="49"/>
      <c r="G416" s="49"/>
      <c r="H416" s="49"/>
      <c r="I416" s="49"/>
      <c r="J416" s="49"/>
      <c r="K416" s="24"/>
      <c r="L416" s="103"/>
    </row>
    <row r="417" spans="1:12" ht="22.5" customHeight="1">
      <c r="A417" s="50"/>
      <c r="B417" s="102"/>
      <c r="C417" s="17"/>
      <c r="D417" s="102"/>
      <c r="E417" s="48"/>
      <c r="F417" s="49"/>
      <c r="G417" s="49"/>
      <c r="H417" s="49"/>
      <c r="I417" s="49"/>
      <c r="J417" s="49"/>
      <c r="K417" s="24"/>
      <c r="L417" s="103"/>
    </row>
    <row r="418" spans="1:12" ht="22.5" customHeight="1">
      <c r="A418" s="50"/>
      <c r="B418" s="102"/>
      <c r="C418" s="17"/>
      <c r="D418" s="102"/>
      <c r="E418" s="48"/>
      <c r="F418" s="49"/>
      <c r="G418" s="49"/>
      <c r="H418" s="49"/>
      <c r="I418" s="49"/>
      <c r="J418" s="49"/>
      <c r="K418" s="24"/>
      <c r="L418" s="103"/>
    </row>
    <row r="419" spans="1:12" ht="22.5" customHeight="1">
      <c r="A419" s="50"/>
      <c r="B419" s="102"/>
      <c r="C419" s="17"/>
      <c r="D419" s="102"/>
      <c r="E419" s="48"/>
      <c r="F419" s="49"/>
      <c r="G419" s="49"/>
      <c r="H419" s="49"/>
      <c r="I419" s="49"/>
      <c r="J419" s="49"/>
      <c r="K419" s="24"/>
      <c r="L419" s="103"/>
    </row>
    <row r="420" spans="1:12" ht="22.5" customHeight="1">
      <c r="A420" s="50"/>
      <c r="B420" s="102"/>
      <c r="C420" s="17"/>
      <c r="D420" s="102"/>
      <c r="E420" s="48"/>
      <c r="F420" s="49"/>
      <c r="G420" s="49"/>
      <c r="H420" s="49"/>
      <c r="I420" s="49"/>
      <c r="J420" s="49"/>
      <c r="K420" s="24"/>
      <c r="L420" s="103"/>
    </row>
    <row r="421" spans="1:12" ht="22.5" customHeight="1">
      <c r="A421" s="50"/>
      <c r="B421" s="102"/>
      <c r="C421" s="17"/>
      <c r="D421" s="102"/>
      <c r="E421" s="48"/>
      <c r="F421" s="49"/>
      <c r="G421" s="49"/>
      <c r="H421" s="49"/>
      <c r="I421" s="49"/>
      <c r="J421" s="49"/>
      <c r="K421" s="24"/>
      <c r="L421" s="103"/>
    </row>
    <row r="422" spans="1:12" ht="22.5" customHeight="1">
      <c r="A422" s="50"/>
      <c r="B422" s="102"/>
      <c r="C422" s="17"/>
      <c r="D422" s="102"/>
      <c r="E422" s="48"/>
      <c r="F422" s="49"/>
      <c r="G422" s="49"/>
      <c r="H422" s="49"/>
      <c r="I422" s="49"/>
      <c r="J422" s="49"/>
      <c r="K422" s="24"/>
      <c r="L422" s="103"/>
    </row>
    <row r="423" spans="1:12" ht="22.5" customHeight="1">
      <c r="A423" s="50"/>
      <c r="B423" s="102"/>
      <c r="C423" s="17"/>
      <c r="D423" s="102"/>
      <c r="E423" s="48"/>
      <c r="F423" s="49"/>
      <c r="G423" s="49"/>
      <c r="H423" s="49"/>
      <c r="I423" s="49"/>
      <c r="J423" s="49"/>
      <c r="K423" s="24"/>
      <c r="L423" s="103"/>
    </row>
    <row r="424" spans="1:12" ht="22.5" customHeight="1">
      <c r="A424" s="50"/>
      <c r="B424" s="102"/>
      <c r="C424" s="17"/>
      <c r="D424" s="102"/>
      <c r="E424" s="48"/>
      <c r="F424" s="49"/>
      <c r="G424" s="49"/>
      <c r="H424" s="49"/>
      <c r="I424" s="49"/>
      <c r="J424" s="49"/>
      <c r="K424" s="24"/>
      <c r="L424" s="103"/>
    </row>
    <row r="425" spans="1:12" ht="22.5" customHeight="1">
      <c r="A425" s="50"/>
      <c r="B425" s="102"/>
      <c r="C425" s="17"/>
      <c r="D425" s="102"/>
      <c r="E425" s="48"/>
      <c r="F425" s="49"/>
      <c r="G425" s="49"/>
      <c r="H425" s="49"/>
      <c r="I425" s="49"/>
      <c r="J425" s="49"/>
      <c r="K425" s="24"/>
      <c r="L425" s="103"/>
    </row>
    <row r="426" spans="1:12" ht="22.5" customHeight="1">
      <c r="A426" s="50"/>
      <c r="B426" s="102"/>
      <c r="C426" s="17"/>
      <c r="D426" s="102"/>
      <c r="E426" s="48"/>
      <c r="F426" s="49"/>
      <c r="G426" s="49"/>
      <c r="H426" s="49"/>
      <c r="I426" s="49"/>
      <c r="J426" s="49"/>
      <c r="K426" s="24"/>
      <c r="L426" s="103"/>
    </row>
    <row r="427" spans="1:12" ht="22.5" customHeight="1">
      <c r="A427" s="50"/>
      <c r="B427" s="102"/>
      <c r="C427" s="17"/>
      <c r="D427" s="102"/>
      <c r="E427" s="48"/>
      <c r="F427" s="49"/>
      <c r="G427" s="49"/>
      <c r="H427" s="49"/>
      <c r="I427" s="49"/>
      <c r="J427" s="49"/>
      <c r="K427" s="24"/>
      <c r="L427" s="103"/>
    </row>
    <row r="428" spans="1:12" ht="22.5" customHeight="1">
      <c r="A428" s="50"/>
      <c r="B428" s="102"/>
      <c r="C428" s="17"/>
      <c r="D428" s="102"/>
      <c r="E428" s="48"/>
      <c r="F428" s="49"/>
      <c r="G428" s="49"/>
      <c r="H428" s="49"/>
      <c r="I428" s="49"/>
      <c r="J428" s="49"/>
      <c r="K428" s="24"/>
      <c r="L428" s="103"/>
    </row>
    <row r="429" spans="1:12" ht="22.5" customHeight="1">
      <c r="A429" s="50"/>
      <c r="B429" s="102"/>
      <c r="C429" s="17"/>
      <c r="D429" s="102"/>
      <c r="E429" s="48"/>
      <c r="F429" s="49"/>
      <c r="G429" s="49"/>
      <c r="H429" s="49"/>
      <c r="I429" s="49"/>
      <c r="J429" s="49"/>
      <c r="K429" s="24"/>
      <c r="L429" s="103"/>
    </row>
    <row r="430" spans="1:12" ht="22.5" customHeight="1">
      <c r="A430" s="50"/>
      <c r="B430" s="102"/>
      <c r="C430" s="17"/>
      <c r="D430" s="102"/>
      <c r="E430" s="48"/>
      <c r="F430" s="49"/>
      <c r="G430" s="49"/>
      <c r="H430" s="49"/>
      <c r="I430" s="49"/>
      <c r="J430" s="49"/>
      <c r="K430" s="24"/>
      <c r="L430" s="103"/>
    </row>
    <row r="431" spans="1:12" ht="22.5" customHeight="1">
      <c r="A431" s="50"/>
      <c r="B431" s="102"/>
      <c r="C431" s="17"/>
      <c r="D431" s="102"/>
      <c r="E431" s="48"/>
      <c r="F431" s="49"/>
      <c r="G431" s="49"/>
      <c r="H431" s="49"/>
      <c r="I431" s="49"/>
      <c r="J431" s="49"/>
      <c r="K431" s="24"/>
      <c r="L431" s="103"/>
    </row>
    <row r="432" spans="1:12" ht="22.5" customHeight="1">
      <c r="A432" s="50"/>
      <c r="B432" s="102"/>
      <c r="C432" s="17"/>
      <c r="D432" s="102"/>
      <c r="E432" s="48"/>
      <c r="F432" s="49"/>
      <c r="G432" s="49"/>
      <c r="H432" s="49"/>
      <c r="I432" s="49"/>
      <c r="J432" s="49"/>
      <c r="K432" s="24"/>
      <c r="L432" s="103"/>
    </row>
    <row r="433" spans="1:12" ht="22.5" customHeight="1">
      <c r="A433" s="50"/>
      <c r="B433" s="102"/>
      <c r="C433" s="17"/>
      <c r="D433" s="102"/>
      <c r="E433" s="48"/>
      <c r="F433" s="49"/>
      <c r="G433" s="49"/>
      <c r="H433" s="49"/>
      <c r="I433" s="49"/>
      <c r="J433" s="49"/>
      <c r="K433" s="24"/>
      <c r="L433" s="103"/>
    </row>
    <row r="434" spans="1:12" ht="22.5" customHeight="1">
      <c r="A434" s="50"/>
      <c r="B434" s="102"/>
      <c r="C434" s="17"/>
      <c r="D434" s="102"/>
      <c r="E434" s="48"/>
      <c r="F434" s="49"/>
      <c r="G434" s="49"/>
      <c r="H434" s="49"/>
      <c r="I434" s="49"/>
      <c r="J434" s="49"/>
      <c r="K434" s="24"/>
      <c r="L434" s="103"/>
    </row>
    <row r="435" spans="1:12" ht="22.5" customHeight="1">
      <c r="A435" s="50"/>
      <c r="B435" s="102"/>
      <c r="C435" s="17"/>
      <c r="D435" s="102"/>
      <c r="E435" s="48"/>
      <c r="F435" s="49"/>
      <c r="G435" s="49"/>
      <c r="H435" s="49"/>
      <c r="I435" s="49"/>
      <c r="J435" s="49"/>
      <c r="K435" s="24"/>
      <c r="L435" s="103"/>
    </row>
    <row r="436" spans="1:12" ht="22.5" customHeight="1">
      <c r="A436" s="50"/>
      <c r="B436" s="102"/>
      <c r="C436" s="17"/>
      <c r="D436" s="102"/>
      <c r="E436" s="48"/>
      <c r="F436" s="49"/>
      <c r="G436" s="49"/>
      <c r="H436" s="49"/>
      <c r="I436" s="49"/>
      <c r="J436" s="49"/>
      <c r="K436" s="24"/>
      <c r="L436" s="103"/>
    </row>
    <row r="437" spans="1:12" ht="22.5" customHeight="1">
      <c r="A437" s="50"/>
      <c r="B437" s="102"/>
      <c r="C437" s="17"/>
      <c r="D437" s="102"/>
      <c r="E437" s="48"/>
      <c r="F437" s="49"/>
      <c r="G437" s="49"/>
      <c r="H437" s="49"/>
      <c r="I437" s="49"/>
      <c r="J437" s="49"/>
      <c r="K437" s="24"/>
      <c r="L437" s="103"/>
    </row>
    <row r="438" spans="1:12" ht="22.5" customHeight="1">
      <c r="A438" s="50"/>
      <c r="B438" s="102"/>
      <c r="C438" s="17"/>
      <c r="D438" s="102"/>
      <c r="E438" s="48"/>
      <c r="F438" s="49"/>
      <c r="G438" s="49"/>
      <c r="H438" s="49"/>
      <c r="I438" s="49"/>
      <c r="J438" s="49"/>
      <c r="K438" s="24"/>
      <c r="L438" s="103"/>
    </row>
    <row r="439" spans="1:12" ht="22.5" customHeight="1">
      <c r="A439" s="50"/>
      <c r="B439" s="102"/>
      <c r="C439" s="17"/>
      <c r="D439" s="102"/>
      <c r="E439" s="48"/>
      <c r="F439" s="49"/>
      <c r="G439" s="49"/>
      <c r="H439" s="49"/>
      <c r="I439" s="49"/>
      <c r="J439" s="49"/>
      <c r="K439" s="24"/>
      <c r="L439" s="103"/>
    </row>
    <row r="440" spans="1:12" ht="22.5" customHeight="1">
      <c r="A440" s="50"/>
      <c r="B440" s="102"/>
      <c r="C440" s="17"/>
      <c r="D440" s="102"/>
      <c r="E440" s="48"/>
      <c r="F440" s="49"/>
      <c r="G440" s="49"/>
      <c r="H440" s="49"/>
      <c r="I440" s="49"/>
      <c r="J440" s="49"/>
      <c r="K440" s="24"/>
      <c r="L440" s="103"/>
    </row>
    <row r="441" spans="1:12" ht="22.5" customHeight="1">
      <c r="A441" s="50"/>
      <c r="B441" s="102"/>
      <c r="C441" s="17"/>
      <c r="D441" s="102"/>
      <c r="E441" s="48"/>
      <c r="F441" s="49"/>
      <c r="G441" s="49"/>
      <c r="H441" s="49"/>
      <c r="I441" s="49"/>
      <c r="J441" s="49"/>
      <c r="K441" s="24"/>
      <c r="L441" s="103"/>
    </row>
    <row r="442" spans="1:12" ht="22.5" customHeight="1">
      <c r="A442" s="50"/>
      <c r="B442" s="102"/>
      <c r="C442" s="17"/>
      <c r="D442" s="102"/>
      <c r="E442" s="48"/>
      <c r="F442" s="49"/>
      <c r="G442" s="49"/>
      <c r="H442" s="49"/>
      <c r="I442" s="49"/>
      <c r="J442" s="49"/>
      <c r="K442" s="24"/>
      <c r="L442" s="103"/>
    </row>
    <row r="443" spans="1:12" ht="22.5" customHeight="1">
      <c r="A443" s="50"/>
      <c r="B443" s="102"/>
      <c r="C443" s="17"/>
      <c r="D443" s="102"/>
      <c r="E443" s="48"/>
      <c r="F443" s="49"/>
      <c r="G443" s="49"/>
      <c r="H443" s="49"/>
      <c r="I443" s="49"/>
      <c r="J443" s="49"/>
      <c r="K443" s="24"/>
      <c r="L443" s="103"/>
    </row>
    <row r="444" spans="1:12" ht="22.5" customHeight="1">
      <c r="A444" s="50"/>
      <c r="B444" s="102"/>
      <c r="C444" s="17"/>
      <c r="D444" s="102"/>
      <c r="E444" s="48"/>
      <c r="F444" s="49"/>
      <c r="G444" s="49"/>
      <c r="H444" s="49"/>
      <c r="I444" s="49"/>
      <c r="J444" s="49"/>
      <c r="K444" s="24"/>
      <c r="L444" s="103"/>
    </row>
    <row r="445" spans="1:12" ht="22.5" customHeight="1">
      <c r="A445" s="50"/>
      <c r="B445" s="102"/>
      <c r="C445" s="17"/>
      <c r="D445" s="102"/>
      <c r="E445" s="48"/>
      <c r="F445" s="49"/>
      <c r="G445" s="49"/>
      <c r="H445" s="49"/>
      <c r="I445" s="49"/>
      <c r="J445" s="49"/>
      <c r="K445" s="24"/>
      <c r="L445" s="103"/>
    </row>
    <row r="446" spans="1:12" ht="22.5" customHeight="1">
      <c r="A446" s="50"/>
      <c r="B446" s="102"/>
      <c r="C446" s="17"/>
      <c r="D446" s="102"/>
      <c r="E446" s="48"/>
      <c r="F446" s="49"/>
      <c r="G446" s="49"/>
      <c r="H446" s="49"/>
      <c r="I446" s="49"/>
      <c r="J446" s="49"/>
      <c r="K446" s="24"/>
      <c r="L446" s="103"/>
    </row>
    <row r="447" spans="1:12" ht="22.5" customHeight="1">
      <c r="A447" s="50"/>
      <c r="B447" s="102"/>
      <c r="C447" s="17"/>
      <c r="D447" s="102"/>
      <c r="E447" s="48"/>
      <c r="F447" s="49"/>
      <c r="G447" s="49"/>
      <c r="H447" s="49"/>
      <c r="I447" s="49"/>
      <c r="J447" s="49"/>
      <c r="K447" s="24"/>
      <c r="L447" s="103"/>
    </row>
    <row r="448" spans="1:12" ht="22.5" customHeight="1">
      <c r="A448" s="50"/>
      <c r="B448" s="102"/>
      <c r="C448" s="17"/>
      <c r="D448" s="102"/>
      <c r="E448" s="48"/>
      <c r="F448" s="49"/>
      <c r="G448" s="49"/>
      <c r="H448" s="49"/>
      <c r="I448" s="49"/>
      <c r="J448" s="49"/>
      <c r="K448" s="24"/>
      <c r="L448" s="103"/>
    </row>
    <row r="449" spans="1:12" ht="22.5" customHeight="1">
      <c r="A449" s="50"/>
      <c r="B449" s="102"/>
      <c r="C449" s="17"/>
      <c r="D449" s="102"/>
      <c r="E449" s="48"/>
      <c r="F449" s="49"/>
      <c r="G449" s="49"/>
      <c r="H449" s="49"/>
      <c r="I449" s="49"/>
      <c r="J449" s="49"/>
      <c r="K449" s="24"/>
      <c r="L449" s="103"/>
    </row>
    <row r="450" spans="1:12" ht="22.5" customHeight="1">
      <c r="A450" s="50"/>
      <c r="B450" s="102"/>
      <c r="C450" s="17"/>
      <c r="D450" s="102"/>
      <c r="E450" s="48"/>
      <c r="F450" s="49"/>
      <c r="G450" s="49"/>
      <c r="H450" s="49"/>
      <c r="I450" s="49"/>
      <c r="J450" s="49"/>
      <c r="K450" s="24"/>
      <c r="L450" s="103"/>
    </row>
    <row r="451" spans="1:12" ht="22.5" customHeight="1">
      <c r="A451" s="50"/>
      <c r="B451" s="102"/>
      <c r="C451" s="17"/>
      <c r="D451" s="102"/>
      <c r="E451" s="48"/>
      <c r="F451" s="49"/>
      <c r="G451" s="49"/>
      <c r="H451" s="49"/>
      <c r="I451" s="49"/>
      <c r="J451" s="49"/>
      <c r="K451" s="24"/>
      <c r="L451" s="103"/>
    </row>
    <row r="452" spans="1:12" ht="22.5" customHeight="1">
      <c r="A452" s="50"/>
      <c r="B452" s="102"/>
      <c r="C452" s="17"/>
      <c r="D452" s="102"/>
      <c r="E452" s="48"/>
      <c r="F452" s="49"/>
      <c r="G452" s="49"/>
      <c r="H452" s="49"/>
      <c r="I452" s="49"/>
      <c r="J452" s="49"/>
      <c r="K452" s="24"/>
      <c r="L452" s="103"/>
    </row>
    <row r="453" spans="1:12" ht="22.5" customHeight="1">
      <c r="A453" s="50"/>
      <c r="B453" s="102"/>
      <c r="C453" s="17"/>
      <c r="D453" s="102"/>
      <c r="E453" s="48"/>
      <c r="F453" s="49"/>
      <c r="G453" s="49"/>
      <c r="H453" s="49"/>
      <c r="I453" s="49"/>
      <c r="J453" s="49"/>
      <c r="K453" s="24"/>
      <c r="L453" s="103"/>
    </row>
    <row r="454" spans="1:12" ht="22.5" customHeight="1">
      <c r="A454" s="50"/>
      <c r="B454" s="102"/>
      <c r="C454" s="17"/>
      <c r="D454" s="102"/>
      <c r="E454" s="48"/>
      <c r="F454" s="49"/>
      <c r="G454" s="49"/>
      <c r="H454" s="49"/>
      <c r="I454" s="49"/>
      <c r="J454" s="49"/>
      <c r="K454" s="24"/>
      <c r="L454" s="103"/>
    </row>
    <row r="455" spans="1:12" ht="22.5" customHeight="1">
      <c r="A455" s="50"/>
      <c r="B455" s="102"/>
      <c r="C455" s="17"/>
      <c r="D455" s="102"/>
      <c r="E455" s="48"/>
      <c r="F455" s="49"/>
      <c r="G455" s="49"/>
      <c r="H455" s="49"/>
      <c r="I455" s="49"/>
      <c r="J455" s="49"/>
      <c r="K455" s="24"/>
      <c r="L455" s="103"/>
    </row>
    <row r="456" spans="1:12" ht="22.5" customHeight="1">
      <c r="A456" s="50"/>
      <c r="B456" s="102"/>
      <c r="C456" s="17"/>
      <c r="D456" s="102"/>
      <c r="E456" s="48"/>
      <c r="F456" s="49"/>
      <c r="G456" s="49"/>
      <c r="H456" s="49"/>
      <c r="I456" s="49"/>
      <c r="J456" s="49"/>
      <c r="K456" s="24"/>
      <c r="L456" s="103"/>
    </row>
    <row r="457" spans="1:12" ht="22.5" customHeight="1">
      <c r="A457" s="50"/>
      <c r="B457" s="102"/>
      <c r="C457" s="17"/>
      <c r="D457" s="102"/>
      <c r="E457" s="48"/>
      <c r="F457" s="49"/>
      <c r="G457" s="49"/>
      <c r="H457" s="49"/>
      <c r="I457" s="49"/>
      <c r="J457" s="49"/>
      <c r="K457" s="24"/>
      <c r="L457" s="103"/>
    </row>
    <row r="458" spans="1:12" ht="22.5" customHeight="1">
      <c r="A458" s="50"/>
      <c r="B458" s="102"/>
      <c r="C458" s="17"/>
      <c r="D458" s="102"/>
      <c r="E458" s="48"/>
      <c r="F458" s="49"/>
      <c r="G458" s="49"/>
      <c r="H458" s="49"/>
      <c r="I458" s="49"/>
      <c r="J458" s="49"/>
      <c r="K458" s="24"/>
      <c r="L458" s="103"/>
    </row>
    <row r="459" spans="1:12" ht="22.5" customHeight="1">
      <c r="A459" s="50"/>
      <c r="B459" s="102"/>
      <c r="C459" s="17"/>
      <c r="D459" s="102"/>
      <c r="E459" s="48"/>
      <c r="F459" s="49"/>
      <c r="G459" s="49"/>
      <c r="H459" s="49"/>
      <c r="I459" s="49"/>
      <c r="J459" s="49"/>
      <c r="K459" s="24"/>
      <c r="L459" s="103"/>
    </row>
    <row r="460" spans="1:12" ht="22.5" customHeight="1">
      <c r="A460" s="50"/>
      <c r="B460" s="102"/>
      <c r="C460" s="17"/>
      <c r="D460" s="102"/>
      <c r="E460" s="48"/>
      <c r="F460" s="49"/>
      <c r="G460" s="49"/>
      <c r="H460" s="49"/>
      <c r="I460" s="49"/>
      <c r="J460" s="49"/>
      <c r="K460" s="24"/>
      <c r="L460" s="103"/>
    </row>
    <row r="461" spans="1:12" ht="22.5" customHeight="1">
      <c r="A461" s="50"/>
      <c r="B461" s="102"/>
      <c r="C461" s="17"/>
      <c r="D461" s="102"/>
      <c r="E461" s="48"/>
      <c r="F461" s="49"/>
      <c r="G461" s="49"/>
      <c r="H461" s="49"/>
      <c r="I461" s="49"/>
      <c r="J461" s="49"/>
      <c r="K461" s="24"/>
      <c r="L461" s="103"/>
    </row>
    <row r="462" spans="1:12" ht="22.5" customHeight="1">
      <c r="A462" s="50"/>
      <c r="B462" s="102"/>
      <c r="C462" s="17"/>
      <c r="D462" s="102"/>
      <c r="E462" s="48"/>
      <c r="F462" s="49"/>
      <c r="G462" s="49"/>
      <c r="H462" s="49"/>
      <c r="I462" s="49"/>
      <c r="J462" s="49"/>
      <c r="K462" s="24"/>
      <c r="L462" s="103"/>
    </row>
    <row r="463" spans="1:12" ht="22.5" customHeight="1">
      <c r="A463" s="50"/>
      <c r="B463" s="102"/>
      <c r="C463" s="17"/>
      <c r="D463" s="102"/>
      <c r="E463" s="48"/>
      <c r="F463" s="49"/>
      <c r="G463" s="49"/>
      <c r="H463" s="49"/>
      <c r="I463" s="49"/>
      <c r="J463" s="49"/>
      <c r="K463" s="24"/>
      <c r="L463" s="103"/>
    </row>
    <row r="464" spans="1:12" ht="22.5" customHeight="1">
      <c r="A464" s="50"/>
      <c r="B464" s="102"/>
      <c r="C464" s="17"/>
      <c r="D464" s="102"/>
      <c r="E464" s="48"/>
      <c r="F464" s="49"/>
      <c r="G464" s="49"/>
      <c r="H464" s="49"/>
      <c r="I464" s="49"/>
      <c r="J464" s="49"/>
      <c r="K464" s="24"/>
      <c r="L464" s="103"/>
    </row>
    <row r="465" spans="1:12" ht="22.5" customHeight="1">
      <c r="A465" s="50"/>
      <c r="B465" s="102"/>
      <c r="C465" s="17"/>
      <c r="D465" s="102"/>
      <c r="E465" s="48"/>
      <c r="F465" s="49"/>
      <c r="G465" s="49"/>
      <c r="H465" s="49"/>
      <c r="I465" s="49"/>
      <c r="J465" s="49"/>
      <c r="K465" s="24"/>
      <c r="L465" s="103"/>
    </row>
    <row r="466" spans="1:12" ht="22.5" customHeight="1">
      <c r="A466" s="50"/>
      <c r="B466" s="102"/>
      <c r="C466" s="17"/>
      <c r="D466" s="102"/>
      <c r="E466" s="48"/>
      <c r="F466" s="49"/>
      <c r="G466" s="49"/>
      <c r="H466" s="49"/>
      <c r="I466" s="49"/>
      <c r="J466" s="49"/>
      <c r="K466" s="24"/>
      <c r="L466" s="103"/>
    </row>
    <row r="467" spans="1:12" ht="22.5" customHeight="1">
      <c r="A467" s="50"/>
      <c r="B467" s="102"/>
      <c r="C467" s="17"/>
      <c r="D467" s="102"/>
      <c r="E467" s="48"/>
      <c r="F467" s="49"/>
      <c r="G467" s="49"/>
      <c r="H467" s="49"/>
      <c r="I467" s="49"/>
      <c r="J467" s="49"/>
      <c r="K467" s="24"/>
      <c r="L467" s="103"/>
    </row>
    <row r="468" spans="1:12" ht="22.5" customHeight="1">
      <c r="A468" s="50"/>
      <c r="B468" s="102"/>
      <c r="C468" s="17"/>
      <c r="D468" s="102"/>
      <c r="E468" s="48"/>
      <c r="F468" s="49"/>
      <c r="G468" s="49"/>
      <c r="H468" s="49"/>
      <c r="I468" s="49"/>
      <c r="J468" s="49"/>
      <c r="K468" s="24"/>
      <c r="L468" s="103"/>
    </row>
    <row r="469" spans="1:12" ht="22.5" customHeight="1">
      <c r="A469" s="50"/>
      <c r="B469" s="102"/>
      <c r="C469" s="17"/>
      <c r="D469" s="102"/>
      <c r="E469" s="48"/>
      <c r="F469" s="49"/>
      <c r="G469" s="49"/>
      <c r="H469" s="49"/>
      <c r="I469" s="49"/>
      <c r="J469" s="49"/>
      <c r="K469" s="24"/>
      <c r="L469" s="103"/>
    </row>
    <row r="470" spans="1:12" ht="22.5" customHeight="1">
      <c r="A470" s="50"/>
      <c r="B470" s="102"/>
      <c r="C470" s="17"/>
      <c r="D470" s="102"/>
      <c r="E470" s="48"/>
      <c r="F470" s="49"/>
      <c r="G470" s="49"/>
      <c r="H470" s="49"/>
      <c r="I470" s="49"/>
      <c r="J470" s="49"/>
      <c r="K470" s="24"/>
      <c r="L470" s="103"/>
    </row>
    <row r="471" spans="1:12" ht="22.5" customHeight="1">
      <c r="A471" s="50"/>
      <c r="B471" s="102"/>
      <c r="C471" s="17"/>
      <c r="D471" s="102"/>
      <c r="E471" s="48"/>
      <c r="F471" s="49"/>
      <c r="G471" s="49"/>
      <c r="H471" s="49"/>
      <c r="I471" s="49"/>
      <c r="J471" s="49"/>
      <c r="K471" s="24"/>
      <c r="L471" s="103"/>
    </row>
    <row r="472" spans="1:12" ht="22.5" customHeight="1">
      <c r="A472" s="50"/>
      <c r="B472" s="102"/>
      <c r="C472" s="17"/>
      <c r="D472" s="102"/>
      <c r="E472" s="48"/>
      <c r="F472" s="49"/>
      <c r="G472" s="49"/>
      <c r="H472" s="49"/>
      <c r="I472" s="49"/>
      <c r="J472" s="49"/>
      <c r="K472" s="24"/>
      <c r="L472" s="103"/>
    </row>
    <row r="473" spans="1:12" ht="22.5" customHeight="1">
      <c r="A473" s="50"/>
      <c r="B473" s="102"/>
      <c r="C473" s="17"/>
      <c r="D473" s="102"/>
      <c r="E473" s="48"/>
      <c r="F473" s="49"/>
      <c r="G473" s="49"/>
      <c r="H473" s="49"/>
      <c r="I473" s="49"/>
      <c r="J473" s="49"/>
      <c r="K473" s="24"/>
      <c r="L473" s="103"/>
    </row>
    <row r="474" spans="1:12" ht="22.5" customHeight="1">
      <c r="A474" s="50"/>
      <c r="B474" s="102"/>
      <c r="C474" s="17"/>
      <c r="D474" s="102"/>
      <c r="E474" s="48"/>
      <c r="F474" s="49"/>
      <c r="G474" s="49"/>
      <c r="H474" s="49"/>
      <c r="I474" s="49"/>
      <c r="J474" s="49"/>
      <c r="K474" s="24"/>
      <c r="L474" s="103"/>
    </row>
    <row r="475" spans="1:12" ht="22.5" customHeight="1">
      <c r="A475" s="50"/>
      <c r="B475" s="102"/>
      <c r="C475" s="17"/>
      <c r="D475" s="102"/>
      <c r="E475" s="48"/>
      <c r="F475" s="49"/>
      <c r="G475" s="49"/>
      <c r="H475" s="49"/>
      <c r="I475" s="49"/>
      <c r="J475" s="49"/>
      <c r="K475" s="24"/>
      <c r="L475" s="103"/>
    </row>
    <row r="476" spans="1:12" ht="22.5" customHeight="1">
      <c r="A476" s="50"/>
      <c r="B476" s="102"/>
      <c r="C476" s="17"/>
      <c r="D476" s="102"/>
      <c r="E476" s="48"/>
      <c r="F476" s="49"/>
      <c r="G476" s="49"/>
      <c r="H476" s="49"/>
      <c r="I476" s="49"/>
      <c r="J476" s="49"/>
      <c r="K476" s="24"/>
      <c r="L476" s="103"/>
    </row>
    <row r="477" spans="1:12" ht="22.5" customHeight="1">
      <c r="A477" s="50"/>
      <c r="B477" s="102"/>
      <c r="C477" s="17"/>
      <c r="D477" s="102"/>
      <c r="E477" s="48"/>
      <c r="F477" s="49"/>
      <c r="G477" s="49"/>
      <c r="H477" s="49"/>
      <c r="I477" s="49"/>
      <c r="J477" s="49"/>
      <c r="K477" s="24"/>
      <c r="L477" s="103"/>
    </row>
    <row r="478" spans="1:12" ht="22.5" customHeight="1">
      <c r="A478" s="50"/>
      <c r="B478" s="102"/>
      <c r="C478" s="17"/>
      <c r="D478" s="102"/>
      <c r="E478" s="48"/>
      <c r="F478" s="49"/>
      <c r="G478" s="49"/>
      <c r="H478" s="49"/>
      <c r="I478" s="49"/>
      <c r="J478" s="49"/>
      <c r="K478" s="24"/>
      <c r="L478" s="103"/>
    </row>
    <row r="479" spans="1:12" ht="22.5" customHeight="1">
      <c r="A479" s="50"/>
      <c r="B479" s="102"/>
      <c r="C479" s="17"/>
      <c r="D479" s="102"/>
      <c r="E479" s="48"/>
      <c r="F479" s="49"/>
      <c r="G479" s="49"/>
      <c r="H479" s="49"/>
      <c r="I479" s="49"/>
      <c r="J479" s="49"/>
      <c r="K479" s="24"/>
      <c r="L479" s="103"/>
    </row>
    <row r="480" spans="1:12" ht="22.5" customHeight="1">
      <c r="A480" s="50"/>
      <c r="B480" s="102"/>
      <c r="C480" s="17"/>
      <c r="D480" s="102"/>
      <c r="E480" s="48"/>
      <c r="F480" s="49"/>
      <c r="G480" s="49"/>
      <c r="H480" s="49"/>
      <c r="I480" s="49"/>
      <c r="J480" s="49"/>
      <c r="K480" s="24"/>
      <c r="L480" s="103"/>
    </row>
    <row r="481" spans="1:12" ht="22.5" customHeight="1">
      <c r="A481" s="50"/>
      <c r="B481" s="102"/>
      <c r="C481" s="17"/>
      <c r="D481" s="102"/>
      <c r="E481" s="48"/>
      <c r="F481" s="49"/>
      <c r="G481" s="49"/>
      <c r="H481" s="49"/>
      <c r="I481" s="49"/>
      <c r="J481" s="49"/>
      <c r="K481" s="24"/>
      <c r="L481" s="103"/>
    </row>
    <row r="482" spans="1:12" ht="22.5" customHeight="1">
      <c r="A482" s="50"/>
      <c r="B482" s="102"/>
      <c r="C482" s="17"/>
      <c r="D482" s="102"/>
      <c r="E482" s="48"/>
      <c r="F482" s="49"/>
      <c r="G482" s="49"/>
      <c r="H482" s="49"/>
      <c r="I482" s="49"/>
      <c r="J482" s="49"/>
      <c r="K482" s="24"/>
      <c r="L482" s="103"/>
    </row>
    <row r="483" spans="1:12" ht="22.5" customHeight="1">
      <c r="A483" s="50"/>
      <c r="B483" s="102"/>
      <c r="C483" s="17"/>
      <c r="D483" s="102"/>
      <c r="E483" s="48"/>
      <c r="F483" s="49"/>
      <c r="G483" s="49"/>
      <c r="H483" s="49"/>
      <c r="I483" s="49"/>
      <c r="J483" s="49"/>
      <c r="K483" s="24"/>
      <c r="L483" s="103"/>
    </row>
    <row r="484" spans="1:12" ht="22.5" customHeight="1">
      <c r="A484" s="50"/>
      <c r="B484" s="102"/>
      <c r="C484" s="17"/>
      <c r="D484" s="102"/>
      <c r="E484" s="48"/>
      <c r="F484" s="49"/>
      <c r="G484" s="49"/>
      <c r="H484" s="49"/>
      <c r="I484" s="49"/>
      <c r="J484" s="49"/>
      <c r="K484" s="24"/>
      <c r="L484" s="103"/>
    </row>
    <row r="485" spans="1:12" ht="22.5" customHeight="1">
      <c r="A485" s="50"/>
      <c r="B485" s="102"/>
      <c r="C485" s="17"/>
      <c r="D485" s="102"/>
      <c r="E485" s="48"/>
      <c r="F485" s="49"/>
      <c r="G485" s="49"/>
      <c r="H485" s="49"/>
      <c r="I485" s="49"/>
      <c r="J485" s="49"/>
      <c r="K485" s="24"/>
      <c r="L485" s="103"/>
    </row>
    <row r="486" spans="1:12" ht="22.5" customHeight="1">
      <c r="A486" s="50"/>
      <c r="B486" s="102"/>
      <c r="C486" s="17"/>
      <c r="D486" s="102"/>
      <c r="E486" s="48"/>
      <c r="F486" s="49"/>
      <c r="G486" s="49"/>
      <c r="H486" s="49"/>
      <c r="I486" s="49"/>
      <c r="J486" s="49"/>
      <c r="K486" s="24"/>
      <c r="L486" s="103"/>
    </row>
    <row r="487" spans="1:12" ht="22.5" customHeight="1">
      <c r="A487" s="50"/>
      <c r="B487" s="102"/>
      <c r="C487" s="17"/>
      <c r="D487" s="102"/>
      <c r="E487" s="48"/>
      <c r="F487" s="49"/>
      <c r="G487" s="49"/>
      <c r="H487" s="49"/>
      <c r="I487" s="49"/>
      <c r="J487" s="49"/>
      <c r="K487" s="24"/>
      <c r="L487" s="103"/>
    </row>
    <row r="488" spans="1:12" ht="22.5" customHeight="1">
      <c r="A488" s="50"/>
      <c r="B488" s="102"/>
      <c r="C488" s="17"/>
      <c r="D488" s="102"/>
      <c r="E488" s="48"/>
      <c r="F488" s="49"/>
      <c r="G488" s="49"/>
      <c r="H488" s="49"/>
      <c r="I488" s="49"/>
      <c r="J488" s="49"/>
      <c r="K488" s="24"/>
      <c r="L488" s="103"/>
    </row>
    <row r="489" spans="1:12" ht="22.5" customHeight="1">
      <c r="A489" s="50"/>
      <c r="B489" s="102"/>
      <c r="C489" s="17"/>
      <c r="D489" s="102"/>
      <c r="E489" s="48"/>
      <c r="F489" s="49"/>
      <c r="G489" s="49"/>
      <c r="H489" s="49"/>
      <c r="I489" s="49"/>
      <c r="J489" s="49"/>
      <c r="K489" s="24"/>
      <c r="L489" s="103"/>
    </row>
    <row r="490" spans="1:12" ht="22.5" customHeight="1">
      <c r="A490" s="50"/>
      <c r="B490" s="102"/>
      <c r="C490" s="17"/>
      <c r="D490" s="102"/>
      <c r="E490" s="48"/>
      <c r="F490" s="49"/>
      <c r="G490" s="49"/>
      <c r="H490" s="49"/>
      <c r="I490" s="49"/>
      <c r="J490" s="49"/>
      <c r="K490" s="24"/>
      <c r="L490" s="103"/>
    </row>
    <row r="491" spans="1:12" ht="22.5" customHeight="1">
      <c r="A491" s="50"/>
      <c r="B491" s="102"/>
      <c r="C491" s="17"/>
      <c r="D491" s="102"/>
      <c r="E491" s="48"/>
      <c r="F491" s="49"/>
      <c r="G491" s="49"/>
      <c r="H491" s="49"/>
      <c r="I491" s="49"/>
      <c r="J491" s="49"/>
      <c r="K491" s="24"/>
      <c r="L491" s="103"/>
    </row>
    <row r="492" spans="1:12" ht="22.5" customHeight="1">
      <c r="A492" s="50"/>
      <c r="B492" s="102"/>
      <c r="C492" s="17"/>
      <c r="D492" s="102"/>
      <c r="E492" s="48"/>
      <c r="F492" s="49"/>
      <c r="G492" s="49"/>
      <c r="H492" s="49"/>
      <c r="I492" s="49"/>
      <c r="J492" s="49"/>
      <c r="K492" s="24"/>
      <c r="L492" s="103"/>
    </row>
    <row r="493" spans="1:12" ht="22.5" customHeight="1">
      <c r="A493" s="50"/>
      <c r="B493" s="102"/>
      <c r="C493" s="17"/>
      <c r="D493" s="102"/>
      <c r="E493" s="48"/>
      <c r="F493" s="49"/>
      <c r="G493" s="49"/>
      <c r="H493" s="49"/>
      <c r="I493" s="49"/>
      <c r="J493" s="49"/>
      <c r="K493" s="24"/>
      <c r="L493" s="103"/>
    </row>
    <row r="494" spans="1:12" ht="22.5" customHeight="1">
      <c r="A494" s="50"/>
      <c r="B494" s="102"/>
      <c r="C494" s="17"/>
      <c r="D494" s="102"/>
      <c r="E494" s="48"/>
      <c r="F494" s="49"/>
      <c r="G494" s="49"/>
      <c r="H494" s="49"/>
      <c r="I494" s="49"/>
      <c r="J494" s="49"/>
      <c r="K494" s="24"/>
      <c r="L494" s="103"/>
    </row>
    <row r="495" spans="1:12" ht="22.5" customHeight="1">
      <c r="A495" s="50"/>
      <c r="B495" s="102"/>
      <c r="C495" s="17"/>
      <c r="D495" s="102"/>
      <c r="E495" s="48"/>
      <c r="F495" s="49"/>
      <c r="G495" s="49"/>
      <c r="H495" s="49"/>
      <c r="I495" s="49"/>
      <c r="J495" s="49"/>
      <c r="K495" s="24"/>
      <c r="L495" s="103"/>
    </row>
    <row r="496" spans="1:12" ht="22.5" customHeight="1">
      <c r="A496" s="50"/>
      <c r="B496" s="102"/>
      <c r="C496" s="17"/>
      <c r="D496" s="102"/>
      <c r="E496" s="48"/>
      <c r="F496" s="49"/>
      <c r="G496" s="49"/>
      <c r="H496" s="49"/>
      <c r="I496" s="49"/>
      <c r="J496" s="49"/>
      <c r="K496" s="24"/>
      <c r="L496" s="103"/>
    </row>
    <row r="497" spans="1:12" ht="22.5" customHeight="1">
      <c r="A497" s="50"/>
      <c r="B497" s="102"/>
      <c r="C497" s="17"/>
      <c r="D497" s="102"/>
      <c r="E497" s="48"/>
      <c r="F497" s="49"/>
      <c r="G497" s="49"/>
      <c r="H497" s="49"/>
      <c r="I497" s="49"/>
      <c r="J497" s="49"/>
      <c r="K497" s="24"/>
      <c r="L497" s="103"/>
    </row>
    <row r="498" spans="1:12" ht="22.5" customHeight="1">
      <c r="A498" s="50"/>
      <c r="B498" s="102"/>
      <c r="C498" s="17"/>
      <c r="D498" s="102"/>
      <c r="E498" s="48"/>
      <c r="F498" s="49"/>
      <c r="G498" s="49"/>
      <c r="H498" s="49"/>
      <c r="I498" s="49"/>
      <c r="J498" s="49"/>
      <c r="K498" s="24"/>
      <c r="L498" s="103"/>
    </row>
    <row r="499" spans="1:12" ht="22.5" customHeight="1">
      <c r="A499" s="50"/>
      <c r="B499" s="102"/>
      <c r="C499" s="17"/>
      <c r="D499" s="102"/>
      <c r="E499" s="48"/>
      <c r="F499" s="49"/>
      <c r="G499" s="49"/>
      <c r="H499" s="49"/>
      <c r="I499" s="49"/>
      <c r="J499" s="49"/>
      <c r="K499" s="24"/>
      <c r="L499" s="103"/>
    </row>
    <row r="500" spans="1:12" ht="22.5" customHeight="1">
      <c r="A500" s="50"/>
      <c r="B500" s="102"/>
      <c r="C500" s="17"/>
      <c r="D500" s="102"/>
      <c r="E500" s="48"/>
      <c r="F500" s="49"/>
      <c r="G500" s="49"/>
      <c r="H500" s="49"/>
      <c r="I500" s="49"/>
      <c r="J500" s="49"/>
      <c r="K500" s="24"/>
      <c r="L500" s="103"/>
    </row>
    <row r="501" spans="1:12" ht="22.5" customHeight="1">
      <c r="A501" s="50"/>
      <c r="B501" s="102"/>
      <c r="C501" s="17"/>
      <c r="D501" s="102"/>
      <c r="E501" s="48"/>
      <c r="F501" s="49"/>
      <c r="G501" s="49"/>
      <c r="H501" s="49"/>
      <c r="I501" s="49"/>
      <c r="J501" s="49"/>
      <c r="K501" s="24"/>
      <c r="L501" s="103"/>
    </row>
    <row r="502" spans="1:12" ht="22.5" customHeight="1">
      <c r="A502" s="50"/>
      <c r="B502" s="102"/>
      <c r="C502" s="17"/>
      <c r="D502" s="102"/>
      <c r="E502" s="48"/>
      <c r="F502" s="49"/>
      <c r="G502" s="49"/>
      <c r="H502" s="49"/>
      <c r="I502" s="49"/>
      <c r="J502" s="49"/>
      <c r="K502" s="24"/>
      <c r="L502" s="103"/>
    </row>
    <row r="503" spans="1:12" ht="22.5" customHeight="1">
      <c r="A503" s="50"/>
      <c r="B503" s="102"/>
      <c r="C503" s="17"/>
      <c r="D503" s="102"/>
      <c r="E503" s="48"/>
      <c r="F503" s="49"/>
      <c r="G503" s="49"/>
      <c r="H503" s="49"/>
      <c r="I503" s="49"/>
      <c r="J503" s="49"/>
      <c r="K503" s="24"/>
      <c r="L503" s="103"/>
    </row>
    <row r="504" spans="1:12" ht="22.5" customHeight="1">
      <c r="A504" s="50"/>
      <c r="B504" s="102"/>
      <c r="C504" s="17"/>
      <c r="D504" s="102"/>
      <c r="E504" s="48"/>
      <c r="F504" s="49"/>
      <c r="G504" s="49"/>
      <c r="H504" s="49"/>
      <c r="I504" s="49"/>
      <c r="J504" s="49"/>
      <c r="K504" s="24"/>
      <c r="L504" s="103"/>
    </row>
    <row r="505" spans="1:12" ht="22.5" customHeight="1">
      <c r="A505" s="50"/>
      <c r="B505" s="102"/>
      <c r="C505" s="17"/>
      <c r="D505" s="102"/>
      <c r="E505" s="48"/>
      <c r="F505" s="49"/>
      <c r="G505" s="49"/>
      <c r="H505" s="49"/>
      <c r="I505" s="49"/>
      <c r="J505" s="49"/>
      <c r="K505" s="24"/>
      <c r="L505" s="103"/>
    </row>
    <row r="506" spans="1:12" ht="22.5" customHeight="1">
      <c r="A506" s="50"/>
      <c r="B506" s="102"/>
      <c r="C506" s="17"/>
      <c r="D506" s="102"/>
      <c r="E506" s="48"/>
      <c r="F506" s="49"/>
      <c r="G506" s="49"/>
      <c r="H506" s="49"/>
      <c r="I506" s="49"/>
      <c r="J506" s="49"/>
      <c r="K506" s="24"/>
      <c r="L506" s="103"/>
    </row>
    <row r="507" spans="1:12" ht="22.5" customHeight="1">
      <c r="A507" s="50"/>
      <c r="B507" s="102"/>
      <c r="C507" s="17"/>
      <c r="D507" s="102"/>
      <c r="E507" s="48"/>
      <c r="F507" s="49"/>
      <c r="G507" s="49"/>
      <c r="H507" s="49"/>
      <c r="I507" s="49"/>
      <c r="J507" s="49"/>
      <c r="K507" s="24"/>
      <c r="L507" s="103"/>
    </row>
    <row r="508" spans="1:12" ht="22.5" customHeight="1">
      <c r="A508" s="50"/>
      <c r="B508" s="102"/>
      <c r="C508" s="17"/>
      <c r="D508" s="102"/>
      <c r="E508" s="48"/>
      <c r="F508" s="49"/>
      <c r="G508" s="49"/>
      <c r="H508" s="49"/>
      <c r="I508" s="49"/>
      <c r="J508" s="49"/>
      <c r="K508" s="24"/>
      <c r="L508" s="103"/>
    </row>
    <row r="509" spans="1:12" ht="22.5" customHeight="1">
      <c r="A509" s="50"/>
      <c r="B509" s="102"/>
      <c r="C509" s="17"/>
      <c r="D509" s="102"/>
      <c r="E509" s="48"/>
      <c r="F509" s="49"/>
      <c r="G509" s="49"/>
      <c r="H509" s="49"/>
      <c r="I509" s="49"/>
      <c r="J509" s="49"/>
      <c r="K509" s="24"/>
      <c r="L509" s="103"/>
    </row>
    <row r="510" spans="1:12" ht="22.5" customHeight="1">
      <c r="A510" s="50"/>
      <c r="B510" s="102"/>
      <c r="C510" s="17"/>
      <c r="D510" s="102"/>
      <c r="E510" s="48"/>
      <c r="F510" s="49"/>
      <c r="G510" s="49"/>
      <c r="H510" s="49"/>
      <c r="I510" s="49"/>
      <c r="J510" s="49"/>
      <c r="K510" s="24"/>
      <c r="L510" s="103"/>
    </row>
    <row r="511" spans="1:12" ht="22.5" customHeight="1">
      <c r="A511" s="50"/>
      <c r="B511" s="102"/>
      <c r="C511" s="17"/>
      <c r="D511" s="102"/>
      <c r="E511" s="48"/>
      <c r="F511" s="49"/>
      <c r="G511" s="49"/>
      <c r="H511" s="49"/>
      <c r="I511" s="49"/>
      <c r="J511" s="49"/>
      <c r="K511" s="24"/>
      <c r="L511" s="103"/>
    </row>
    <row r="512" spans="1:12" ht="22.5" customHeight="1">
      <c r="A512" s="50"/>
      <c r="B512" s="102"/>
      <c r="C512" s="17"/>
      <c r="D512" s="102"/>
      <c r="E512" s="48"/>
      <c r="F512" s="49"/>
      <c r="G512" s="49"/>
      <c r="H512" s="49"/>
      <c r="I512" s="49"/>
      <c r="J512" s="49"/>
      <c r="K512" s="24"/>
      <c r="L512" s="103"/>
    </row>
    <row r="513" spans="1:12" ht="22.5" customHeight="1">
      <c r="A513" s="50"/>
      <c r="B513" s="102"/>
      <c r="C513" s="17"/>
      <c r="D513" s="102"/>
      <c r="E513" s="48"/>
      <c r="F513" s="49"/>
      <c r="G513" s="49"/>
      <c r="H513" s="49"/>
      <c r="I513" s="49"/>
      <c r="J513" s="49"/>
      <c r="K513" s="24"/>
      <c r="L513" s="103"/>
    </row>
    <row r="514" spans="1:12" ht="22.5" customHeight="1">
      <c r="A514" s="50"/>
      <c r="B514" s="102"/>
      <c r="C514" s="17"/>
      <c r="D514" s="102"/>
      <c r="E514" s="48"/>
      <c r="F514" s="49"/>
      <c r="G514" s="49"/>
      <c r="H514" s="49"/>
      <c r="I514" s="49"/>
      <c r="J514" s="49"/>
      <c r="K514" s="24"/>
      <c r="L514" s="103"/>
    </row>
    <row r="515" spans="1:12" ht="22.5" customHeight="1">
      <c r="A515" s="50"/>
      <c r="B515" s="102"/>
      <c r="C515" s="17"/>
      <c r="D515" s="102"/>
      <c r="E515" s="48"/>
      <c r="F515" s="49"/>
      <c r="G515" s="49"/>
      <c r="H515" s="49"/>
      <c r="I515" s="49"/>
      <c r="J515" s="49"/>
      <c r="K515" s="24"/>
      <c r="L515" s="103"/>
    </row>
    <row r="516" spans="1:12" ht="22.5" customHeight="1">
      <c r="A516" s="50"/>
      <c r="B516" s="102"/>
      <c r="C516" s="17"/>
      <c r="D516" s="102"/>
      <c r="E516" s="48"/>
      <c r="F516" s="49"/>
      <c r="G516" s="49"/>
      <c r="H516" s="49"/>
      <c r="I516" s="49"/>
      <c r="J516" s="49"/>
      <c r="K516" s="24"/>
      <c r="L516" s="103"/>
    </row>
    <row r="517" spans="1:12" ht="22.5" customHeight="1">
      <c r="A517" s="50"/>
      <c r="B517" s="102"/>
      <c r="C517" s="17"/>
      <c r="D517" s="102"/>
      <c r="E517" s="48"/>
      <c r="F517" s="49"/>
      <c r="G517" s="49"/>
      <c r="H517" s="49"/>
      <c r="I517" s="49"/>
      <c r="J517" s="49"/>
      <c r="K517" s="24"/>
      <c r="L517" s="103"/>
    </row>
    <row r="518" spans="1:12" ht="22.5" customHeight="1">
      <c r="A518" s="50"/>
      <c r="B518" s="102"/>
      <c r="C518" s="17"/>
      <c r="D518" s="102"/>
      <c r="E518" s="48"/>
      <c r="F518" s="49"/>
      <c r="G518" s="49"/>
      <c r="H518" s="49"/>
      <c r="I518" s="49"/>
      <c r="J518" s="49"/>
      <c r="K518" s="24"/>
      <c r="L518" s="103"/>
    </row>
    <row r="519" spans="1:12" ht="22.5" customHeight="1">
      <c r="A519" s="50"/>
      <c r="B519" s="102"/>
      <c r="C519" s="17"/>
      <c r="D519" s="102"/>
      <c r="E519" s="48"/>
      <c r="F519" s="49"/>
      <c r="G519" s="49"/>
      <c r="H519" s="49"/>
      <c r="I519" s="49"/>
      <c r="J519" s="49"/>
      <c r="K519" s="24"/>
      <c r="L519" s="103"/>
    </row>
    <row r="520" spans="1:12" ht="22.5" customHeight="1">
      <c r="A520" s="50"/>
      <c r="B520" s="102"/>
      <c r="C520" s="17"/>
      <c r="D520" s="102"/>
      <c r="E520" s="48"/>
      <c r="F520" s="49"/>
      <c r="G520" s="49"/>
      <c r="H520" s="49"/>
      <c r="I520" s="49"/>
      <c r="J520" s="49"/>
      <c r="K520" s="24"/>
      <c r="L520" s="103"/>
    </row>
    <row r="521" spans="1:12" ht="22.5" customHeight="1">
      <c r="A521" s="50"/>
      <c r="B521" s="102"/>
      <c r="C521" s="17"/>
      <c r="D521" s="102"/>
      <c r="E521" s="48"/>
      <c r="F521" s="49"/>
      <c r="G521" s="49"/>
      <c r="H521" s="49"/>
      <c r="I521" s="49"/>
      <c r="J521" s="49"/>
      <c r="K521" s="24"/>
      <c r="L521" s="103"/>
    </row>
    <row r="522" spans="1:12" ht="22.5" customHeight="1">
      <c r="A522" s="50"/>
      <c r="B522" s="102"/>
      <c r="C522" s="17"/>
      <c r="D522" s="102"/>
      <c r="E522" s="48"/>
      <c r="F522" s="49"/>
      <c r="G522" s="49"/>
      <c r="H522" s="49"/>
      <c r="I522" s="49"/>
      <c r="J522" s="49"/>
      <c r="K522" s="24"/>
      <c r="L522" s="103"/>
    </row>
    <row r="523" spans="1:12" ht="22.5" customHeight="1">
      <c r="A523" s="50"/>
      <c r="B523" s="102"/>
      <c r="C523" s="17"/>
      <c r="D523" s="102"/>
      <c r="E523" s="48"/>
      <c r="F523" s="49"/>
      <c r="G523" s="49"/>
      <c r="H523" s="49"/>
      <c r="I523" s="49"/>
      <c r="J523" s="49"/>
      <c r="K523" s="24"/>
      <c r="L523" s="103"/>
    </row>
    <row r="524" spans="1:12" ht="22.5" customHeight="1">
      <c r="A524" s="50"/>
      <c r="B524" s="102"/>
      <c r="C524" s="17"/>
      <c r="D524" s="102"/>
      <c r="E524" s="48"/>
      <c r="F524" s="49"/>
      <c r="G524" s="49"/>
      <c r="H524" s="49"/>
      <c r="I524" s="49"/>
      <c r="J524" s="49"/>
      <c r="K524" s="24"/>
      <c r="L524" s="103"/>
    </row>
    <row r="525" spans="1:12" ht="22.5" customHeight="1">
      <c r="A525" s="50"/>
      <c r="B525" s="102"/>
      <c r="C525" s="17"/>
      <c r="D525" s="102"/>
      <c r="E525" s="48"/>
      <c r="F525" s="49"/>
      <c r="G525" s="49"/>
      <c r="H525" s="49"/>
      <c r="I525" s="49"/>
      <c r="J525" s="49"/>
      <c r="K525" s="24"/>
      <c r="L525" s="103"/>
    </row>
    <row r="526" spans="1:12" ht="22.5" customHeight="1">
      <c r="A526" s="50"/>
      <c r="B526" s="102"/>
      <c r="C526" s="17"/>
      <c r="D526" s="102"/>
      <c r="E526" s="48"/>
      <c r="F526" s="49"/>
      <c r="G526" s="49"/>
      <c r="H526" s="49"/>
      <c r="I526" s="49"/>
      <c r="J526" s="49"/>
      <c r="K526" s="24"/>
      <c r="L526" s="103"/>
    </row>
    <row r="527" spans="1:12" ht="22.5" customHeight="1">
      <c r="A527" s="50"/>
      <c r="B527" s="102"/>
      <c r="C527" s="17"/>
      <c r="D527" s="102"/>
      <c r="E527" s="48"/>
      <c r="F527" s="49"/>
      <c r="G527" s="49"/>
      <c r="H527" s="49"/>
      <c r="I527" s="49"/>
      <c r="J527" s="49"/>
      <c r="K527" s="24"/>
      <c r="L527" s="103"/>
    </row>
    <row r="528" spans="1:12" ht="22.5" customHeight="1">
      <c r="A528" s="50"/>
      <c r="B528" s="102"/>
      <c r="C528" s="17"/>
      <c r="D528" s="102"/>
      <c r="E528" s="48"/>
      <c r="F528" s="49"/>
      <c r="G528" s="49"/>
      <c r="H528" s="49"/>
      <c r="I528" s="49"/>
      <c r="J528" s="49"/>
      <c r="K528" s="24"/>
      <c r="L528" s="103"/>
    </row>
    <row r="529" spans="1:12" ht="22.5" customHeight="1">
      <c r="A529" s="50"/>
      <c r="B529" s="102"/>
      <c r="C529" s="17"/>
      <c r="D529" s="102"/>
      <c r="E529" s="48"/>
      <c r="F529" s="49"/>
      <c r="G529" s="49"/>
      <c r="H529" s="49"/>
      <c r="I529" s="49"/>
      <c r="J529" s="49"/>
      <c r="K529" s="24"/>
      <c r="L529" s="103"/>
    </row>
    <row r="530" spans="1:12" ht="22.5" customHeight="1">
      <c r="A530" s="50"/>
      <c r="B530" s="102"/>
      <c r="C530" s="17"/>
      <c r="D530" s="102"/>
      <c r="E530" s="48"/>
      <c r="F530" s="49"/>
      <c r="G530" s="49"/>
      <c r="H530" s="49"/>
      <c r="I530" s="49"/>
      <c r="J530" s="49"/>
      <c r="K530" s="24"/>
      <c r="L530" s="103"/>
    </row>
    <row r="531" spans="1:12" ht="22.5" customHeight="1">
      <c r="A531" s="50"/>
      <c r="B531" s="102"/>
      <c r="C531" s="17"/>
      <c r="D531" s="102"/>
      <c r="E531" s="48"/>
      <c r="F531" s="49"/>
      <c r="G531" s="49"/>
      <c r="H531" s="49"/>
      <c r="I531" s="49"/>
      <c r="J531" s="49"/>
      <c r="K531" s="24"/>
      <c r="L531" s="103"/>
    </row>
    <row r="532" spans="1:12" ht="22.5" customHeight="1">
      <c r="A532" s="50"/>
      <c r="B532" s="102"/>
      <c r="C532" s="17"/>
      <c r="D532" s="102"/>
      <c r="E532" s="48"/>
      <c r="F532" s="49"/>
      <c r="G532" s="49"/>
      <c r="H532" s="49"/>
      <c r="I532" s="49"/>
      <c r="J532" s="49"/>
      <c r="K532" s="24"/>
      <c r="L532" s="103"/>
    </row>
    <row r="533" spans="1:12" ht="22.5" customHeight="1">
      <c r="A533" s="50"/>
      <c r="B533" s="102"/>
      <c r="C533" s="17"/>
      <c r="D533" s="102"/>
      <c r="E533" s="48"/>
      <c r="F533" s="49"/>
      <c r="G533" s="49"/>
      <c r="H533" s="49"/>
      <c r="I533" s="49"/>
      <c r="J533" s="49"/>
      <c r="K533" s="24"/>
      <c r="L533" s="103"/>
    </row>
    <row r="534" spans="1:12" ht="22.5" customHeight="1">
      <c r="A534" s="50"/>
      <c r="B534" s="102"/>
      <c r="C534" s="17"/>
      <c r="D534" s="102"/>
      <c r="E534" s="48"/>
      <c r="F534" s="49"/>
      <c r="G534" s="49"/>
      <c r="H534" s="49"/>
      <c r="I534" s="49"/>
      <c r="J534" s="49"/>
      <c r="K534" s="24"/>
      <c r="L534" s="103"/>
    </row>
    <row r="535" spans="1:12" ht="22.5" customHeight="1">
      <c r="A535" s="50"/>
      <c r="B535" s="102"/>
      <c r="C535" s="17"/>
      <c r="D535" s="102"/>
      <c r="E535" s="48"/>
      <c r="F535" s="49"/>
      <c r="G535" s="49"/>
      <c r="H535" s="49"/>
      <c r="I535" s="49"/>
      <c r="J535" s="49"/>
      <c r="K535" s="24"/>
      <c r="L535" s="103"/>
    </row>
    <row r="536" spans="1:12" ht="22.5" customHeight="1">
      <c r="A536" s="50"/>
      <c r="B536" s="102"/>
      <c r="C536" s="17"/>
      <c r="D536" s="102"/>
      <c r="E536" s="48"/>
      <c r="F536" s="49"/>
      <c r="G536" s="49"/>
      <c r="H536" s="49"/>
      <c r="I536" s="49"/>
      <c r="J536" s="49"/>
      <c r="K536" s="24"/>
      <c r="L536" s="103"/>
    </row>
    <row r="537" spans="1:12" ht="22.5" customHeight="1">
      <c r="A537" s="50"/>
      <c r="B537" s="102"/>
      <c r="C537" s="17"/>
      <c r="D537" s="102"/>
      <c r="E537" s="48"/>
      <c r="F537" s="49"/>
      <c r="G537" s="49"/>
      <c r="H537" s="49"/>
      <c r="I537" s="49"/>
      <c r="J537" s="49"/>
      <c r="K537" s="24"/>
      <c r="L537" s="103"/>
    </row>
    <row r="538" spans="1:12" ht="22.5" customHeight="1">
      <c r="A538" s="50"/>
      <c r="B538" s="102"/>
      <c r="C538" s="17"/>
      <c r="D538" s="102"/>
      <c r="E538" s="48"/>
      <c r="F538" s="49"/>
      <c r="G538" s="49"/>
      <c r="H538" s="49"/>
      <c r="I538" s="49"/>
      <c r="J538" s="49"/>
      <c r="K538" s="24"/>
      <c r="L538" s="103"/>
    </row>
    <row r="539" spans="1:12" ht="22.5" customHeight="1">
      <c r="A539" s="50"/>
      <c r="B539" s="102"/>
      <c r="C539" s="17"/>
      <c r="D539" s="102"/>
      <c r="E539" s="48"/>
      <c r="F539" s="49"/>
      <c r="G539" s="49"/>
      <c r="H539" s="49"/>
      <c r="I539" s="49"/>
      <c r="J539" s="49"/>
      <c r="K539" s="24"/>
      <c r="L539" s="103"/>
    </row>
    <row r="540" spans="1:12" ht="22.5" customHeight="1">
      <c r="A540" s="50"/>
      <c r="B540" s="102"/>
      <c r="C540" s="17"/>
      <c r="D540" s="102"/>
      <c r="E540" s="48"/>
      <c r="F540" s="49"/>
      <c r="G540" s="49"/>
      <c r="H540" s="49"/>
      <c r="I540" s="49"/>
      <c r="J540" s="49"/>
      <c r="K540" s="24"/>
      <c r="L540" s="103"/>
    </row>
    <row r="541" spans="1:12" ht="22.5" customHeight="1">
      <c r="A541" s="50"/>
      <c r="B541" s="102"/>
      <c r="C541" s="17"/>
      <c r="D541" s="102"/>
      <c r="E541" s="48"/>
      <c r="F541" s="49"/>
      <c r="G541" s="49"/>
      <c r="H541" s="49"/>
      <c r="I541" s="49"/>
      <c r="J541" s="49"/>
      <c r="K541" s="24"/>
      <c r="L541" s="103"/>
    </row>
    <row r="542" spans="1:12" ht="22.5" customHeight="1">
      <c r="A542" s="50"/>
      <c r="B542" s="102"/>
      <c r="C542" s="17"/>
      <c r="D542" s="102"/>
      <c r="E542" s="48"/>
      <c r="F542" s="49"/>
      <c r="G542" s="49"/>
      <c r="H542" s="49"/>
      <c r="I542" s="49"/>
      <c r="J542" s="49"/>
      <c r="K542" s="24"/>
      <c r="L542" s="103"/>
    </row>
    <row r="543" spans="1:12" ht="22.5" customHeight="1">
      <c r="A543" s="50"/>
      <c r="B543" s="102"/>
      <c r="C543" s="17"/>
      <c r="D543" s="102"/>
      <c r="E543" s="48"/>
      <c r="F543" s="49"/>
      <c r="G543" s="49"/>
      <c r="H543" s="49"/>
      <c r="I543" s="49"/>
      <c r="J543" s="49"/>
      <c r="K543" s="24"/>
      <c r="L543" s="103"/>
    </row>
    <row r="544" spans="1:12" ht="22.5" customHeight="1">
      <c r="A544" s="50"/>
      <c r="B544" s="102"/>
      <c r="C544" s="17"/>
      <c r="D544" s="102"/>
      <c r="E544" s="48"/>
      <c r="F544" s="49"/>
      <c r="G544" s="49"/>
      <c r="H544" s="49"/>
      <c r="I544" s="49"/>
      <c r="J544" s="49"/>
      <c r="K544" s="24"/>
      <c r="L544" s="103"/>
    </row>
    <row r="545" spans="1:12" ht="22.5" customHeight="1">
      <c r="A545" s="50"/>
      <c r="B545" s="102"/>
      <c r="C545" s="17"/>
      <c r="D545" s="102"/>
      <c r="E545" s="48"/>
      <c r="F545" s="49"/>
      <c r="G545" s="49"/>
      <c r="H545" s="49"/>
      <c r="I545" s="49"/>
      <c r="J545" s="49"/>
      <c r="K545" s="24"/>
      <c r="L545" s="103"/>
    </row>
    <row r="546" spans="1:12" ht="22.5" customHeight="1">
      <c r="A546" s="50"/>
      <c r="B546" s="102"/>
      <c r="C546" s="17"/>
      <c r="D546" s="102"/>
      <c r="E546" s="48"/>
      <c r="F546" s="49"/>
      <c r="G546" s="49"/>
      <c r="H546" s="49"/>
      <c r="I546" s="49"/>
      <c r="J546" s="49"/>
      <c r="K546" s="24"/>
      <c r="L546" s="103"/>
    </row>
    <row r="547" spans="1:12" ht="22.5" customHeight="1">
      <c r="A547" s="50"/>
      <c r="B547" s="102"/>
      <c r="C547" s="17"/>
      <c r="D547" s="102"/>
      <c r="E547" s="48"/>
      <c r="F547" s="49"/>
      <c r="G547" s="49"/>
      <c r="H547" s="49"/>
      <c r="I547" s="49"/>
      <c r="J547" s="49"/>
      <c r="K547" s="24"/>
      <c r="L547" s="103"/>
    </row>
    <row r="548" spans="1:12" ht="22.5" customHeight="1">
      <c r="A548" s="50"/>
      <c r="B548" s="102"/>
      <c r="C548" s="17"/>
      <c r="D548" s="102"/>
      <c r="E548" s="48"/>
      <c r="F548" s="49"/>
      <c r="G548" s="49"/>
      <c r="H548" s="49"/>
      <c r="I548" s="49"/>
      <c r="J548" s="49"/>
      <c r="K548" s="24"/>
      <c r="L548" s="103"/>
    </row>
    <row r="549" spans="1:12" ht="22.5" customHeight="1">
      <c r="A549" s="50"/>
      <c r="B549" s="102"/>
      <c r="C549" s="17"/>
      <c r="D549" s="102"/>
      <c r="E549" s="48"/>
      <c r="F549" s="49"/>
      <c r="G549" s="49"/>
      <c r="H549" s="49"/>
      <c r="I549" s="49"/>
      <c r="J549" s="49"/>
      <c r="K549" s="24"/>
      <c r="L549" s="103"/>
    </row>
    <row r="550" spans="1:12" ht="22.5" customHeight="1">
      <c r="A550" s="50"/>
      <c r="B550" s="102"/>
      <c r="C550" s="17"/>
      <c r="D550" s="102"/>
      <c r="E550" s="48"/>
      <c r="F550" s="49"/>
      <c r="G550" s="49"/>
      <c r="H550" s="49"/>
      <c r="I550" s="49"/>
      <c r="J550" s="49"/>
      <c r="K550" s="24"/>
      <c r="L550" s="103"/>
    </row>
    <row r="551" spans="1:12" ht="22.5" customHeight="1">
      <c r="A551" s="50"/>
      <c r="B551" s="102"/>
      <c r="C551" s="17"/>
      <c r="D551" s="102"/>
      <c r="E551" s="48"/>
      <c r="F551" s="49"/>
      <c r="G551" s="49"/>
      <c r="H551" s="49"/>
      <c r="I551" s="49"/>
      <c r="J551" s="49"/>
      <c r="K551" s="24"/>
      <c r="L551" s="103"/>
    </row>
    <row r="552" spans="1:12" ht="22.5" customHeight="1">
      <c r="A552" s="50"/>
      <c r="B552" s="102"/>
      <c r="C552" s="17"/>
      <c r="D552" s="102"/>
      <c r="E552" s="48"/>
      <c r="F552" s="49"/>
      <c r="G552" s="49"/>
      <c r="H552" s="49"/>
      <c r="I552" s="49"/>
      <c r="J552" s="49"/>
      <c r="K552" s="24"/>
      <c r="L552" s="103"/>
    </row>
    <row r="553" spans="1:12" ht="22.5" customHeight="1">
      <c r="A553" s="50"/>
      <c r="B553" s="102"/>
      <c r="C553" s="17"/>
      <c r="D553" s="102"/>
      <c r="E553" s="48"/>
      <c r="F553" s="49"/>
      <c r="G553" s="49"/>
      <c r="H553" s="49"/>
      <c r="I553" s="49"/>
      <c r="J553" s="49"/>
      <c r="K553" s="24"/>
      <c r="L553" s="103"/>
    </row>
    <row r="554" spans="1:12" ht="22.5" customHeight="1">
      <c r="A554" s="50"/>
      <c r="B554" s="102"/>
      <c r="C554" s="17"/>
      <c r="D554" s="102"/>
      <c r="E554" s="48"/>
      <c r="F554" s="49"/>
      <c r="G554" s="49"/>
      <c r="H554" s="49"/>
      <c r="I554" s="49"/>
      <c r="J554" s="49"/>
      <c r="K554" s="24"/>
      <c r="L554" s="103"/>
    </row>
    <row r="555" spans="1:12" ht="22.5" customHeight="1">
      <c r="A555" s="50"/>
      <c r="B555" s="102"/>
      <c r="C555" s="17"/>
      <c r="D555" s="102"/>
      <c r="E555" s="48"/>
      <c r="F555" s="49"/>
      <c r="G555" s="49"/>
      <c r="H555" s="49"/>
      <c r="I555" s="49"/>
      <c r="J555" s="49"/>
      <c r="K555" s="24"/>
      <c r="L555" s="103"/>
    </row>
    <row r="556" spans="1:12" ht="22.5" customHeight="1">
      <c r="A556" s="50"/>
      <c r="B556" s="102"/>
      <c r="C556" s="17"/>
      <c r="D556" s="102"/>
      <c r="E556" s="48"/>
      <c r="F556" s="49"/>
      <c r="G556" s="49"/>
      <c r="H556" s="49"/>
      <c r="I556" s="49"/>
      <c r="J556" s="49"/>
      <c r="K556" s="24"/>
      <c r="L556" s="103"/>
    </row>
    <row r="557" spans="1:12" ht="22.5" customHeight="1">
      <c r="A557" s="50"/>
      <c r="B557" s="102"/>
      <c r="C557" s="17"/>
      <c r="D557" s="102"/>
      <c r="E557" s="48"/>
      <c r="F557" s="49"/>
      <c r="G557" s="49"/>
      <c r="H557" s="49"/>
      <c r="I557" s="49"/>
      <c r="J557" s="49"/>
      <c r="K557" s="24"/>
      <c r="L557" s="103"/>
    </row>
    <row r="558" spans="1:12" ht="22.5" customHeight="1">
      <c r="A558" s="50"/>
      <c r="B558" s="102"/>
      <c r="C558" s="17"/>
      <c r="D558" s="102"/>
      <c r="E558" s="48"/>
      <c r="F558" s="49"/>
      <c r="G558" s="49"/>
      <c r="H558" s="49"/>
      <c r="I558" s="49"/>
      <c r="J558" s="49"/>
      <c r="K558" s="24"/>
      <c r="L558" s="103"/>
    </row>
    <row r="559" spans="1:12" ht="22.5" customHeight="1">
      <c r="A559" s="50"/>
      <c r="B559" s="102"/>
      <c r="C559" s="17"/>
      <c r="D559" s="102"/>
      <c r="E559" s="48"/>
      <c r="F559" s="49"/>
      <c r="G559" s="49"/>
      <c r="H559" s="49"/>
      <c r="I559" s="49"/>
      <c r="J559" s="49"/>
      <c r="K559" s="24"/>
      <c r="L559" s="103"/>
    </row>
    <row r="560" spans="1:12" ht="22.5" customHeight="1">
      <c r="A560" s="50"/>
      <c r="B560" s="102"/>
      <c r="C560" s="17"/>
      <c r="D560" s="102"/>
      <c r="E560" s="48"/>
      <c r="F560" s="49"/>
      <c r="G560" s="49"/>
      <c r="H560" s="49"/>
      <c r="I560" s="49"/>
      <c r="J560" s="49"/>
      <c r="K560" s="24"/>
      <c r="L560" s="103"/>
    </row>
    <row r="561" spans="1:12" ht="22.5" customHeight="1">
      <c r="A561" s="50"/>
      <c r="B561" s="102"/>
      <c r="C561" s="17"/>
      <c r="D561" s="102"/>
      <c r="E561" s="48"/>
      <c r="F561" s="49"/>
      <c r="G561" s="49"/>
      <c r="H561" s="49"/>
      <c r="I561" s="49"/>
      <c r="J561" s="49"/>
      <c r="K561" s="24"/>
      <c r="L561" s="103"/>
    </row>
    <row r="562" spans="1:12" ht="22.5" customHeight="1">
      <c r="A562" s="50"/>
      <c r="B562" s="102"/>
      <c r="C562" s="17"/>
      <c r="D562" s="102"/>
      <c r="E562" s="48"/>
      <c r="F562" s="49"/>
      <c r="G562" s="49"/>
      <c r="H562" s="49"/>
      <c r="I562" s="49"/>
      <c r="J562" s="49"/>
      <c r="K562" s="24"/>
      <c r="L562" s="103"/>
    </row>
    <row r="563" spans="1:12" ht="22.5" customHeight="1">
      <c r="A563" s="50"/>
      <c r="B563" s="102"/>
      <c r="C563" s="17"/>
      <c r="D563" s="102"/>
      <c r="E563" s="48"/>
      <c r="F563" s="49"/>
      <c r="G563" s="49"/>
      <c r="H563" s="49"/>
      <c r="I563" s="49"/>
      <c r="J563" s="49"/>
      <c r="K563" s="24"/>
      <c r="L563" s="103"/>
    </row>
    <row r="564" spans="1:12" ht="22.5" customHeight="1">
      <c r="A564" s="50"/>
      <c r="B564" s="102"/>
      <c r="C564" s="17"/>
      <c r="D564" s="102"/>
      <c r="E564" s="48"/>
      <c r="F564" s="49"/>
      <c r="G564" s="49"/>
      <c r="H564" s="49"/>
      <c r="I564" s="49"/>
      <c r="J564" s="49"/>
      <c r="K564" s="24"/>
      <c r="L564" s="103"/>
    </row>
    <row r="565" spans="1:12" ht="22.5" customHeight="1">
      <c r="A565" s="50"/>
      <c r="B565" s="102"/>
      <c r="C565" s="17"/>
      <c r="D565" s="102"/>
      <c r="E565" s="48"/>
      <c r="F565" s="49"/>
      <c r="G565" s="49"/>
      <c r="H565" s="49"/>
      <c r="I565" s="49"/>
      <c r="J565" s="49"/>
      <c r="K565" s="24"/>
      <c r="L565" s="103"/>
    </row>
    <row r="566" spans="1:12" ht="22.5" customHeight="1">
      <c r="A566" s="50"/>
      <c r="B566" s="102"/>
      <c r="C566" s="17"/>
      <c r="D566" s="102"/>
      <c r="E566" s="48"/>
      <c r="F566" s="49"/>
      <c r="G566" s="49"/>
      <c r="H566" s="49"/>
      <c r="I566" s="49"/>
      <c r="J566" s="49"/>
      <c r="K566" s="24"/>
      <c r="L566" s="103"/>
    </row>
    <row r="567" spans="1:12" ht="22.5" customHeight="1">
      <c r="A567" s="50"/>
      <c r="B567" s="102"/>
      <c r="C567" s="17"/>
      <c r="D567" s="102"/>
      <c r="E567" s="48"/>
      <c r="F567" s="49"/>
      <c r="G567" s="49"/>
      <c r="H567" s="49"/>
      <c r="I567" s="49"/>
      <c r="J567" s="49"/>
      <c r="K567" s="24"/>
      <c r="L567" s="103"/>
    </row>
    <row r="568" spans="1:12" ht="22.5" customHeight="1">
      <c r="A568" s="50"/>
      <c r="B568" s="102"/>
      <c r="C568" s="17"/>
      <c r="D568" s="102"/>
      <c r="E568" s="48"/>
      <c r="F568" s="49"/>
      <c r="G568" s="49"/>
      <c r="H568" s="49"/>
      <c r="I568" s="49"/>
      <c r="J568" s="49"/>
      <c r="K568" s="24"/>
      <c r="L568" s="103"/>
    </row>
    <row r="569" spans="1:12" ht="22.5" customHeight="1">
      <c r="A569" s="50"/>
      <c r="B569" s="102"/>
      <c r="C569" s="17"/>
      <c r="D569" s="102"/>
      <c r="E569" s="48"/>
      <c r="F569" s="49"/>
      <c r="G569" s="49"/>
      <c r="H569" s="49"/>
      <c r="I569" s="49"/>
      <c r="J569" s="49"/>
      <c r="K569" s="24"/>
      <c r="L569" s="103"/>
    </row>
    <row r="570" spans="1:12" ht="22.5" customHeight="1">
      <c r="A570" s="50"/>
      <c r="B570" s="102"/>
      <c r="C570" s="17"/>
      <c r="D570" s="102"/>
      <c r="E570" s="48"/>
      <c r="F570" s="49"/>
      <c r="G570" s="49"/>
      <c r="H570" s="49"/>
      <c r="I570" s="49"/>
      <c r="J570" s="49"/>
      <c r="K570" s="24"/>
      <c r="L570" s="103"/>
    </row>
    <row r="571" spans="1:12" ht="22.5" customHeight="1">
      <c r="A571" s="50"/>
      <c r="B571" s="102"/>
      <c r="C571" s="17"/>
      <c r="D571" s="102"/>
      <c r="E571" s="48"/>
      <c r="F571" s="49"/>
      <c r="G571" s="49"/>
      <c r="H571" s="49"/>
      <c r="I571" s="49"/>
      <c r="J571" s="49"/>
      <c r="K571" s="24"/>
      <c r="L571" s="103"/>
    </row>
    <row r="572" spans="1:12" ht="22.5" customHeight="1">
      <c r="A572" s="50"/>
      <c r="B572" s="102"/>
      <c r="C572" s="17"/>
      <c r="D572" s="102"/>
      <c r="E572" s="48"/>
      <c r="F572" s="49"/>
      <c r="G572" s="49"/>
      <c r="H572" s="49"/>
      <c r="I572" s="49"/>
      <c r="J572" s="49"/>
      <c r="K572" s="24"/>
      <c r="L572" s="103"/>
    </row>
    <row r="573" spans="1:12" ht="22.5" customHeight="1">
      <c r="A573" s="50"/>
      <c r="B573" s="102"/>
      <c r="C573" s="17"/>
      <c r="D573" s="102"/>
      <c r="E573" s="48"/>
      <c r="F573" s="49"/>
      <c r="G573" s="49"/>
      <c r="H573" s="49"/>
      <c r="I573" s="49"/>
      <c r="J573" s="49"/>
      <c r="K573" s="24"/>
      <c r="L573" s="103"/>
    </row>
    <row r="574" spans="1:12" ht="22.5" customHeight="1">
      <c r="A574" s="50"/>
      <c r="B574" s="102"/>
      <c r="C574" s="17"/>
      <c r="D574" s="102"/>
      <c r="E574" s="48"/>
      <c r="F574" s="49"/>
      <c r="G574" s="49"/>
      <c r="H574" s="49"/>
      <c r="I574" s="49"/>
      <c r="J574" s="49"/>
      <c r="K574" s="24"/>
      <c r="L574" s="103"/>
    </row>
    <row r="575" spans="1:12" ht="22.5" customHeight="1">
      <c r="A575" s="50"/>
      <c r="B575" s="102"/>
      <c r="C575" s="17"/>
      <c r="D575" s="102"/>
      <c r="E575" s="48"/>
      <c r="F575" s="49"/>
      <c r="G575" s="49"/>
      <c r="H575" s="49"/>
      <c r="I575" s="49"/>
      <c r="J575" s="49"/>
      <c r="K575" s="24"/>
      <c r="L575" s="103"/>
    </row>
    <row r="576" spans="1:12" ht="22.5" customHeight="1">
      <c r="A576" s="50"/>
      <c r="B576" s="102"/>
      <c r="C576" s="17"/>
      <c r="D576" s="102"/>
      <c r="E576" s="48"/>
      <c r="F576" s="49"/>
      <c r="G576" s="49"/>
      <c r="H576" s="49"/>
      <c r="I576" s="49"/>
      <c r="J576" s="49"/>
      <c r="K576" s="24"/>
      <c r="L576" s="103"/>
    </row>
    <row r="577" spans="1:12" ht="22.5" customHeight="1">
      <c r="A577" s="50"/>
      <c r="B577" s="102"/>
      <c r="C577" s="17"/>
      <c r="D577" s="102"/>
      <c r="E577" s="48"/>
      <c r="F577" s="49"/>
      <c r="G577" s="49"/>
      <c r="H577" s="49"/>
      <c r="I577" s="49"/>
      <c r="J577" s="49"/>
      <c r="K577" s="24"/>
      <c r="L577" s="103"/>
    </row>
    <row r="578" spans="1:12" ht="22.5" customHeight="1">
      <c r="A578" s="50"/>
      <c r="B578" s="102"/>
      <c r="C578" s="17"/>
      <c r="D578" s="102"/>
      <c r="E578" s="48"/>
      <c r="F578" s="49"/>
      <c r="G578" s="49"/>
      <c r="H578" s="49"/>
      <c r="I578" s="49"/>
      <c r="J578" s="49"/>
      <c r="K578" s="24"/>
      <c r="L578" s="103"/>
    </row>
    <row r="579" spans="1:12" ht="22.5" customHeight="1">
      <c r="A579" s="50"/>
      <c r="B579" s="102"/>
      <c r="C579" s="17"/>
      <c r="D579" s="102"/>
      <c r="E579" s="48"/>
      <c r="F579" s="49"/>
      <c r="G579" s="49"/>
      <c r="H579" s="49"/>
      <c r="I579" s="49"/>
      <c r="J579" s="49"/>
      <c r="K579" s="24"/>
      <c r="L579" s="103"/>
    </row>
    <row r="580" spans="1:12" ht="22.5" customHeight="1">
      <c r="A580" s="50"/>
      <c r="B580" s="102"/>
      <c r="C580" s="17"/>
      <c r="D580" s="102"/>
      <c r="E580" s="48"/>
      <c r="F580" s="49"/>
      <c r="G580" s="49"/>
      <c r="H580" s="49"/>
      <c r="I580" s="49"/>
      <c r="J580" s="49"/>
      <c r="K580" s="24"/>
      <c r="L580" s="103"/>
    </row>
    <row r="581" spans="1:12" ht="22.5" customHeight="1">
      <c r="A581" s="50"/>
      <c r="B581" s="102"/>
      <c r="C581" s="17"/>
      <c r="D581" s="102"/>
      <c r="E581" s="48"/>
      <c r="F581" s="49"/>
      <c r="G581" s="49"/>
      <c r="H581" s="49"/>
      <c r="I581" s="49"/>
      <c r="J581" s="49"/>
      <c r="K581" s="24"/>
      <c r="L581" s="103"/>
    </row>
    <row r="582" spans="1:12" ht="22.5" customHeight="1">
      <c r="A582" s="50"/>
      <c r="B582" s="102"/>
      <c r="C582" s="17"/>
      <c r="D582" s="102"/>
      <c r="E582" s="48"/>
      <c r="F582" s="49"/>
      <c r="G582" s="49"/>
      <c r="H582" s="49"/>
      <c r="I582" s="49"/>
      <c r="J582" s="49"/>
      <c r="K582" s="24"/>
      <c r="L582" s="103"/>
    </row>
    <row r="583" spans="1:12" ht="22.5" customHeight="1">
      <c r="A583" s="50"/>
      <c r="B583" s="102"/>
      <c r="C583" s="17"/>
      <c r="D583" s="102"/>
      <c r="E583" s="48"/>
      <c r="F583" s="49"/>
      <c r="G583" s="49"/>
      <c r="H583" s="49"/>
      <c r="I583" s="49"/>
      <c r="J583" s="49"/>
      <c r="K583" s="24"/>
      <c r="L583" s="103"/>
    </row>
    <row r="584" spans="1:12" ht="22.5" customHeight="1">
      <c r="A584" s="50"/>
      <c r="B584" s="102"/>
      <c r="C584" s="17"/>
      <c r="D584" s="102"/>
      <c r="E584" s="48"/>
      <c r="F584" s="49"/>
      <c r="G584" s="49"/>
      <c r="H584" s="49"/>
      <c r="I584" s="49"/>
      <c r="J584" s="49"/>
      <c r="K584" s="24"/>
      <c r="L584" s="103"/>
    </row>
    <row r="585" spans="1:12" ht="22.5" customHeight="1">
      <c r="A585" s="50"/>
      <c r="B585" s="102"/>
      <c r="C585" s="17"/>
      <c r="D585" s="102"/>
      <c r="E585" s="48"/>
      <c r="F585" s="49"/>
      <c r="G585" s="49"/>
      <c r="H585" s="49"/>
      <c r="I585" s="49"/>
      <c r="J585" s="49"/>
      <c r="K585" s="24"/>
      <c r="L585" s="103"/>
    </row>
    <row r="586" spans="1:12" ht="22.5" customHeight="1">
      <c r="A586" s="50"/>
      <c r="B586" s="102"/>
      <c r="C586" s="17"/>
      <c r="D586" s="102"/>
      <c r="E586" s="48"/>
      <c r="F586" s="49"/>
      <c r="G586" s="49"/>
      <c r="H586" s="49"/>
      <c r="I586" s="49"/>
      <c r="J586" s="49"/>
      <c r="K586" s="24"/>
      <c r="L586" s="103"/>
    </row>
    <row r="587" spans="1:12" ht="22.5" customHeight="1">
      <c r="A587" s="50"/>
      <c r="B587" s="102"/>
      <c r="C587" s="17"/>
      <c r="D587" s="102"/>
      <c r="E587" s="48"/>
      <c r="F587" s="49"/>
      <c r="G587" s="49"/>
      <c r="H587" s="49"/>
      <c r="I587" s="49"/>
      <c r="J587" s="49"/>
      <c r="K587" s="24"/>
      <c r="L587" s="103"/>
    </row>
    <row r="588" spans="1:12" ht="22.5" customHeight="1">
      <c r="A588" s="50"/>
      <c r="B588" s="102"/>
      <c r="C588" s="17"/>
      <c r="D588" s="102"/>
      <c r="E588" s="48"/>
      <c r="F588" s="49"/>
      <c r="G588" s="49"/>
      <c r="H588" s="49"/>
      <c r="I588" s="49"/>
      <c r="J588" s="49"/>
      <c r="K588" s="24"/>
      <c r="L588" s="103"/>
    </row>
    <row r="589" spans="1:12" ht="22.5" customHeight="1">
      <c r="A589" s="50"/>
      <c r="B589" s="102"/>
      <c r="C589" s="17"/>
      <c r="D589" s="102"/>
      <c r="E589" s="48"/>
      <c r="F589" s="49"/>
      <c r="G589" s="49"/>
      <c r="H589" s="49"/>
      <c r="I589" s="49"/>
      <c r="J589" s="49"/>
      <c r="K589" s="24"/>
      <c r="L589" s="103"/>
    </row>
    <row r="590" spans="1:12" ht="22.5" customHeight="1">
      <c r="A590" s="50"/>
      <c r="B590" s="102"/>
      <c r="C590" s="17"/>
      <c r="D590" s="102"/>
      <c r="E590" s="48"/>
      <c r="F590" s="49"/>
      <c r="G590" s="49"/>
      <c r="H590" s="49"/>
      <c r="I590" s="49"/>
      <c r="J590" s="49"/>
      <c r="K590" s="24"/>
      <c r="L590" s="103"/>
    </row>
    <row r="591" spans="1:12" ht="22.5" customHeight="1">
      <c r="A591" s="50"/>
      <c r="B591" s="102"/>
      <c r="C591" s="17"/>
      <c r="D591" s="102"/>
      <c r="E591" s="48"/>
      <c r="F591" s="49"/>
      <c r="G591" s="49"/>
      <c r="H591" s="49"/>
      <c r="I591" s="49"/>
      <c r="J591" s="49"/>
      <c r="K591" s="24"/>
      <c r="L591" s="103"/>
    </row>
    <row r="592" spans="1:12" ht="22.5" customHeight="1">
      <c r="A592" s="50"/>
      <c r="B592" s="102"/>
      <c r="C592" s="17"/>
      <c r="D592" s="102"/>
      <c r="E592" s="48"/>
      <c r="F592" s="49"/>
      <c r="G592" s="49"/>
      <c r="H592" s="49"/>
      <c r="I592" s="49"/>
      <c r="J592" s="49"/>
      <c r="K592" s="24"/>
      <c r="L592" s="103"/>
    </row>
    <row r="593" spans="1:12" ht="22.5" customHeight="1">
      <c r="A593" s="50"/>
      <c r="B593" s="102"/>
      <c r="C593" s="17"/>
      <c r="D593" s="102"/>
      <c r="E593" s="48"/>
      <c r="F593" s="49"/>
      <c r="G593" s="49"/>
      <c r="H593" s="49"/>
      <c r="I593" s="49"/>
      <c r="J593" s="49"/>
      <c r="K593" s="24"/>
      <c r="L593" s="103"/>
    </row>
    <row r="594" spans="1:12" ht="22.5" customHeight="1">
      <c r="A594" s="50"/>
      <c r="B594" s="102"/>
      <c r="C594" s="17"/>
      <c r="D594" s="102"/>
      <c r="E594" s="48"/>
      <c r="F594" s="49"/>
      <c r="G594" s="49"/>
      <c r="H594" s="49"/>
      <c r="I594" s="49"/>
      <c r="J594" s="49"/>
      <c r="K594" s="24"/>
      <c r="L594" s="103"/>
    </row>
    <row r="595" spans="1:12" ht="22.5" customHeight="1">
      <c r="A595" s="50"/>
      <c r="B595" s="102"/>
      <c r="C595" s="17"/>
      <c r="D595" s="102"/>
      <c r="E595" s="48"/>
      <c r="F595" s="49"/>
      <c r="G595" s="49"/>
      <c r="H595" s="49"/>
      <c r="I595" s="49"/>
      <c r="J595" s="49"/>
      <c r="K595" s="24"/>
      <c r="L595" s="103"/>
    </row>
    <row r="596" spans="1:12" ht="22.5" customHeight="1">
      <c r="A596" s="50"/>
      <c r="B596" s="102"/>
      <c r="C596" s="17"/>
      <c r="D596" s="102"/>
      <c r="E596" s="48"/>
      <c r="F596" s="49"/>
      <c r="G596" s="49"/>
      <c r="H596" s="49"/>
      <c r="I596" s="49"/>
      <c r="J596" s="49"/>
      <c r="K596" s="24"/>
      <c r="L596" s="103"/>
    </row>
    <row r="597" spans="1:12" ht="22.5" customHeight="1">
      <c r="A597" s="50"/>
      <c r="B597" s="102"/>
      <c r="C597" s="17"/>
      <c r="D597" s="102"/>
      <c r="E597" s="48"/>
      <c r="F597" s="49"/>
      <c r="G597" s="49"/>
      <c r="H597" s="49"/>
      <c r="I597" s="49"/>
      <c r="J597" s="49"/>
      <c r="K597" s="24"/>
      <c r="L597" s="103"/>
    </row>
    <row r="598" spans="1:12" ht="22.5" customHeight="1">
      <c r="A598" s="50"/>
      <c r="B598" s="102"/>
      <c r="C598" s="17"/>
      <c r="D598" s="102"/>
      <c r="E598" s="48"/>
      <c r="F598" s="49"/>
      <c r="G598" s="49"/>
      <c r="H598" s="49"/>
      <c r="I598" s="49"/>
      <c r="J598" s="49"/>
      <c r="K598" s="24"/>
      <c r="L598" s="103"/>
    </row>
    <row r="599" spans="1:12" ht="22.5" customHeight="1">
      <c r="A599" s="50"/>
      <c r="B599" s="102"/>
      <c r="C599" s="17"/>
      <c r="D599" s="102"/>
      <c r="E599" s="48"/>
      <c r="F599" s="49"/>
      <c r="G599" s="49"/>
      <c r="H599" s="49"/>
      <c r="I599" s="49"/>
      <c r="J599" s="49"/>
      <c r="K599" s="24"/>
      <c r="L599" s="103"/>
    </row>
    <row r="600" spans="1:12" ht="22.5" customHeight="1">
      <c r="A600" s="50"/>
      <c r="B600" s="102"/>
      <c r="C600" s="17"/>
      <c r="D600" s="102"/>
      <c r="E600" s="48"/>
      <c r="F600" s="49"/>
      <c r="G600" s="49"/>
      <c r="H600" s="49"/>
      <c r="I600" s="49"/>
      <c r="J600" s="49"/>
      <c r="K600" s="24"/>
      <c r="L600" s="103"/>
    </row>
    <row r="601" spans="1:12" ht="22.5" customHeight="1">
      <c r="A601" s="50"/>
      <c r="B601" s="102"/>
      <c r="C601" s="17"/>
      <c r="D601" s="102"/>
      <c r="E601" s="48"/>
      <c r="F601" s="49"/>
      <c r="G601" s="49"/>
      <c r="H601" s="49"/>
      <c r="I601" s="49"/>
      <c r="J601" s="49"/>
      <c r="K601" s="24"/>
      <c r="L601" s="103"/>
    </row>
    <row r="602" spans="1:12" ht="22.5" customHeight="1">
      <c r="A602" s="50"/>
      <c r="B602" s="102"/>
      <c r="C602" s="17"/>
      <c r="D602" s="102"/>
      <c r="E602" s="48"/>
      <c r="F602" s="49"/>
      <c r="G602" s="49"/>
      <c r="H602" s="49"/>
      <c r="I602" s="49"/>
      <c r="J602" s="49"/>
      <c r="K602" s="24"/>
      <c r="L602" s="103"/>
    </row>
    <row r="603" spans="1:12" ht="22.5" customHeight="1">
      <c r="A603" s="50"/>
      <c r="B603" s="102"/>
      <c r="C603" s="17"/>
      <c r="D603" s="102"/>
      <c r="E603" s="48"/>
      <c r="F603" s="49"/>
      <c r="G603" s="49"/>
      <c r="H603" s="49"/>
      <c r="I603" s="49"/>
      <c r="J603" s="49"/>
      <c r="K603" s="24"/>
      <c r="L603" s="103"/>
    </row>
    <row r="604" spans="1:12" ht="22.5" customHeight="1">
      <c r="A604" s="50"/>
      <c r="B604" s="102"/>
      <c r="C604" s="17"/>
      <c r="D604" s="102"/>
      <c r="E604" s="48"/>
      <c r="F604" s="49"/>
      <c r="G604" s="49"/>
      <c r="H604" s="49"/>
      <c r="I604" s="49"/>
      <c r="J604" s="49"/>
      <c r="K604" s="24"/>
      <c r="L604" s="103"/>
    </row>
    <row r="605" spans="1:12" ht="22.5" customHeight="1">
      <c r="A605" s="50"/>
      <c r="B605" s="102"/>
      <c r="C605" s="17"/>
      <c r="D605" s="102"/>
      <c r="E605" s="48"/>
      <c r="F605" s="49"/>
      <c r="G605" s="49"/>
      <c r="H605" s="49"/>
      <c r="I605" s="49"/>
      <c r="J605" s="49"/>
      <c r="K605" s="24"/>
      <c r="L605" s="103"/>
    </row>
    <row r="606" spans="1:12" ht="22.5" customHeight="1">
      <c r="A606" s="50"/>
      <c r="B606" s="102"/>
      <c r="C606" s="17"/>
      <c r="D606" s="102"/>
      <c r="E606" s="48"/>
      <c r="F606" s="49"/>
      <c r="G606" s="49"/>
      <c r="H606" s="49"/>
      <c r="I606" s="49"/>
      <c r="J606" s="49"/>
      <c r="K606" s="24"/>
      <c r="L606" s="103"/>
    </row>
    <row r="607" spans="1:12" ht="22.5" customHeight="1">
      <c r="A607" s="50"/>
      <c r="B607" s="102"/>
      <c r="C607" s="17"/>
      <c r="D607" s="102"/>
      <c r="E607" s="48"/>
      <c r="F607" s="49"/>
      <c r="G607" s="49"/>
      <c r="H607" s="49"/>
      <c r="I607" s="49"/>
      <c r="J607" s="49"/>
      <c r="K607" s="24"/>
      <c r="L607" s="103"/>
    </row>
    <row r="608" spans="1:12" ht="22.5" customHeight="1">
      <c r="A608" s="50"/>
      <c r="B608" s="102"/>
      <c r="C608" s="17"/>
      <c r="D608" s="102"/>
      <c r="E608" s="48"/>
      <c r="F608" s="49"/>
      <c r="G608" s="49"/>
      <c r="H608" s="49"/>
      <c r="I608" s="49"/>
      <c r="J608" s="49"/>
      <c r="K608" s="24"/>
      <c r="L608" s="103"/>
    </row>
    <row r="609" spans="1:12" ht="22.5" customHeight="1">
      <c r="A609" s="50"/>
      <c r="B609" s="102"/>
      <c r="C609" s="17"/>
      <c r="D609" s="102"/>
      <c r="E609" s="48"/>
      <c r="F609" s="49"/>
      <c r="G609" s="49"/>
      <c r="H609" s="49"/>
      <c r="I609" s="49"/>
      <c r="J609" s="49"/>
      <c r="K609" s="24"/>
      <c r="L609" s="103"/>
    </row>
    <row r="610" spans="1:12" ht="22.5" customHeight="1">
      <c r="A610" s="50"/>
      <c r="B610" s="102"/>
      <c r="C610" s="17"/>
      <c r="D610" s="102"/>
      <c r="E610" s="48"/>
      <c r="F610" s="49"/>
      <c r="G610" s="49"/>
      <c r="H610" s="49"/>
      <c r="I610" s="49"/>
      <c r="J610" s="49"/>
      <c r="K610" s="24"/>
      <c r="L610" s="103"/>
    </row>
    <row r="611" spans="1:12" ht="22.5" customHeight="1">
      <c r="A611" s="50"/>
      <c r="B611" s="102"/>
      <c r="C611" s="17"/>
      <c r="D611" s="102"/>
      <c r="E611" s="48"/>
      <c r="F611" s="49"/>
      <c r="G611" s="49"/>
      <c r="H611" s="49"/>
      <c r="I611" s="49"/>
      <c r="J611" s="49"/>
      <c r="K611" s="24"/>
      <c r="L611" s="103"/>
    </row>
    <row r="612" spans="1:12" ht="22.5" customHeight="1">
      <c r="A612" s="50"/>
      <c r="B612" s="102"/>
      <c r="C612" s="17"/>
      <c r="D612" s="102"/>
      <c r="E612" s="48"/>
      <c r="F612" s="49"/>
      <c r="G612" s="49"/>
      <c r="H612" s="49"/>
      <c r="I612" s="49"/>
      <c r="J612" s="49"/>
      <c r="K612" s="24"/>
      <c r="L612" s="103"/>
    </row>
    <row r="613" spans="1:12" ht="22.5" customHeight="1">
      <c r="A613" s="50"/>
      <c r="B613" s="102"/>
      <c r="C613" s="17"/>
      <c r="D613" s="102"/>
      <c r="E613" s="48"/>
      <c r="F613" s="49"/>
      <c r="G613" s="49"/>
      <c r="H613" s="49"/>
      <c r="I613" s="49"/>
      <c r="J613" s="49"/>
      <c r="K613" s="24"/>
      <c r="L613" s="103"/>
    </row>
    <row r="614" spans="1:12" ht="22.5" customHeight="1">
      <c r="A614" s="50"/>
      <c r="B614" s="102"/>
      <c r="C614" s="17"/>
      <c r="D614" s="102"/>
      <c r="E614" s="48"/>
      <c r="F614" s="49"/>
      <c r="G614" s="49"/>
      <c r="H614" s="49"/>
      <c r="I614" s="49"/>
      <c r="J614" s="49"/>
      <c r="K614" s="24"/>
      <c r="L614" s="103"/>
    </row>
    <row r="615" spans="1:12" ht="22.5" customHeight="1">
      <c r="A615" s="50"/>
      <c r="B615" s="102"/>
      <c r="C615" s="17"/>
      <c r="D615" s="102"/>
      <c r="E615" s="48"/>
      <c r="F615" s="49"/>
      <c r="G615" s="49"/>
      <c r="H615" s="49"/>
      <c r="I615" s="49"/>
      <c r="J615" s="49"/>
      <c r="K615" s="24"/>
      <c r="L615" s="103"/>
    </row>
    <row r="616" spans="1:12" ht="22.5" customHeight="1">
      <c r="A616" s="50"/>
      <c r="B616" s="102"/>
      <c r="C616" s="17"/>
      <c r="D616" s="102"/>
      <c r="E616" s="48"/>
      <c r="F616" s="49"/>
      <c r="G616" s="49"/>
      <c r="H616" s="49"/>
      <c r="I616" s="49"/>
      <c r="J616" s="49"/>
      <c r="K616" s="24"/>
      <c r="L616" s="103"/>
    </row>
    <row r="617" spans="1:12" ht="22.5" customHeight="1">
      <c r="A617" s="50"/>
      <c r="B617" s="102"/>
      <c r="C617" s="17"/>
      <c r="D617" s="102"/>
      <c r="E617" s="48"/>
      <c r="F617" s="49"/>
      <c r="G617" s="49"/>
      <c r="H617" s="49"/>
      <c r="I617" s="49"/>
      <c r="J617" s="49"/>
      <c r="K617" s="24"/>
      <c r="L617" s="103"/>
    </row>
    <row r="618" spans="1:12" ht="22.5" customHeight="1">
      <c r="A618" s="50"/>
      <c r="B618" s="102"/>
      <c r="C618" s="17"/>
      <c r="D618" s="102"/>
      <c r="E618" s="48"/>
      <c r="F618" s="49"/>
      <c r="G618" s="49"/>
      <c r="H618" s="49"/>
      <c r="I618" s="49"/>
      <c r="J618" s="49"/>
      <c r="K618" s="24"/>
      <c r="L618" s="103"/>
    </row>
    <row r="619" spans="1:12" ht="22.5" customHeight="1">
      <c r="A619" s="50"/>
      <c r="B619" s="102"/>
      <c r="C619" s="17"/>
      <c r="D619" s="102"/>
      <c r="E619" s="48"/>
      <c r="F619" s="49"/>
      <c r="G619" s="49"/>
      <c r="H619" s="49"/>
      <c r="I619" s="49"/>
      <c r="J619" s="49"/>
      <c r="K619" s="24"/>
      <c r="L619" s="103"/>
    </row>
    <row r="620" spans="1:12" ht="22.5" customHeight="1">
      <c r="A620" s="50"/>
      <c r="B620" s="102"/>
      <c r="C620" s="17"/>
      <c r="D620" s="102"/>
      <c r="E620" s="48"/>
      <c r="F620" s="49"/>
      <c r="G620" s="49"/>
      <c r="H620" s="49"/>
      <c r="I620" s="49"/>
      <c r="J620" s="49"/>
      <c r="K620" s="24"/>
      <c r="L620" s="103"/>
    </row>
    <row r="621" spans="1:12" ht="22.5" customHeight="1">
      <c r="A621" s="50"/>
      <c r="B621" s="102"/>
      <c r="C621" s="17"/>
      <c r="D621" s="102"/>
      <c r="E621" s="48"/>
      <c r="F621" s="49"/>
      <c r="G621" s="49"/>
      <c r="H621" s="49"/>
      <c r="I621" s="49"/>
      <c r="J621" s="49"/>
      <c r="K621" s="24"/>
      <c r="L621" s="103"/>
    </row>
    <row r="622" spans="1:12" ht="22.5" customHeight="1">
      <c r="A622" s="50"/>
      <c r="B622" s="102"/>
      <c r="C622" s="17"/>
      <c r="D622" s="102"/>
      <c r="E622" s="48"/>
      <c r="F622" s="49"/>
      <c r="G622" s="49"/>
      <c r="H622" s="49"/>
      <c r="I622" s="49"/>
      <c r="J622" s="49"/>
      <c r="K622" s="24"/>
      <c r="L622" s="103"/>
    </row>
    <row r="623" spans="1:12" ht="22.5" customHeight="1">
      <c r="A623" s="50"/>
      <c r="B623" s="102"/>
      <c r="C623" s="17"/>
      <c r="D623" s="102"/>
      <c r="E623" s="48"/>
      <c r="F623" s="49"/>
      <c r="G623" s="49"/>
      <c r="H623" s="49"/>
      <c r="I623" s="49"/>
      <c r="J623" s="49"/>
      <c r="K623" s="24"/>
      <c r="L623" s="103"/>
    </row>
    <row r="624" spans="1:12" ht="22.5" customHeight="1">
      <c r="A624" s="50"/>
      <c r="B624" s="102"/>
      <c r="C624" s="17"/>
      <c r="D624" s="102"/>
      <c r="E624" s="48"/>
      <c r="F624" s="49"/>
      <c r="G624" s="49"/>
      <c r="H624" s="49"/>
      <c r="I624" s="49"/>
      <c r="J624" s="49"/>
      <c r="K624" s="24"/>
      <c r="L624" s="103"/>
    </row>
    <row r="625" spans="1:12" ht="22.5" customHeight="1">
      <c r="A625" s="50"/>
      <c r="B625" s="102"/>
      <c r="C625" s="17"/>
      <c r="D625" s="102"/>
      <c r="E625" s="48"/>
      <c r="F625" s="49"/>
      <c r="G625" s="49"/>
      <c r="H625" s="49"/>
      <c r="I625" s="49"/>
      <c r="J625" s="49"/>
      <c r="K625" s="24"/>
      <c r="L625" s="103"/>
    </row>
    <row r="626" spans="1:12" ht="22.5" customHeight="1">
      <c r="A626" s="50"/>
      <c r="B626" s="102"/>
      <c r="C626" s="17"/>
      <c r="D626" s="102"/>
      <c r="E626" s="48"/>
      <c r="F626" s="49"/>
      <c r="G626" s="49"/>
      <c r="H626" s="49"/>
      <c r="I626" s="49"/>
      <c r="J626" s="49"/>
      <c r="K626" s="24"/>
      <c r="L626" s="103"/>
    </row>
    <row r="627" spans="1:12" ht="22.5" customHeight="1">
      <c r="A627" s="50"/>
      <c r="B627" s="102"/>
      <c r="C627" s="17"/>
      <c r="D627" s="102"/>
      <c r="E627" s="48"/>
      <c r="F627" s="49"/>
      <c r="G627" s="49"/>
      <c r="H627" s="49"/>
      <c r="I627" s="49"/>
      <c r="J627" s="49"/>
      <c r="K627" s="24"/>
      <c r="L627" s="103"/>
    </row>
    <row r="628" spans="1:12" ht="22.5" customHeight="1">
      <c r="A628" s="50"/>
      <c r="B628" s="102"/>
      <c r="C628" s="17"/>
      <c r="D628" s="102"/>
      <c r="E628" s="48"/>
      <c r="F628" s="49"/>
      <c r="G628" s="49"/>
      <c r="H628" s="49"/>
      <c r="I628" s="49"/>
      <c r="J628" s="49"/>
      <c r="K628" s="24"/>
      <c r="L628" s="103"/>
    </row>
    <row r="629" spans="1:12" ht="22.5" customHeight="1">
      <c r="A629" s="50"/>
      <c r="B629" s="102"/>
      <c r="C629" s="17"/>
      <c r="D629" s="102"/>
      <c r="E629" s="48"/>
      <c r="F629" s="49"/>
      <c r="G629" s="49"/>
      <c r="H629" s="49"/>
      <c r="I629" s="49"/>
      <c r="J629" s="49"/>
      <c r="K629" s="24"/>
      <c r="L629" s="103"/>
    </row>
    <row r="630" spans="1:12" ht="22.5" customHeight="1">
      <c r="A630" s="50"/>
      <c r="B630" s="102"/>
      <c r="C630" s="17"/>
      <c r="D630" s="102"/>
      <c r="E630" s="48"/>
      <c r="F630" s="49"/>
      <c r="G630" s="49"/>
      <c r="H630" s="49"/>
      <c r="I630" s="49"/>
      <c r="J630" s="49"/>
      <c r="K630" s="24"/>
      <c r="L630" s="103"/>
    </row>
    <row r="631" spans="1:12" ht="22.5" customHeight="1">
      <c r="A631" s="50"/>
      <c r="B631" s="102"/>
      <c r="C631" s="17"/>
      <c r="D631" s="102"/>
      <c r="E631" s="48"/>
      <c r="F631" s="49"/>
      <c r="G631" s="49"/>
      <c r="H631" s="49"/>
      <c r="I631" s="49"/>
      <c r="J631" s="49"/>
      <c r="K631" s="24"/>
      <c r="L631" s="103"/>
    </row>
    <row r="632" spans="1:12" ht="22.5" customHeight="1">
      <c r="A632" s="50"/>
      <c r="B632" s="102"/>
      <c r="C632" s="17"/>
      <c r="D632" s="102"/>
      <c r="E632" s="48"/>
      <c r="F632" s="49"/>
      <c r="G632" s="49"/>
      <c r="H632" s="49"/>
      <c r="I632" s="49"/>
      <c r="J632" s="49"/>
      <c r="K632" s="24"/>
      <c r="L632" s="103"/>
    </row>
    <row r="633" spans="1:12" ht="22.5" customHeight="1">
      <c r="A633" s="50"/>
      <c r="B633" s="102"/>
      <c r="C633" s="17"/>
      <c r="D633" s="102"/>
      <c r="E633" s="48"/>
      <c r="F633" s="49"/>
      <c r="G633" s="49"/>
      <c r="H633" s="49"/>
      <c r="I633" s="49"/>
      <c r="J633" s="49"/>
      <c r="K633" s="24"/>
      <c r="L633" s="103"/>
    </row>
    <row r="634" spans="1:12" ht="22.5" customHeight="1">
      <c r="A634" s="50"/>
      <c r="B634" s="102"/>
      <c r="C634" s="17"/>
      <c r="D634" s="102"/>
      <c r="E634" s="48"/>
      <c r="F634" s="49"/>
      <c r="G634" s="49"/>
      <c r="H634" s="49"/>
      <c r="I634" s="49"/>
      <c r="J634" s="49"/>
      <c r="K634" s="24"/>
      <c r="L634" s="103"/>
    </row>
    <row r="635" spans="1:12" ht="22.5" customHeight="1">
      <c r="A635" s="50"/>
      <c r="B635" s="102"/>
      <c r="C635" s="17"/>
      <c r="D635" s="102"/>
      <c r="E635" s="48"/>
      <c r="F635" s="49"/>
      <c r="G635" s="49"/>
      <c r="H635" s="49"/>
      <c r="I635" s="49"/>
      <c r="J635" s="49"/>
      <c r="K635" s="24"/>
      <c r="L635" s="103"/>
    </row>
    <row r="636" spans="1:12" ht="22.5" customHeight="1">
      <c r="A636" s="50"/>
      <c r="B636" s="102"/>
      <c r="C636" s="17"/>
      <c r="D636" s="102"/>
      <c r="E636" s="48"/>
      <c r="F636" s="49"/>
      <c r="G636" s="49"/>
      <c r="H636" s="49"/>
      <c r="I636" s="49"/>
      <c r="J636" s="49"/>
      <c r="K636" s="24"/>
      <c r="L636" s="103"/>
    </row>
    <row r="637" spans="1:12" ht="22.5" customHeight="1">
      <c r="A637" s="50"/>
      <c r="B637" s="102"/>
      <c r="C637" s="17"/>
      <c r="D637" s="102"/>
      <c r="E637" s="48"/>
      <c r="F637" s="49"/>
      <c r="G637" s="49"/>
      <c r="H637" s="49"/>
      <c r="I637" s="49"/>
      <c r="J637" s="49"/>
      <c r="K637" s="24"/>
      <c r="L637" s="103"/>
    </row>
    <row r="638" spans="1:12" ht="22.5" customHeight="1">
      <c r="A638" s="50"/>
      <c r="B638" s="102"/>
      <c r="C638" s="17"/>
      <c r="D638" s="102"/>
      <c r="E638" s="48"/>
      <c r="F638" s="49"/>
      <c r="G638" s="49"/>
      <c r="H638" s="49"/>
      <c r="I638" s="49"/>
      <c r="J638" s="49"/>
      <c r="K638" s="24"/>
      <c r="L638" s="103"/>
    </row>
    <row r="639" spans="1:12" ht="22.5" customHeight="1">
      <c r="A639" s="50"/>
      <c r="B639" s="102"/>
      <c r="C639" s="17"/>
      <c r="D639" s="102"/>
      <c r="E639" s="48"/>
      <c r="F639" s="49"/>
      <c r="G639" s="49"/>
      <c r="H639" s="49"/>
      <c r="I639" s="49"/>
      <c r="J639" s="49"/>
      <c r="K639" s="24"/>
      <c r="L639" s="103"/>
    </row>
    <row r="640" spans="1:12" ht="22.5" customHeight="1">
      <c r="A640" s="50"/>
      <c r="B640" s="102"/>
      <c r="C640" s="17"/>
      <c r="D640" s="102"/>
      <c r="E640" s="48"/>
      <c r="F640" s="49"/>
      <c r="G640" s="49"/>
      <c r="H640" s="49"/>
      <c r="I640" s="49"/>
      <c r="J640" s="49"/>
      <c r="K640" s="24"/>
      <c r="L640" s="103"/>
    </row>
    <row r="641" spans="1:12" ht="22.5" customHeight="1">
      <c r="A641" s="50"/>
      <c r="B641" s="102"/>
      <c r="C641" s="17"/>
      <c r="D641" s="102"/>
      <c r="E641" s="48"/>
      <c r="F641" s="49"/>
      <c r="G641" s="49"/>
      <c r="H641" s="49"/>
      <c r="I641" s="49"/>
      <c r="J641" s="49"/>
      <c r="K641" s="24"/>
      <c r="L641" s="103"/>
    </row>
    <row r="642" spans="1:12" ht="22.5" customHeight="1">
      <c r="A642" s="50"/>
      <c r="B642" s="102"/>
      <c r="C642" s="17"/>
      <c r="D642" s="102"/>
      <c r="E642" s="48"/>
      <c r="F642" s="49"/>
      <c r="G642" s="49"/>
      <c r="H642" s="49"/>
      <c r="I642" s="49"/>
      <c r="J642" s="49"/>
      <c r="K642" s="24"/>
      <c r="L642" s="103"/>
    </row>
    <row r="643" spans="1:12" ht="22.5" customHeight="1">
      <c r="A643" s="50"/>
      <c r="B643" s="102"/>
      <c r="C643" s="17"/>
      <c r="D643" s="102"/>
      <c r="E643" s="48"/>
      <c r="F643" s="49"/>
      <c r="G643" s="49"/>
      <c r="H643" s="49"/>
      <c r="I643" s="49"/>
      <c r="J643" s="49"/>
      <c r="K643" s="24"/>
      <c r="L643" s="103"/>
    </row>
    <row r="644" spans="1:12" ht="22.5" customHeight="1">
      <c r="A644" s="50"/>
      <c r="B644" s="102"/>
      <c r="C644" s="17"/>
      <c r="D644" s="102"/>
      <c r="E644" s="48"/>
      <c r="F644" s="49"/>
      <c r="G644" s="49"/>
      <c r="H644" s="49"/>
      <c r="I644" s="49"/>
      <c r="J644" s="49"/>
      <c r="K644" s="24"/>
      <c r="L644" s="103"/>
    </row>
    <row r="645" spans="1:12" ht="22.5" customHeight="1">
      <c r="A645" s="50"/>
      <c r="B645" s="102"/>
      <c r="C645" s="17"/>
      <c r="D645" s="102"/>
      <c r="E645" s="48"/>
      <c r="F645" s="49"/>
      <c r="G645" s="49"/>
      <c r="H645" s="49"/>
      <c r="I645" s="49"/>
      <c r="J645" s="49"/>
      <c r="K645" s="24"/>
      <c r="L645" s="103"/>
    </row>
    <row r="646" spans="1:12" ht="22.5" customHeight="1">
      <c r="A646" s="50"/>
      <c r="B646" s="102"/>
      <c r="C646" s="17"/>
      <c r="D646" s="102"/>
      <c r="E646" s="48"/>
      <c r="F646" s="49"/>
      <c r="G646" s="49"/>
      <c r="H646" s="49"/>
      <c r="I646" s="49"/>
      <c r="J646" s="49"/>
      <c r="K646" s="24"/>
      <c r="L646" s="103"/>
    </row>
    <row r="647" spans="1:12" ht="22.5" customHeight="1">
      <c r="A647" s="50"/>
      <c r="B647" s="102"/>
      <c r="C647" s="17"/>
      <c r="D647" s="102"/>
      <c r="E647" s="48"/>
      <c r="F647" s="49"/>
      <c r="G647" s="49"/>
      <c r="H647" s="49"/>
      <c r="I647" s="49"/>
      <c r="J647" s="49"/>
      <c r="K647" s="24"/>
      <c r="L647" s="103"/>
    </row>
    <row r="648" spans="1:12" ht="22.5" customHeight="1">
      <c r="A648" s="50"/>
      <c r="B648" s="102"/>
      <c r="C648" s="17"/>
      <c r="D648" s="102"/>
      <c r="E648" s="48"/>
      <c r="F648" s="49"/>
      <c r="G648" s="49"/>
      <c r="H648" s="49"/>
      <c r="I648" s="49"/>
      <c r="J648" s="49"/>
      <c r="K648" s="24"/>
      <c r="L648" s="103"/>
    </row>
    <row r="649" spans="1:12" ht="22.5" customHeight="1">
      <c r="A649" s="50"/>
      <c r="B649" s="102"/>
      <c r="C649" s="17"/>
      <c r="D649" s="102"/>
      <c r="E649" s="48"/>
      <c r="F649" s="49"/>
      <c r="G649" s="49"/>
      <c r="H649" s="49"/>
      <c r="I649" s="49"/>
      <c r="J649" s="49"/>
      <c r="K649" s="24"/>
      <c r="L649" s="103"/>
    </row>
    <row r="650" spans="1:12" ht="22.5" customHeight="1">
      <c r="A650" s="50"/>
      <c r="B650" s="102"/>
      <c r="C650" s="17"/>
      <c r="D650" s="102"/>
      <c r="E650" s="48"/>
      <c r="F650" s="49"/>
      <c r="G650" s="49"/>
      <c r="H650" s="49"/>
      <c r="I650" s="49"/>
      <c r="J650" s="49"/>
      <c r="K650" s="24"/>
      <c r="L650" s="103"/>
    </row>
    <row r="651" spans="1:12" ht="22.5" customHeight="1">
      <c r="A651" s="50"/>
      <c r="B651" s="102"/>
      <c r="C651" s="17"/>
      <c r="D651" s="102"/>
      <c r="E651" s="48"/>
      <c r="F651" s="49"/>
      <c r="G651" s="49"/>
      <c r="H651" s="49"/>
      <c r="I651" s="49"/>
      <c r="J651" s="49"/>
      <c r="K651" s="24"/>
      <c r="L651" s="103"/>
    </row>
    <row r="652" spans="1:12" ht="22.5" customHeight="1">
      <c r="A652" s="50"/>
      <c r="B652" s="102"/>
      <c r="C652" s="17"/>
      <c r="D652" s="102"/>
      <c r="E652" s="48"/>
      <c r="F652" s="49"/>
      <c r="G652" s="49"/>
      <c r="H652" s="49"/>
      <c r="I652" s="49"/>
      <c r="J652" s="49"/>
      <c r="K652" s="24"/>
      <c r="L652" s="103"/>
    </row>
    <row r="653" spans="1:12" ht="22.5" customHeight="1">
      <c r="A653" s="50"/>
      <c r="B653" s="102"/>
      <c r="C653" s="17"/>
      <c r="D653" s="102"/>
      <c r="E653" s="48"/>
      <c r="F653" s="49"/>
      <c r="G653" s="49"/>
      <c r="H653" s="49"/>
      <c r="I653" s="49"/>
      <c r="J653" s="49"/>
      <c r="K653" s="24"/>
      <c r="L653" s="103"/>
    </row>
    <row r="654" spans="1:12" ht="22.5" customHeight="1">
      <c r="A654" s="50"/>
      <c r="B654" s="102"/>
      <c r="C654" s="17"/>
      <c r="D654" s="102"/>
      <c r="E654" s="48"/>
      <c r="F654" s="49"/>
      <c r="G654" s="49"/>
      <c r="H654" s="49"/>
      <c r="I654" s="49"/>
      <c r="J654" s="49"/>
      <c r="K654" s="24"/>
      <c r="L654" s="103"/>
    </row>
    <row r="655" spans="1:12" ht="22.5" customHeight="1">
      <c r="A655" s="50"/>
      <c r="B655" s="102"/>
      <c r="C655" s="17"/>
      <c r="D655" s="102"/>
      <c r="E655" s="48"/>
      <c r="F655" s="49"/>
      <c r="G655" s="49"/>
      <c r="H655" s="49"/>
      <c r="I655" s="49"/>
      <c r="J655" s="49"/>
      <c r="K655" s="24"/>
      <c r="L655" s="103"/>
    </row>
    <row r="656" spans="1:12" ht="22.5" customHeight="1">
      <c r="A656" s="50"/>
      <c r="B656" s="102"/>
      <c r="C656" s="17"/>
      <c r="D656" s="102"/>
      <c r="E656" s="48"/>
      <c r="F656" s="49"/>
      <c r="G656" s="49"/>
      <c r="H656" s="49"/>
      <c r="I656" s="49"/>
      <c r="J656" s="49"/>
      <c r="K656" s="24"/>
      <c r="L656" s="103"/>
    </row>
    <row r="657" spans="1:12" ht="22.5" customHeight="1">
      <c r="A657" s="50"/>
      <c r="B657" s="102"/>
      <c r="C657" s="17"/>
      <c r="D657" s="102"/>
      <c r="E657" s="48"/>
      <c r="F657" s="49"/>
      <c r="G657" s="49"/>
      <c r="H657" s="49"/>
      <c r="I657" s="49"/>
      <c r="J657" s="49"/>
      <c r="K657" s="24"/>
      <c r="L657" s="103"/>
    </row>
    <row r="658" spans="1:12" ht="22.5" customHeight="1">
      <c r="A658" s="50"/>
      <c r="B658" s="102"/>
      <c r="C658" s="17"/>
      <c r="D658" s="102"/>
      <c r="E658" s="48"/>
      <c r="F658" s="49"/>
      <c r="G658" s="49"/>
      <c r="H658" s="49"/>
      <c r="I658" s="49"/>
      <c r="J658" s="49"/>
      <c r="K658" s="24"/>
      <c r="L658" s="103"/>
    </row>
    <row r="659" spans="1:12" ht="22.5" customHeight="1">
      <c r="A659" s="50"/>
      <c r="B659" s="102"/>
      <c r="C659" s="17"/>
      <c r="D659" s="102"/>
      <c r="E659" s="48"/>
      <c r="F659" s="49"/>
      <c r="G659" s="49"/>
      <c r="H659" s="49"/>
      <c r="I659" s="49"/>
      <c r="J659" s="49"/>
      <c r="K659" s="24"/>
      <c r="L659" s="103"/>
    </row>
    <row r="660" spans="1:12" ht="22.5" customHeight="1">
      <c r="A660" s="50"/>
      <c r="B660" s="102"/>
      <c r="C660" s="17"/>
      <c r="D660" s="102"/>
      <c r="E660" s="48"/>
      <c r="F660" s="49"/>
      <c r="G660" s="49"/>
      <c r="H660" s="49"/>
      <c r="I660" s="49"/>
      <c r="J660" s="49"/>
      <c r="K660" s="24"/>
      <c r="L660" s="103"/>
    </row>
    <row r="661" spans="1:12" ht="22.5" customHeight="1">
      <c r="A661" s="50"/>
      <c r="B661" s="102"/>
      <c r="C661" s="17"/>
      <c r="D661" s="102"/>
      <c r="E661" s="48"/>
      <c r="F661" s="49"/>
      <c r="G661" s="49"/>
      <c r="H661" s="49"/>
      <c r="I661" s="49"/>
      <c r="J661" s="49"/>
      <c r="K661" s="24"/>
      <c r="L661" s="103"/>
    </row>
    <row r="662" spans="1:12" ht="22.5" customHeight="1">
      <c r="A662" s="50"/>
      <c r="B662" s="102"/>
      <c r="C662" s="17"/>
      <c r="D662" s="102"/>
      <c r="E662" s="48"/>
      <c r="F662" s="49"/>
      <c r="G662" s="49"/>
      <c r="H662" s="49"/>
      <c r="I662" s="49"/>
      <c r="J662" s="49"/>
      <c r="K662" s="24"/>
      <c r="L662" s="103"/>
    </row>
    <row r="663" spans="1:12" ht="22.5" customHeight="1">
      <c r="A663" s="50"/>
      <c r="B663" s="102"/>
      <c r="C663" s="17"/>
      <c r="D663" s="102"/>
      <c r="E663" s="48"/>
      <c r="F663" s="49"/>
      <c r="G663" s="49"/>
      <c r="H663" s="49"/>
      <c r="I663" s="49"/>
      <c r="J663" s="49"/>
      <c r="K663" s="24"/>
      <c r="L663" s="103"/>
    </row>
    <row r="664" spans="1:12" ht="22.5" customHeight="1">
      <c r="A664" s="50"/>
      <c r="B664" s="102"/>
      <c r="C664" s="17"/>
      <c r="D664" s="102"/>
      <c r="E664" s="48"/>
      <c r="F664" s="49"/>
      <c r="G664" s="49"/>
      <c r="H664" s="49"/>
      <c r="I664" s="49"/>
      <c r="J664" s="49"/>
      <c r="K664" s="24"/>
      <c r="L664" s="103"/>
    </row>
    <row r="665" spans="1:12" ht="22.5" customHeight="1">
      <c r="A665" s="50"/>
      <c r="B665" s="102"/>
      <c r="C665" s="17"/>
      <c r="D665" s="102"/>
      <c r="E665" s="48"/>
      <c r="F665" s="49"/>
      <c r="G665" s="49"/>
      <c r="H665" s="49"/>
      <c r="I665" s="49"/>
      <c r="J665" s="49"/>
      <c r="K665" s="24"/>
      <c r="L665" s="103"/>
    </row>
    <row r="666" spans="1:12" ht="22.5" customHeight="1">
      <c r="A666" s="50"/>
      <c r="B666" s="102"/>
      <c r="C666" s="17"/>
      <c r="D666" s="102"/>
      <c r="E666" s="48"/>
      <c r="F666" s="49"/>
      <c r="G666" s="49"/>
      <c r="H666" s="49"/>
      <c r="I666" s="49"/>
      <c r="J666" s="49"/>
      <c r="K666" s="24"/>
      <c r="L666" s="103"/>
    </row>
    <row r="667" spans="1:12" ht="22.5" customHeight="1">
      <c r="A667" s="50"/>
      <c r="B667" s="102"/>
      <c r="C667" s="17"/>
      <c r="D667" s="102"/>
      <c r="E667" s="48"/>
      <c r="F667" s="49"/>
      <c r="G667" s="49"/>
      <c r="H667" s="49"/>
      <c r="I667" s="49"/>
      <c r="J667" s="49"/>
      <c r="K667" s="24"/>
      <c r="L667" s="103"/>
    </row>
    <row r="668" spans="1:12" ht="22.5" customHeight="1">
      <c r="A668" s="50"/>
      <c r="B668" s="102"/>
      <c r="C668" s="17"/>
      <c r="D668" s="102"/>
      <c r="E668" s="48"/>
      <c r="F668" s="49"/>
      <c r="G668" s="49"/>
      <c r="H668" s="49"/>
      <c r="I668" s="49"/>
      <c r="J668" s="49"/>
      <c r="K668" s="24"/>
      <c r="L668" s="103"/>
    </row>
    <row r="669" spans="1:12" ht="22.5" customHeight="1">
      <c r="A669" s="50"/>
      <c r="B669" s="102"/>
      <c r="C669" s="17"/>
      <c r="D669" s="102"/>
      <c r="E669" s="48"/>
      <c r="F669" s="49"/>
      <c r="G669" s="49"/>
      <c r="H669" s="49"/>
      <c r="I669" s="49"/>
      <c r="J669" s="49"/>
      <c r="K669" s="24"/>
      <c r="L669" s="103"/>
    </row>
    <row r="670" spans="1:12" ht="22.5" customHeight="1">
      <c r="A670" s="50"/>
      <c r="B670" s="102"/>
      <c r="C670" s="17"/>
      <c r="D670" s="102"/>
      <c r="E670" s="48"/>
      <c r="F670" s="49"/>
      <c r="G670" s="49"/>
      <c r="H670" s="49"/>
      <c r="I670" s="49"/>
      <c r="J670" s="49"/>
      <c r="K670" s="24"/>
      <c r="L670" s="103"/>
    </row>
    <row r="671" spans="1:12" ht="22.5" customHeight="1">
      <c r="A671" s="50"/>
      <c r="B671" s="102"/>
      <c r="C671" s="17"/>
      <c r="D671" s="102"/>
      <c r="E671" s="48"/>
      <c r="F671" s="49"/>
      <c r="G671" s="49"/>
      <c r="H671" s="49"/>
      <c r="I671" s="49"/>
      <c r="J671" s="49"/>
      <c r="K671" s="24"/>
      <c r="L671" s="103"/>
    </row>
    <row r="672" spans="1:12" ht="22.5" customHeight="1">
      <c r="A672" s="50"/>
      <c r="B672" s="102"/>
      <c r="C672" s="17"/>
      <c r="D672" s="102"/>
      <c r="E672" s="48"/>
      <c r="F672" s="49"/>
      <c r="G672" s="49"/>
      <c r="H672" s="49"/>
      <c r="I672" s="49"/>
      <c r="J672" s="49"/>
      <c r="K672" s="24"/>
      <c r="L672" s="103"/>
    </row>
    <row r="673" spans="1:12" ht="22.5" customHeight="1">
      <c r="A673" s="50"/>
      <c r="B673" s="102"/>
      <c r="C673" s="17"/>
      <c r="D673" s="102"/>
      <c r="E673" s="48"/>
      <c r="F673" s="49"/>
      <c r="G673" s="49"/>
      <c r="H673" s="49"/>
      <c r="I673" s="49"/>
      <c r="J673" s="49"/>
      <c r="K673" s="24"/>
      <c r="L673" s="103"/>
    </row>
    <row r="674" spans="1:12" ht="22.5" customHeight="1">
      <c r="A674" s="50"/>
      <c r="B674" s="102"/>
      <c r="C674" s="17"/>
      <c r="D674" s="102"/>
      <c r="E674" s="48"/>
      <c r="F674" s="49"/>
      <c r="G674" s="49"/>
      <c r="H674" s="49"/>
      <c r="I674" s="49"/>
      <c r="J674" s="49"/>
      <c r="K674" s="24"/>
      <c r="L674" s="103"/>
    </row>
    <row r="675" spans="1:12" ht="22.5" customHeight="1">
      <c r="A675" s="50"/>
      <c r="B675" s="102"/>
      <c r="C675" s="17"/>
      <c r="D675" s="102"/>
      <c r="E675" s="48"/>
      <c r="F675" s="49"/>
      <c r="G675" s="49"/>
      <c r="H675" s="49"/>
      <c r="I675" s="49"/>
      <c r="J675" s="49"/>
      <c r="K675" s="24"/>
      <c r="L675" s="103"/>
    </row>
    <row r="676" spans="1:12" ht="22.5" customHeight="1">
      <c r="A676" s="50"/>
      <c r="B676" s="102"/>
      <c r="C676" s="17"/>
      <c r="D676" s="102"/>
      <c r="E676" s="48"/>
      <c r="F676" s="49"/>
      <c r="G676" s="49"/>
      <c r="H676" s="49"/>
      <c r="I676" s="49"/>
      <c r="J676" s="49"/>
      <c r="K676" s="24"/>
      <c r="L676" s="103"/>
    </row>
    <row r="677" spans="1:12" ht="22.5" customHeight="1">
      <c r="A677" s="50"/>
      <c r="B677" s="102"/>
      <c r="C677" s="17"/>
      <c r="D677" s="102"/>
      <c r="E677" s="48"/>
      <c r="F677" s="49"/>
      <c r="G677" s="49"/>
      <c r="H677" s="49"/>
      <c r="I677" s="49"/>
      <c r="J677" s="49"/>
      <c r="K677" s="24"/>
      <c r="L677" s="103"/>
    </row>
    <row r="678" spans="1:12" ht="22.5" customHeight="1">
      <c r="A678" s="50"/>
      <c r="B678" s="102"/>
      <c r="C678" s="17"/>
      <c r="D678" s="102"/>
      <c r="E678" s="48"/>
      <c r="F678" s="49"/>
      <c r="G678" s="49"/>
      <c r="H678" s="49"/>
      <c r="I678" s="49"/>
      <c r="J678" s="49"/>
      <c r="K678" s="24"/>
      <c r="L678" s="103"/>
    </row>
    <row r="679" spans="1:12" ht="22.5" customHeight="1">
      <c r="A679" s="50"/>
      <c r="B679" s="102"/>
      <c r="C679" s="17"/>
      <c r="D679" s="102"/>
      <c r="E679" s="48"/>
      <c r="F679" s="49"/>
      <c r="G679" s="49"/>
      <c r="H679" s="49"/>
      <c r="I679" s="49"/>
      <c r="J679" s="49"/>
      <c r="K679" s="24"/>
      <c r="L679" s="103"/>
    </row>
    <row r="680" spans="1:12" ht="22.5" customHeight="1">
      <c r="A680" s="50"/>
      <c r="B680" s="102"/>
      <c r="C680" s="17"/>
      <c r="D680" s="102"/>
      <c r="E680" s="48"/>
      <c r="F680" s="49"/>
      <c r="G680" s="49"/>
      <c r="H680" s="49"/>
      <c r="I680" s="49"/>
      <c r="J680" s="49"/>
      <c r="K680" s="24"/>
      <c r="L680" s="103"/>
    </row>
    <row r="681" spans="1:12" ht="22.5" customHeight="1">
      <c r="A681" s="50"/>
      <c r="B681" s="102"/>
      <c r="C681" s="17"/>
      <c r="D681" s="102"/>
      <c r="E681" s="48"/>
      <c r="F681" s="49"/>
      <c r="G681" s="49"/>
      <c r="H681" s="49"/>
      <c r="I681" s="49"/>
      <c r="J681" s="49"/>
      <c r="K681" s="24"/>
      <c r="L681" s="103"/>
    </row>
    <row r="682" spans="1:12" ht="22.5" customHeight="1">
      <c r="A682" s="50"/>
      <c r="B682" s="102"/>
      <c r="C682" s="17"/>
      <c r="D682" s="102"/>
      <c r="E682" s="48"/>
      <c r="F682" s="49"/>
      <c r="G682" s="49"/>
      <c r="H682" s="49"/>
      <c r="I682" s="49"/>
      <c r="J682" s="49"/>
      <c r="K682" s="24"/>
      <c r="L682" s="103"/>
    </row>
    <row r="683" spans="1:12" ht="22.5" customHeight="1">
      <c r="A683" s="50"/>
      <c r="B683" s="102"/>
      <c r="C683" s="17"/>
      <c r="D683" s="102"/>
      <c r="E683" s="48"/>
      <c r="F683" s="49"/>
      <c r="G683" s="49"/>
      <c r="H683" s="49"/>
      <c r="I683" s="49"/>
      <c r="J683" s="49"/>
      <c r="K683" s="24"/>
      <c r="L683" s="103"/>
    </row>
    <row r="684" spans="1:12" ht="22.5" customHeight="1">
      <c r="A684" s="50"/>
      <c r="B684" s="102"/>
      <c r="C684" s="17"/>
      <c r="D684" s="102"/>
      <c r="E684" s="48"/>
      <c r="F684" s="49"/>
      <c r="G684" s="49"/>
      <c r="H684" s="49"/>
      <c r="I684" s="49"/>
      <c r="J684" s="49"/>
      <c r="K684" s="24"/>
      <c r="L684" s="103"/>
    </row>
    <row r="685" spans="1:12" ht="22.5" customHeight="1">
      <c r="A685" s="50"/>
      <c r="B685" s="102"/>
      <c r="C685" s="17"/>
      <c r="D685" s="102"/>
      <c r="E685" s="48"/>
      <c r="F685" s="49"/>
      <c r="G685" s="49"/>
      <c r="H685" s="49"/>
      <c r="I685" s="49"/>
      <c r="J685" s="49"/>
      <c r="K685" s="24"/>
      <c r="L685" s="103"/>
    </row>
    <row r="686" spans="1:12" ht="22.5" customHeight="1">
      <c r="A686" s="50"/>
      <c r="B686" s="102"/>
      <c r="C686" s="17"/>
      <c r="D686" s="102"/>
      <c r="E686" s="48"/>
      <c r="F686" s="49"/>
      <c r="G686" s="49"/>
      <c r="H686" s="49"/>
      <c r="I686" s="49"/>
      <c r="J686" s="49"/>
      <c r="K686" s="24"/>
      <c r="L686" s="103"/>
    </row>
    <row r="687" spans="1:12" ht="22.5" customHeight="1">
      <c r="A687" s="50"/>
      <c r="B687" s="102"/>
      <c r="C687" s="17"/>
      <c r="D687" s="102"/>
      <c r="E687" s="48"/>
      <c r="F687" s="49"/>
      <c r="G687" s="49"/>
      <c r="H687" s="49"/>
      <c r="I687" s="49"/>
      <c r="J687" s="49"/>
      <c r="K687" s="24"/>
      <c r="L687" s="103"/>
    </row>
    <row r="688" spans="1:12" ht="22.5" customHeight="1">
      <c r="A688" s="50"/>
      <c r="B688" s="102"/>
      <c r="C688" s="17"/>
      <c r="D688" s="102"/>
      <c r="E688" s="48"/>
      <c r="F688" s="49"/>
      <c r="G688" s="49"/>
      <c r="H688" s="49"/>
      <c r="I688" s="49"/>
      <c r="J688" s="49"/>
      <c r="K688" s="24"/>
      <c r="L688" s="103"/>
    </row>
    <row r="689" spans="1:12" ht="22.5" customHeight="1">
      <c r="A689" s="50"/>
      <c r="B689" s="102"/>
      <c r="C689" s="17"/>
      <c r="D689" s="102"/>
      <c r="E689" s="48"/>
      <c r="F689" s="49"/>
      <c r="G689" s="49"/>
      <c r="H689" s="49"/>
      <c r="I689" s="49"/>
      <c r="J689" s="49"/>
      <c r="K689" s="24"/>
      <c r="L689" s="103"/>
    </row>
    <row r="690" spans="1:12" ht="22.5" customHeight="1">
      <c r="A690" s="50"/>
      <c r="B690" s="102"/>
      <c r="C690" s="17"/>
      <c r="D690" s="102"/>
      <c r="E690" s="48"/>
      <c r="F690" s="49"/>
      <c r="G690" s="49"/>
      <c r="H690" s="49"/>
      <c r="I690" s="49"/>
      <c r="J690" s="49"/>
      <c r="K690" s="24"/>
      <c r="L690" s="103"/>
    </row>
    <row r="691" spans="1:12" ht="22.5" customHeight="1">
      <c r="A691" s="50"/>
      <c r="B691" s="102"/>
      <c r="C691" s="17"/>
      <c r="D691" s="102"/>
      <c r="E691" s="48"/>
      <c r="F691" s="49"/>
      <c r="G691" s="49"/>
      <c r="H691" s="49"/>
      <c r="I691" s="49"/>
      <c r="J691" s="49"/>
      <c r="K691" s="24"/>
      <c r="L691" s="103"/>
    </row>
    <row r="692" spans="1:12" ht="22.5" customHeight="1">
      <c r="A692" s="50"/>
      <c r="B692" s="102"/>
      <c r="C692" s="17"/>
      <c r="D692" s="102"/>
      <c r="E692" s="48"/>
      <c r="F692" s="49"/>
      <c r="G692" s="49"/>
      <c r="H692" s="49"/>
      <c r="I692" s="49"/>
      <c r="J692" s="49"/>
      <c r="K692" s="24"/>
      <c r="L692" s="103"/>
    </row>
    <row r="693" spans="1:12" ht="22.5" customHeight="1">
      <c r="A693" s="50"/>
      <c r="B693" s="102"/>
      <c r="C693" s="17"/>
      <c r="D693" s="102"/>
      <c r="E693" s="48"/>
      <c r="F693" s="49"/>
      <c r="G693" s="49"/>
      <c r="H693" s="49"/>
      <c r="I693" s="49"/>
      <c r="J693" s="49"/>
      <c r="K693" s="24"/>
      <c r="L693" s="103"/>
    </row>
    <row r="694" spans="1:12" ht="22.5" customHeight="1">
      <c r="A694" s="50"/>
      <c r="B694" s="102"/>
      <c r="C694" s="17"/>
      <c r="D694" s="102"/>
      <c r="E694" s="48"/>
      <c r="F694" s="49"/>
      <c r="G694" s="49"/>
      <c r="H694" s="49"/>
      <c r="I694" s="49"/>
      <c r="J694" s="49"/>
      <c r="K694" s="24"/>
      <c r="L694" s="103"/>
    </row>
    <row r="695" spans="1:12" ht="22.5" customHeight="1">
      <c r="A695" s="50"/>
      <c r="B695" s="102"/>
      <c r="C695" s="17"/>
      <c r="D695" s="102"/>
      <c r="E695" s="48"/>
      <c r="F695" s="49"/>
      <c r="G695" s="49"/>
      <c r="H695" s="49"/>
      <c r="I695" s="49"/>
      <c r="J695" s="49"/>
      <c r="K695" s="24"/>
      <c r="L695" s="103"/>
    </row>
    <row r="696" spans="1:12" ht="22.5" customHeight="1">
      <c r="A696" s="50"/>
      <c r="B696" s="102"/>
      <c r="C696" s="17"/>
      <c r="D696" s="102"/>
      <c r="E696" s="48"/>
      <c r="F696" s="49"/>
      <c r="G696" s="49"/>
      <c r="H696" s="49"/>
      <c r="I696" s="49"/>
      <c r="J696" s="49"/>
      <c r="K696" s="24"/>
      <c r="L696" s="103"/>
    </row>
    <row r="697" spans="1:12" ht="22.5" customHeight="1">
      <c r="A697" s="50"/>
      <c r="B697" s="102"/>
      <c r="C697" s="17"/>
      <c r="D697" s="102"/>
      <c r="E697" s="48"/>
      <c r="F697" s="49"/>
      <c r="G697" s="49"/>
      <c r="H697" s="49"/>
      <c r="I697" s="49"/>
      <c r="J697" s="49"/>
      <c r="K697" s="24"/>
      <c r="L697" s="103"/>
    </row>
    <row r="698" spans="1:12" ht="22.5" customHeight="1">
      <c r="A698" s="50"/>
      <c r="B698" s="102"/>
      <c r="C698" s="17"/>
      <c r="D698" s="102"/>
      <c r="E698" s="48"/>
      <c r="F698" s="49"/>
      <c r="G698" s="49"/>
      <c r="H698" s="49"/>
      <c r="I698" s="49"/>
      <c r="J698" s="49"/>
      <c r="K698" s="24"/>
      <c r="L698" s="103"/>
    </row>
    <row r="699" spans="1:12" ht="22.5" customHeight="1">
      <c r="A699" s="50"/>
      <c r="B699" s="102"/>
      <c r="C699" s="17"/>
      <c r="D699" s="102"/>
      <c r="E699" s="48"/>
      <c r="F699" s="49"/>
      <c r="G699" s="49"/>
      <c r="H699" s="49"/>
      <c r="I699" s="49"/>
      <c r="J699" s="49"/>
      <c r="K699" s="24"/>
      <c r="L699" s="103"/>
    </row>
    <row r="700" spans="1:12" ht="22.5" customHeight="1">
      <c r="A700" s="50"/>
      <c r="B700" s="102"/>
      <c r="C700" s="17"/>
      <c r="D700" s="102"/>
      <c r="E700" s="48"/>
      <c r="F700" s="49"/>
      <c r="G700" s="49"/>
      <c r="H700" s="49"/>
      <c r="I700" s="49"/>
      <c r="J700" s="49"/>
      <c r="K700" s="24"/>
      <c r="L700" s="103"/>
    </row>
    <row r="701" spans="1:12" ht="22.5" customHeight="1">
      <c r="A701" s="50"/>
      <c r="B701" s="102"/>
      <c r="C701" s="17"/>
      <c r="D701" s="102"/>
      <c r="E701" s="48"/>
      <c r="F701" s="49"/>
      <c r="G701" s="49"/>
      <c r="H701" s="49"/>
      <c r="I701" s="49"/>
      <c r="J701" s="49"/>
      <c r="K701" s="24"/>
      <c r="L701" s="103"/>
    </row>
    <row r="702" spans="1:12" ht="22.5" customHeight="1">
      <c r="A702" s="50"/>
      <c r="B702" s="102"/>
      <c r="C702" s="17"/>
      <c r="D702" s="102"/>
      <c r="E702" s="48"/>
      <c r="F702" s="49"/>
      <c r="G702" s="49"/>
      <c r="H702" s="49"/>
      <c r="I702" s="49"/>
      <c r="J702" s="49"/>
      <c r="K702" s="24"/>
      <c r="L702" s="103"/>
    </row>
    <row r="703" spans="1:12" ht="22.5" customHeight="1">
      <c r="A703" s="50"/>
      <c r="B703" s="102"/>
      <c r="C703" s="17"/>
      <c r="D703" s="102"/>
      <c r="E703" s="48"/>
      <c r="F703" s="49"/>
      <c r="G703" s="49"/>
      <c r="H703" s="49"/>
      <c r="I703" s="49"/>
      <c r="J703" s="49"/>
      <c r="K703" s="24"/>
      <c r="L703" s="103"/>
    </row>
    <row r="704" spans="1:12" ht="22.5" customHeight="1">
      <c r="A704" s="50"/>
      <c r="B704" s="102"/>
      <c r="C704" s="17"/>
      <c r="D704" s="102"/>
      <c r="E704" s="48"/>
      <c r="F704" s="49"/>
      <c r="G704" s="49"/>
      <c r="H704" s="49"/>
      <c r="I704" s="49"/>
      <c r="J704" s="49"/>
      <c r="K704" s="24"/>
      <c r="L704" s="103"/>
    </row>
    <row r="705" spans="1:12" ht="22.5" customHeight="1">
      <c r="A705" s="50"/>
      <c r="B705" s="102"/>
      <c r="C705" s="17"/>
      <c r="D705" s="102"/>
      <c r="E705" s="48"/>
      <c r="F705" s="49"/>
      <c r="G705" s="49"/>
      <c r="H705" s="49"/>
      <c r="I705" s="49"/>
      <c r="J705" s="49"/>
      <c r="K705" s="24"/>
      <c r="L705" s="103"/>
    </row>
    <row r="706" spans="1:12" ht="22.5" customHeight="1">
      <c r="A706" s="50"/>
      <c r="B706" s="102"/>
      <c r="C706" s="17"/>
      <c r="D706" s="102"/>
      <c r="E706" s="48"/>
      <c r="F706" s="49"/>
      <c r="G706" s="49"/>
      <c r="H706" s="49"/>
      <c r="I706" s="49"/>
      <c r="J706" s="49"/>
      <c r="K706" s="24"/>
      <c r="L706" s="103"/>
    </row>
    <row r="707" spans="1:12" ht="22.5" customHeight="1">
      <c r="A707" s="50"/>
      <c r="B707" s="102"/>
      <c r="C707" s="17"/>
      <c r="D707" s="102"/>
      <c r="E707" s="48"/>
      <c r="F707" s="49"/>
      <c r="G707" s="49"/>
      <c r="H707" s="49"/>
      <c r="I707" s="49"/>
      <c r="J707" s="49"/>
      <c r="K707" s="24"/>
      <c r="L707" s="103"/>
    </row>
    <row r="708" spans="1:12" ht="22.5" customHeight="1">
      <c r="A708" s="50"/>
      <c r="B708" s="102"/>
      <c r="C708" s="17"/>
      <c r="D708" s="102"/>
      <c r="E708" s="48"/>
      <c r="F708" s="49"/>
      <c r="G708" s="49"/>
      <c r="H708" s="49"/>
      <c r="I708" s="49"/>
      <c r="J708" s="49"/>
      <c r="K708" s="24"/>
      <c r="L708" s="103"/>
    </row>
    <row r="709" spans="1:12" ht="22.5" customHeight="1">
      <c r="A709" s="50"/>
      <c r="B709" s="102"/>
      <c r="C709" s="17"/>
      <c r="D709" s="102"/>
      <c r="E709" s="48"/>
      <c r="F709" s="49"/>
      <c r="G709" s="49"/>
      <c r="H709" s="49"/>
      <c r="I709" s="49"/>
      <c r="J709" s="49"/>
      <c r="K709" s="24"/>
      <c r="L709" s="103"/>
    </row>
    <row r="710" spans="1:12" ht="22.5" customHeight="1">
      <c r="A710" s="50"/>
      <c r="B710" s="102"/>
      <c r="C710" s="17"/>
      <c r="D710" s="102"/>
      <c r="E710" s="48"/>
      <c r="F710" s="49"/>
      <c r="G710" s="49"/>
      <c r="H710" s="49"/>
      <c r="I710" s="49"/>
      <c r="J710" s="49"/>
      <c r="K710" s="24"/>
      <c r="L710" s="103"/>
    </row>
    <row r="711" spans="1:12" ht="22.5" customHeight="1">
      <c r="A711" s="50"/>
      <c r="B711" s="102"/>
      <c r="C711" s="17"/>
      <c r="D711" s="102"/>
      <c r="E711" s="48"/>
      <c r="F711" s="49"/>
      <c r="G711" s="49"/>
      <c r="H711" s="49"/>
      <c r="I711" s="49"/>
      <c r="J711" s="49"/>
      <c r="K711" s="24"/>
      <c r="L711" s="103"/>
    </row>
    <row r="712" spans="1:12" ht="22.5" customHeight="1">
      <c r="A712" s="50"/>
      <c r="B712" s="102"/>
      <c r="C712" s="17"/>
      <c r="D712" s="102"/>
      <c r="E712" s="48"/>
      <c r="F712" s="49"/>
      <c r="G712" s="49"/>
      <c r="H712" s="49"/>
      <c r="I712" s="49"/>
      <c r="J712" s="49"/>
      <c r="K712" s="24"/>
      <c r="L712" s="103"/>
    </row>
    <row r="713" spans="1:12" ht="22.5" customHeight="1">
      <c r="A713" s="50"/>
      <c r="B713" s="102"/>
      <c r="C713" s="17"/>
      <c r="D713" s="102"/>
      <c r="E713" s="48"/>
      <c r="F713" s="49"/>
      <c r="G713" s="49"/>
      <c r="H713" s="49"/>
      <c r="I713" s="49"/>
      <c r="J713" s="49"/>
      <c r="K713" s="24"/>
      <c r="L713" s="103"/>
    </row>
    <row r="714" spans="1:12" ht="22.5" customHeight="1">
      <c r="A714" s="50"/>
      <c r="B714" s="102"/>
      <c r="C714" s="17"/>
      <c r="D714" s="102"/>
      <c r="E714" s="48"/>
      <c r="F714" s="49"/>
      <c r="G714" s="49"/>
      <c r="H714" s="49"/>
      <c r="I714" s="49"/>
      <c r="J714" s="49"/>
      <c r="K714" s="24"/>
      <c r="L714" s="103"/>
    </row>
    <row r="715" spans="1:12" ht="22.5" customHeight="1">
      <c r="A715" s="50"/>
      <c r="B715" s="102"/>
      <c r="C715" s="17"/>
      <c r="D715" s="102"/>
      <c r="E715" s="48"/>
      <c r="F715" s="49"/>
      <c r="G715" s="49"/>
      <c r="H715" s="49"/>
      <c r="I715" s="49"/>
      <c r="J715" s="49"/>
      <c r="K715" s="24"/>
      <c r="L715" s="103"/>
    </row>
    <row r="716" spans="1:12" ht="22.5" customHeight="1">
      <c r="A716" s="50"/>
      <c r="B716" s="102"/>
      <c r="C716" s="17"/>
      <c r="D716" s="102"/>
      <c r="E716" s="48"/>
      <c r="F716" s="49"/>
      <c r="G716" s="49"/>
      <c r="H716" s="49"/>
      <c r="I716" s="49"/>
      <c r="J716" s="49"/>
      <c r="K716" s="24"/>
      <c r="L716" s="103"/>
    </row>
    <row r="717" spans="1:12" ht="22.5" customHeight="1">
      <c r="A717" s="50"/>
      <c r="B717" s="102"/>
      <c r="C717" s="17"/>
      <c r="D717" s="102"/>
      <c r="E717" s="48"/>
      <c r="F717" s="49"/>
      <c r="G717" s="49"/>
      <c r="H717" s="49"/>
      <c r="I717" s="49"/>
      <c r="J717" s="49"/>
      <c r="K717" s="24"/>
      <c r="L717" s="103"/>
    </row>
    <row r="718" spans="1:12" ht="22.5" customHeight="1">
      <c r="A718" s="50"/>
      <c r="B718" s="102"/>
      <c r="C718" s="17"/>
      <c r="D718" s="102"/>
      <c r="E718" s="48"/>
      <c r="F718" s="49"/>
      <c r="G718" s="49"/>
      <c r="H718" s="49"/>
      <c r="I718" s="49"/>
      <c r="J718" s="49"/>
      <c r="K718" s="24"/>
      <c r="L718" s="103"/>
    </row>
    <row r="719" spans="1:12" ht="22.5" customHeight="1">
      <c r="A719" s="50"/>
      <c r="B719" s="102"/>
      <c r="C719" s="17"/>
      <c r="D719" s="102"/>
      <c r="E719" s="48"/>
      <c r="F719" s="49"/>
      <c r="G719" s="49"/>
      <c r="H719" s="49"/>
      <c r="I719" s="49"/>
      <c r="J719" s="49"/>
      <c r="K719" s="24"/>
      <c r="L719" s="103"/>
    </row>
    <row r="720" spans="1:12" ht="22.5" customHeight="1">
      <c r="A720" s="50"/>
      <c r="B720" s="102"/>
      <c r="C720" s="17"/>
      <c r="D720" s="102"/>
      <c r="E720" s="48"/>
      <c r="F720" s="49"/>
      <c r="G720" s="49"/>
      <c r="H720" s="49"/>
      <c r="I720" s="49"/>
      <c r="J720" s="49"/>
      <c r="K720" s="24"/>
      <c r="L720" s="103"/>
    </row>
    <row r="721" spans="1:12" ht="22.5" customHeight="1">
      <c r="A721" s="50"/>
      <c r="B721" s="102"/>
      <c r="C721" s="17"/>
      <c r="D721" s="102"/>
      <c r="E721" s="48"/>
      <c r="F721" s="49"/>
      <c r="G721" s="49"/>
      <c r="H721" s="49"/>
      <c r="I721" s="49"/>
      <c r="J721" s="49"/>
      <c r="K721" s="24"/>
      <c r="L721" s="103"/>
    </row>
    <row r="722" spans="1:12" ht="22.5" customHeight="1">
      <c r="A722" s="50"/>
      <c r="B722" s="102"/>
      <c r="C722" s="17"/>
      <c r="D722" s="102"/>
      <c r="E722" s="48"/>
      <c r="F722" s="49"/>
      <c r="G722" s="49"/>
      <c r="H722" s="49"/>
      <c r="I722" s="49"/>
      <c r="J722" s="49"/>
      <c r="K722" s="24"/>
      <c r="L722" s="103"/>
    </row>
    <row r="723" spans="1:12" ht="22.5" customHeight="1">
      <c r="A723" s="50"/>
      <c r="B723" s="102"/>
      <c r="C723" s="17"/>
      <c r="D723" s="102"/>
      <c r="E723" s="48"/>
      <c r="F723" s="49"/>
      <c r="G723" s="49"/>
      <c r="H723" s="49"/>
      <c r="I723" s="49"/>
      <c r="J723" s="49"/>
      <c r="K723" s="24"/>
      <c r="L723" s="103"/>
    </row>
    <row r="724" spans="1:12" ht="22.5" customHeight="1">
      <c r="A724" s="50"/>
      <c r="B724" s="102"/>
      <c r="C724" s="17"/>
      <c r="D724" s="102"/>
      <c r="E724" s="48"/>
      <c r="F724" s="49"/>
      <c r="G724" s="49"/>
      <c r="H724" s="49"/>
      <c r="I724" s="49"/>
      <c r="J724" s="49"/>
      <c r="K724" s="24"/>
      <c r="L724" s="103"/>
    </row>
    <row r="725" spans="1:12" ht="22.5" customHeight="1">
      <c r="A725" s="50"/>
      <c r="B725" s="102"/>
      <c r="C725" s="17"/>
      <c r="D725" s="102"/>
      <c r="E725" s="48"/>
      <c r="F725" s="49"/>
      <c r="G725" s="49"/>
      <c r="H725" s="49"/>
      <c r="I725" s="49"/>
      <c r="J725" s="49"/>
      <c r="K725" s="24"/>
      <c r="L725" s="103"/>
    </row>
    <row r="726" spans="1:12" ht="22.5" customHeight="1">
      <c r="A726" s="50"/>
      <c r="B726" s="102"/>
      <c r="C726" s="17"/>
      <c r="D726" s="102"/>
      <c r="E726" s="48"/>
      <c r="F726" s="49"/>
      <c r="G726" s="49"/>
      <c r="H726" s="49"/>
      <c r="I726" s="49"/>
      <c r="J726" s="49"/>
      <c r="K726" s="24"/>
      <c r="L726" s="103"/>
    </row>
    <row r="727" spans="1:12" ht="22.5" customHeight="1">
      <c r="A727" s="50"/>
      <c r="B727" s="102"/>
      <c r="C727" s="17"/>
      <c r="D727" s="102"/>
      <c r="E727" s="48"/>
      <c r="F727" s="49"/>
      <c r="G727" s="49"/>
      <c r="H727" s="49"/>
      <c r="I727" s="49"/>
      <c r="J727" s="49"/>
      <c r="K727" s="24"/>
      <c r="L727" s="103"/>
    </row>
    <row r="728" spans="1:12" ht="22.5" customHeight="1">
      <c r="A728" s="50"/>
      <c r="B728" s="102"/>
      <c r="C728" s="17"/>
      <c r="D728" s="102"/>
      <c r="E728" s="48"/>
      <c r="F728" s="49"/>
      <c r="G728" s="49"/>
      <c r="H728" s="49"/>
      <c r="I728" s="49"/>
      <c r="J728" s="49"/>
      <c r="K728" s="24"/>
      <c r="L728" s="103"/>
    </row>
    <row r="729" spans="1:12" ht="22.5" customHeight="1">
      <c r="A729" s="50"/>
      <c r="B729" s="102"/>
      <c r="C729" s="17"/>
      <c r="D729" s="102"/>
      <c r="E729" s="48"/>
      <c r="F729" s="49"/>
      <c r="G729" s="49"/>
      <c r="H729" s="49"/>
      <c r="I729" s="49"/>
      <c r="J729" s="49"/>
      <c r="K729" s="24"/>
      <c r="L729" s="103"/>
    </row>
    <row r="730" spans="1:12" ht="22.5" customHeight="1">
      <c r="A730" s="50"/>
      <c r="B730" s="102"/>
      <c r="C730" s="17"/>
      <c r="D730" s="102"/>
      <c r="E730" s="48"/>
      <c r="F730" s="49"/>
      <c r="G730" s="49"/>
      <c r="H730" s="49"/>
      <c r="I730" s="49"/>
      <c r="J730" s="49"/>
      <c r="K730" s="24"/>
      <c r="L730" s="103"/>
    </row>
    <row r="731" spans="1:12" ht="22.5" customHeight="1">
      <c r="A731" s="50"/>
      <c r="B731" s="102"/>
      <c r="C731" s="17"/>
      <c r="D731" s="102"/>
      <c r="E731" s="48"/>
      <c r="F731" s="49"/>
      <c r="G731" s="49"/>
      <c r="H731" s="49"/>
      <c r="I731" s="49"/>
      <c r="J731" s="49"/>
      <c r="K731" s="24"/>
      <c r="L731" s="103"/>
    </row>
    <row r="732" spans="1:12" ht="22.5" customHeight="1">
      <c r="A732" s="50"/>
      <c r="B732" s="102"/>
      <c r="C732" s="17"/>
      <c r="D732" s="102"/>
      <c r="E732" s="48"/>
      <c r="F732" s="49"/>
      <c r="G732" s="49"/>
      <c r="H732" s="49"/>
      <c r="I732" s="49"/>
      <c r="J732" s="49"/>
      <c r="K732" s="24"/>
      <c r="L732" s="103"/>
    </row>
    <row r="733" spans="1:12" ht="22.5" customHeight="1">
      <c r="A733" s="50"/>
      <c r="B733" s="102"/>
      <c r="C733" s="17"/>
      <c r="D733" s="102"/>
      <c r="E733" s="48"/>
      <c r="F733" s="49"/>
      <c r="G733" s="49"/>
      <c r="H733" s="49"/>
      <c r="I733" s="49"/>
      <c r="J733" s="49"/>
      <c r="K733" s="24"/>
      <c r="L733" s="103"/>
    </row>
    <row r="734" spans="1:12" ht="22.5" customHeight="1">
      <c r="A734" s="50"/>
      <c r="B734" s="102"/>
      <c r="C734" s="17"/>
      <c r="D734" s="102"/>
      <c r="E734" s="48"/>
      <c r="F734" s="49"/>
      <c r="G734" s="49"/>
      <c r="H734" s="49"/>
      <c r="I734" s="49"/>
      <c r="J734" s="49"/>
      <c r="K734" s="24"/>
      <c r="L734" s="103"/>
    </row>
    <row r="735" spans="1:12" ht="22.5" customHeight="1">
      <c r="A735" s="50"/>
      <c r="B735" s="102"/>
      <c r="C735" s="17"/>
      <c r="D735" s="102"/>
      <c r="E735" s="48"/>
      <c r="F735" s="49"/>
      <c r="G735" s="49"/>
      <c r="H735" s="49"/>
      <c r="I735" s="49"/>
      <c r="J735" s="49"/>
      <c r="K735" s="24"/>
      <c r="L735" s="103"/>
    </row>
    <row r="736" spans="1:12" ht="22.5" customHeight="1">
      <c r="A736" s="50"/>
      <c r="B736" s="102"/>
      <c r="C736" s="17"/>
      <c r="D736" s="102"/>
      <c r="E736" s="48"/>
      <c r="F736" s="49"/>
      <c r="G736" s="49"/>
      <c r="H736" s="49"/>
      <c r="I736" s="49"/>
      <c r="J736" s="49"/>
      <c r="K736" s="24"/>
      <c r="L736" s="103"/>
    </row>
    <row r="737" spans="1:12" ht="22.5" customHeight="1">
      <c r="A737" s="50"/>
      <c r="B737" s="102"/>
      <c r="C737" s="17"/>
      <c r="D737" s="102"/>
      <c r="E737" s="48"/>
      <c r="F737" s="49"/>
      <c r="G737" s="49"/>
      <c r="H737" s="49"/>
      <c r="I737" s="49"/>
      <c r="J737" s="49"/>
      <c r="K737" s="24"/>
      <c r="L737" s="103"/>
    </row>
    <row r="738" spans="1:12" ht="22.5" customHeight="1">
      <c r="A738" s="50"/>
      <c r="B738" s="102"/>
      <c r="C738" s="17"/>
      <c r="D738" s="102"/>
      <c r="E738" s="48"/>
      <c r="F738" s="49"/>
      <c r="G738" s="49"/>
      <c r="H738" s="49"/>
      <c r="I738" s="49"/>
      <c r="J738" s="49"/>
      <c r="K738" s="24"/>
      <c r="L738" s="103"/>
    </row>
    <row r="739" spans="1:12" ht="22.5" customHeight="1">
      <c r="A739" s="50"/>
      <c r="B739" s="102"/>
      <c r="C739" s="17"/>
      <c r="D739" s="102"/>
      <c r="E739" s="48"/>
      <c r="F739" s="49"/>
      <c r="G739" s="49"/>
      <c r="H739" s="49"/>
      <c r="I739" s="49"/>
      <c r="J739" s="49"/>
      <c r="K739" s="24"/>
      <c r="L739" s="103"/>
    </row>
    <row r="740" spans="1:12" ht="22.5" customHeight="1">
      <c r="A740" s="50"/>
      <c r="B740" s="102"/>
      <c r="C740" s="17"/>
      <c r="D740" s="102"/>
      <c r="E740" s="48"/>
      <c r="F740" s="49"/>
      <c r="G740" s="49"/>
      <c r="H740" s="49"/>
      <c r="I740" s="49"/>
      <c r="J740" s="49"/>
      <c r="K740" s="24"/>
      <c r="L740" s="103"/>
    </row>
    <row r="741" spans="1:12" ht="22.5" customHeight="1">
      <c r="A741" s="50"/>
      <c r="B741" s="102"/>
      <c r="C741" s="17"/>
      <c r="D741" s="102"/>
      <c r="E741" s="48"/>
      <c r="F741" s="49"/>
      <c r="G741" s="49"/>
      <c r="H741" s="49"/>
      <c r="I741" s="49"/>
      <c r="J741" s="49"/>
      <c r="K741" s="24"/>
      <c r="L741" s="103"/>
    </row>
    <row r="742" spans="1:12" ht="22.5" customHeight="1">
      <c r="A742" s="50"/>
      <c r="B742" s="102"/>
      <c r="C742" s="17"/>
      <c r="D742" s="102"/>
      <c r="E742" s="48"/>
      <c r="F742" s="49"/>
      <c r="G742" s="49"/>
      <c r="H742" s="49"/>
      <c r="I742" s="49"/>
      <c r="J742" s="49"/>
      <c r="K742" s="24"/>
      <c r="L742" s="103"/>
    </row>
    <row r="743" spans="1:12" ht="22.5" customHeight="1">
      <c r="A743" s="50"/>
      <c r="B743" s="102"/>
      <c r="C743" s="17"/>
      <c r="D743" s="102"/>
      <c r="E743" s="48"/>
      <c r="F743" s="49"/>
      <c r="G743" s="49"/>
      <c r="H743" s="49"/>
      <c r="I743" s="49"/>
      <c r="J743" s="49"/>
      <c r="K743" s="24"/>
      <c r="L743" s="103"/>
    </row>
    <row r="744" spans="1:12" ht="22.5" customHeight="1">
      <c r="A744" s="50"/>
      <c r="B744" s="102"/>
      <c r="C744" s="17"/>
      <c r="D744" s="102"/>
      <c r="E744" s="48"/>
      <c r="F744" s="49"/>
      <c r="G744" s="49"/>
      <c r="H744" s="49"/>
      <c r="I744" s="49"/>
      <c r="J744" s="49"/>
      <c r="K744" s="24"/>
      <c r="L744" s="103"/>
    </row>
    <row r="745" spans="1:12" ht="22.5" customHeight="1">
      <c r="A745" s="50"/>
      <c r="B745" s="102"/>
      <c r="C745" s="17"/>
      <c r="D745" s="102"/>
      <c r="E745" s="48"/>
      <c r="F745" s="49"/>
      <c r="G745" s="49"/>
      <c r="H745" s="49"/>
      <c r="I745" s="49"/>
      <c r="J745" s="49"/>
      <c r="K745" s="24"/>
      <c r="L745" s="103"/>
    </row>
    <row r="746" spans="1:12" ht="22.5" customHeight="1">
      <c r="A746" s="50"/>
      <c r="B746" s="102"/>
      <c r="C746" s="17"/>
      <c r="D746" s="102"/>
      <c r="E746" s="48"/>
      <c r="F746" s="49"/>
      <c r="G746" s="49"/>
      <c r="H746" s="49"/>
      <c r="I746" s="49"/>
      <c r="J746" s="49"/>
      <c r="K746" s="24"/>
      <c r="L746" s="103"/>
    </row>
    <row r="747" spans="1:12" ht="22.5" customHeight="1">
      <c r="A747" s="50"/>
      <c r="B747" s="102"/>
      <c r="C747" s="17"/>
      <c r="D747" s="102"/>
      <c r="E747" s="48"/>
      <c r="F747" s="49"/>
      <c r="G747" s="49"/>
      <c r="H747" s="49"/>
      <c r="I747" s="49"/>
      <c r="J747" s="49"/>
      <c r="K747" s="24"/>
      <c r="L747" s="103"/>
    </row>
    <row r="748" spans="1:12" ht="22.5" customHeight="1">
      <c r="A748" s="50"/>
      <c r="B748" s="102"/>
      <c r="C748" s="17"/>
      <c r="D748" s="102"/>
      <c r="E748" s="48"/>
      <c r="F748" s="49"/>
      <c r="G748" s="49"/>
      <c r="H748" s="49"/>
      <c r="I748" s="49"/>
      <c r="J748" s="49"/>
      <c r="K748" s="24"/>
      <c r="L748" s="103"/>
    </row>
    <row r="749" spans="1:12" ht="22.5" customHeight="1">
      <c r="A749" s="50"/>
      <c r="B749" s="102"/>
      <c r="C749" s="17"/>
      <c r="D749" s="102"/>
      <c r="E749" s="48"/>
      <c r="F749" s="49"/>
      <c r="G749" s="49"/>
      <c r="H749" s="49"/>
      <c r="I749" s="49"/>
      <c r="J749" s="49"/>
      <c r="K749" s="24"/>
      <c r="L749" s="103"/>
    </row>
    <row r="750" spans="1:12" ht="22.5" customHeight="1">
      <c r="A750" s="50"/>
      <c r="B750" s="102"/>
      <c r="C750" s="17"/>
      <c r="D750" s="102"/>
      <c r="E750" s="48"/>
      <c r="F750" s="49"/>
      <c r="G750" s="49"/>
      <c r="H750" s="49"/>
      <c r="I750" s="49"/>
      <c r="J750" s="49"/>
      <c r="K750" s="24"/>
      <c r="L750" s="103"/>
    </row>
    <row r="751" spans="1:12" ht="22.5" customHeight="1">
      <c r="A751" s="50"/>
      <c r="B751" s="102"/>
      <c r="C751" s="17"/>
      <c r="D751" s="102"/>
      <c r="E751" s="48"/>
      <c r="F751" s="49"/>
      <c r="G751" s="49"/>
      <c r="H751" s="49"/>
      <c r="I751" s="49"/>
      <c r="J751" s="49"/>
      <c r="K751" s="24"/>
      <c r="L751" s="103"/>
    </row>
    <row r="752" spans="1:12" ht="22.5" customHeight="1">
      <c r="A752" s="50"/>
      <c r="B752" s="102"/>
      <c r="C752" s="17"/>
      <c r="D752" s="102"/>
      <c r="E752" s="48"/>
      <c r="F752" s="49"/>
      <c r="G752" s="49"/>
      <c r="H752" s="49"/>
      <c r="I752" s="49"/>
      <c r="J752" s="49"/>
      <c r="K752" s="24"/>
      <c r="L752" s="103"/>
    </row>
    <row r="753" spans="1:12" ht="22.5" customHeight="1">
      <c r="A753" s="50"/>
      <c r="B753" s="102"/>
      <c r="C753" s="17"/>
      <c r="D753" s="102"/>
      <c r="E753" s="48"/>
      <c r="F753" s="49"/>
      <c r="G753" s="49"/>
      <c r="H753" s="49"/>
      <c r="I753" s="49"/>
      <c r="J753" s="49"/>
      <c r="K753" s="24"/>
      <c r="L753" s="103"/>
    </row>
    <row r="754" spans="1:12" ht="22.5" customHeight="1">
      <c r="A754" s="50"/>
      <c r="B754" s="102"/>
      <c r="C754" s="17"/>
      <c r="D754" s="102"/>
      <c r="E754" s="48"/>
      <c r="F754" s="49"/>
      <c r="G754" s="49"/>
      <c r="H754" s="49"/>
      <c r="I754" s="49"/>
      <c r="J754" s="49"/>
      <c r="K754" s="24"/>
      <c r="L754" s="103"/>
    </row>
    <row r="755" spans="1:12" ht="22.5" customHeight="1">
      <c r="A755" s="50"/>
      <c r="B755" s="102"/>
      <c r="C755" s="17"/>
      <c r="D755" s="102"/>
      <c r="E755" s="48"/>
      <c r="F755" s="49"/>
      <c r="G755" s="49"/>
      <c r="H755" s="49"/>
      <c r="I755" s="49"/>
      <c r="J755" s="49"/>
      <c r="K755" s="24"/>
      <c r="L755" s="103"/>
    </row>
    <row r="756" spans="1:12" ht="22.5" customHeight="1">
      <c r="A756" s="50"/>
      <c r="B756" s="102"/>
      <c r="C756" s="17"/>
      <c r="D756" s="102"/>
      <c r="E756" s="48"/>
      <c r="F756" s="49"/>
      <c r="G756" s="49"/>
      <c r="H756" s="49"/>
      <c r="I756" s="49"/>
      <c r="J756" s="49"/>
      <c r="K756" s="24"/>
      <c r="L756" s="103"/>
    </row>
    <row r="757" spans="1:12" ht="22.5" customHeight="1">
      <c r="A757" s="50"/>
      <c r="B757" s="102"/>
      <c r="C757" s="17"/>
      <c r="D757" s="102"/>
      <c r="E757" s="48"/>
      <c r="F757" s="49"/>
      <c r="G757" s="49"/>
      <c r="H757" s="49"/>
      <c r="I757" s="49"/>
      <c r="J757" s="49"/>
      <c r="K757" s="24"/>
      <c r="L757" s="103"/>
    </row>
    <row r="758" spans="1:12" ht="22.5" customHeight="1">
      <c r="A758" s="50"/>
      <c r="B758" s="102"/>
      <c r="C758" s="17"/>
      <c r="D758" s="102"/>
      <c r="E758" s="48"/>
      <c r="F758" s="49"/>
      <c r="G758" s="49"/>
      <c r="H758" s="49"/>
      <c r="I758" s="49"/>
      <c r="J758" s="49"/>
      <c r="K758" s="24"/>
      <c r="L758" s="103"/>
    </row>
    <row r="759" spans="1:12" ht="22.5" customHeight="1">
      <c r="A759" s="50"/>
      <c r="B759" s="102"/>
      <c r="C759" s="17"/>
      <c r="D759" s="102"/>
      <c r="E759" s="48"/>
      <c r="F759" s="49"/>
      <c r="G759" s="49"/>
      <c r="H759" s="49"/>
      <c r="I759" s="49"/>
      <c r="J759" s="49"/>
      <c r="K759" s="24"/>
      <c r="L759" s="103"/>
    </row>
    <row r="760" spans="1:12" ht="22.5" customHeight="1">
      <c r="A760" s="50"/>
      <c r="B760" s="102"/>
      <c r="C760" s="17"/>
      <c r="D760" s="102"/>
      <c r="E760" s="48"/>
      <c r="F760" s="49"/>
      <c r="G760" s="49"/>
      <c r="H760" s="49"/>
      <c r="I760" s="49"/>
      <c r="J760" s="49"/>
      <c r="K760" s="24"/>
      <c r="L760" s="103"/>
    </row>
    <row r="761" spans="1:12" ht="22.5" customHeight="1">
      <c r="A761" s="50"/>
      <c r="B761" s="102"/>
      <c r="C761" s="17"/>
      <c r="D761" s="102"/>
      <c r="E761" s="48"/>
      <c r="F761" s="49"/>
      <c r="G761" s="49"/>
      <c r="H761" s="49"/>
      <c r="I761" s="49"/>
      <c r="J761" s="49"/>
      <c r="K761" s="24"/>
      <c r="L761" s="103"/>
    </row>
    <row r="762" spans="1:12" ht="22.5" customHeight="1">
      <c r="A762" s="50"/>
      <c r="B762" s="102"/>
      <c r="C762" s="17"/>
      <c r="D762" s="102"/>
      <c r="E762" s="48"/>
      <c r="F762" s="49"/>
      <c r="G762" s="49"/>
      <c r="H762" s="49"/>
      <c r="I762" s="49"/>
      <c r="J762" s="49"/>
      <c r="K762" s="24"/>
      <c r="L762" s="103"/>
    </row>
    <row r="763" spans="1:12" ht="22.5" customHeight="1">
      <c r="A763" s="50"/>
      <c r="B763" s="102"/>
      <c r="C763" s="17"/>
      <c r="D763" s="102"/>
      <c r="E763" s="48"/>
      <c r="F763" s="49"/>
      <c r="G763" s="49"/>
      <c r="H763" s="49"/>
      <c r="I763" s="49"/>
      <c r="J763" s="49"/>
      <c r="K763" s="24"/>
      <c r="L763" s="103"/>
    </row>
    <row r="764" spans="1:12" ht="22.5" customHeight="1">
      <c r="A764" s="50"/>
      <c r="B764" s="102"/>
      <c r="C764" s="17"/>
      <c r="D764" s="102"/>
      <c r="E764" s="48"/>
      <c r="F764" s="49"/>
      <c r="G764" s="49"/>
      <c r="H764" s="49"/>
      <c r="I764" s="49"/>
      <c r="J764" s="49"/>
      <c r="K764" s="24"/>
      <c r="L764" s="103"/>
    </row>
    <row r="765" spans="1:12" ht="22.5" customHeight="1">
      <c r="A765" s="50"/>
      <c r="B765" s="102"/>
      <c r="C765" s="17"/>
      <c r="D765" s="102"/>
      <c r="E765" s="48"/>
      <c r="F765" s="49"/>
      <c r="G765" s="49"/>
      <c r="H765" s="49"/>
      <c r="I765" s="49"/>
      <c r="J765" s="49"/>
      <c r="K765" s="24"/>
      <c r="L765" s="103"/>
    </row>
    <row r="766" spans="1:12" ht="22.5" customHeight="1">
      <c r="A766" s="50"/>
      <c r="B766" s="102"/>
      <c r="C766" s="17"/>
      <c r="D766" s="102"/>
      <c r="E766" s="48"/>
      <c r="F766" s="49"/>
      <c r="G766" s="49"/>
      <c r="H766" s="49"/>
      <c r="I766" s="49"/>
      <c r="J766" s="49"/>
      <c r="K766" s="24"/>
      <c r="L766" s="103"/>
    </row>
    <row r="767" spans="1:12" ht="22.5" customHeight="1">
      <c r="A767" s="50"/>
      <c r="B767" s="102"/>
      <c r="C767" s="17"/>
      <c r="D767" s="102"/>
      <c r="E767" s="48"/>
      <c r="F767" s="49"/>
      <c r="G767" s="49"/>
      <c r="H767" s="49"/>
      <c r="I767" s="49"/>
      <c r="J767" s="49"/>
      <c r="K767" s="24"/>
      <c r="L767" s="103"/>
    </row>
    <row r="768" spans="1:12" ht="22.5" customHeight="1">
      <c r="A768" s="50"/>
      <c r="B768" s="102"/>
      <c r="C768" s="17"/>
      <c r="D768" s="102"/>
      <c r="E768" s="48"/>
      <c r="F768" s="49"/>
      <c r="G768" s="49"/>
      <c r="H768" s="49"/>
      <c r="I768" s="49"/>
      <c r="J768" s="49"/>
      <c r="K768" s="24"/>
      <c r="L768" s="103"/>
    </row>
    <row r="769" spans="1:12" ht="22.5" customHeight="1">
      <c r="A769" s="50"/>
      <c r="B769" s="102"/>
      <c r="C769" s="17"/>
      <c r="D769" s="102"/>
      <c r="E769" s="48"/>
      <c r="F769" s="49"/>
      <c r="G769" s="49"/>
      <c r="H769" s="49"/>
      <c r="I769" s="49"/>
      <c r="J769" s="49"/>
      <c r="K769" s="24"/>
      <c r="L769" s="103"/>
    </row>
    <row r="770" spans="1:12" ht="22.5" customHeight="1">
      <c r="A770" s="50"/>
      <c r="B770" s="102"/>
      <c r="C770" s="17"/>
      <c r="D770" s="102"/>
      <c r="E770" s="48"/>
      <c r="F770" s="49"/>
      <c r="G770" s="49"/>
      <c r="H770" s="49"/>
      <c r="I770" s="49"/>
      <c r="J770" s="49"/>
      <c r="K770" s="24"/>
      <c r="L770" s="103"/>
    </row>
    <row r="771" spans="1:12" ht="22.5" customHeight="1">
      <c r="A771" s="50"/>
      <c r="B771" s="102"/>
      <c r="C771" s="17"/>
      <c r="D771" s="102"/>
      <c r="E771" s="48"/>
      <c r="F771" s="49"/>
      <c r="G771" s="49"/>
      <c r="H771" s="49"/>
      <c r="I771" s="49"/>
      <c r="J771" s="49"/>
      <c r="K771" s="24"/>
      <c r="L771" s="103"/>
    </row>
    <row r="772" spans="1:12" ht="22.5" customHeight="1">
      <c r="A772" s="50"/>
      <c r="B772" s="102"/>
      <c r="C772" s="17"/>
      <c r="D772" s="102"/>
      <c r="E772" s="48"/>
      <c r="F772" s="49"/>
      <c r="G772" s="49"/>
      <c r="H772" s="49"/>
      <c r="I772" s="49"/>
      <c r="J772" s="49"/>
      <c r="K772" s="24"/>
      <c r="L772" s="103"/>
    </row>
    <row r="773" spans="1:12" ht="22.5" customHeight="1">
      <c r="A773" s="50"/>
      <c r="B773" s="102"/>
      <c r="C773" s="17"/>
      <c r="D773" s="102"/>
      <c r="E773" s="48"/>
      <c r="F773" s="49"/>
      <c r="G773" s="49"/>
      <c r="H773" s="49"/>
      <c r="I773" s="49"/>
      <c r="J773" s="49"/>
      <c r="K773" s="24"/>
      <c r="L773" s="103"/>
    </row>
    <row r="774" spans="1:12" ht="22.5" customHeight="1">
      <c r="A774" s="50"/>
      <c r="B774" s="102"/>
      <c r="C774" s="17"/>
      <c r="D774" s="102"/>
      <c r="E774" s="48"/>
      <c r="F774" s="49"/>
      <c r="G774" s="49"/>
      <c r="H774" s="49"/>
      <c r="I774" s="49"/>
      <c r="J774" s="49"/>
      <c r="K774" s="24"/>
      <c r="L774" s="103"/>
    </row>
    <row r="775" spans="1:12" ht="22.5" customHeight="1">
      <c r="A775" s="50"/>
      <c r="B775" s="102"/>
      <c r="C775" s="17"/>
      <c r="D775" s="102"/>
      <c r="E775" s="48"/>
      <c r="F775" s="49"/>
      <c r="G775" s="49"/>
      <c r="H775" s="49"/>
      <c r="I775" s="49"/>
      <c r="J775" s="49"/>
      <c r="K775" s="24"/>
      <c r="L775" s="103"/>
    </row>
    <row r="776" spans="1:12" ht="22.5" customHeight="1">
      <c r="A776" s="50"/>
      <c r="B776" s="102"/>
      <c r="C776" s="17"/>
      <c r="D776" s="102"/>
      <c r="E776" s="48"/>
      <c r="F776" s="49"/>
      <c r="G776" s="49"/>
      <c r="H776" s="49"/>
      <c r="I776" s="49"/>
      <c r="J776" s="49"/>
      <c r="K776" s="24"/>
      <c r="L776" s="103"/>
    </row>
    <row r="777" spans="1:12" ht="22.5" customHeight="1">
      <c r="A777" s="50"/>
      <c r="B777" s="102"/>
      <c r="C777" s="17"/>
      <c r="D777" s="102"/>
      <c r="E777" s="48"/>
      <c r="F777" s="49"/>
      <c r="G777" s="49"/>
      <c r="H777" s="49"/>
      <c r="I777" s="49"/>
      <c r="J777" s="49"/>
      <c r="K777" s="24"/>
      <c r="L777" s="103"/>
    </row>
    <row r="778" spans="1:12" ht="22.5" customHeight="1">
      <c r="A778" s="50"/>
      <c r="B778" s="102"/>
      <c r="C778" s="17"/>
      <c r="D778" s="102"/>
      <c r="E778" s="48"/>
      <c r="F778" s="49"/>
      <c r="G778" s="49"/>
      <c r="H778" s="49"/>
      <c r="I778" s="49"/>
      <c r="J778" s="49"/>
      <c r="K778" s="24"/>
      <c r="L778" s="103"/>
    </row>
    <row r="779" spans="1:12" ht="22.5" customHeight="1">
      <c r="A779" s="50"/>
      <c r="B779" s="102"/>
      <c r="C779" s="17"/>
      <c r="D779" s="102"/>
      <c r="E779" s="48"/>
      <c r="F779" s="49"/>
      <c r="G779" s="49"/>
      <c r="H779" s="49"/>
      <c r="I779" s="49"/>
      <c r="J779" s="49"/>
      <c r="K779" s="24"/>
      <c r="L779" s="103"/>
    </row>
    <row r="780" spans="1:12" ht="22.5" customHeight="1">
      <c r="A780" s="50"/>
      <c r="B780" s="102"/>
      <c r="C780" s="17"/>
      <c r="D780" s="102"/>
      <c r="E780" s="48"/>
      <c r="F780" s="49"/>
      <c r="G780" s="49"/>
      <c r="H780" s="49"/>
      <c r="I780" s="49"/>
      <c r="J780" s="49"/>
      <c r="K780" s="24"/>
      <c r="L780" s="103"/>
    </row>
    <row r="781" spans="1:12" ht="22.5" customHeight="1">
      <c r="A781" s="50"/>
      <c r="B781" s="102"/>
      <c r="C781" s="17"/>
      <c r="D781" s="102"/>
      <c r="E781" s="48"/>
      <c r="F781" s="49"/>
      <c r="G781" s="49"/>
      <c r="H781" s="49"/>
      <c r="I781" s="49"/>
      <c r="J781" s="49"/>
      <c r="K781" s="24"/>
      <c r="L781" s="103"/>
    </row>
    <row r="782" spans="1:12" ht="22.5" customHeight="1">
      <c r="A782" s="50"/>
      <c r="B782" s="102"/>
      <c r="C782" s="17"/>
      <c r="D782" s="102"/>
      <c r="E782" s="48"/>
      <c r="F782" s="49"/>
      <c r="G782" s="49"/>
      <c r="H782" s="49"/>
      <c r="I782" s="49"/>
      <c r="J782" s="49"/>
      <c r="K782" s="24"/>
      <c r="L782" s="103"/>
    </row>
    <row r="783" spans="1:12" ht="22.5" customHeight="1">
      <c r="A783" s="50"/>
      <c r="B783" s="102"/>
      <c r="C783" s="17"/>
      <c r="D783" s="102"/>
      <c r="E783" s="48"/>
      <c r="F783" s="49"/>
      <c r="G783" s="49"/>
      <c r="H783" s="49"/>
      <c r="I783" s="49"/>
      <c r="J783" s="49"/>
      <c r="K783" s="24"/>
      <c r="L783" s="103"/>
    </row>
    <row r="784" spans="1:12" ht="22.5" customHeight="1">
      <c r="A784" s="50"/>
      <c r="B784" s="102"/>
      <c r="C784" s="17"/>
      <c r="D784" s="102"/>
      <c r="E784" s="48"/>
      <c r="F784" s="49"/>
      <c r="G784" s="49"/>
      <c r="H784" s="49"/>
      <c r="I784" s="49"/>
      <c r="J784" s="49"/>
      <c r="K784" s="24"/>
      <c r="L784" s="103"/>
    </row>
    <row r="785" spans="1:12" ht="22.5" customHeight="1">
      <c r="A785" s="50"/>
      <c r="B785" s="102"/>
      <c r="C785" s="17"/>
      <c r="D785" s="102"/>
      <c r="E785" s="48"/>
      <c r="F785" s="49"/>
      <c r="G785" s="49"/>
      <c r="H785" s="49"/>
      <c r="I785" s="49"/>
      <c r="J785" s="49"/>
      <c r="K785" s="24"/>
      <c r="L785" s="103"/>
    </row>
    <row r="786" spans="1:12" ht="22.5" customHeight="1">
      <c r="A786" s="50"/>
      <c r="B786" s="102"/>
      <c r="C786" s="17"/>
      <c r="D786" s="102"/>
      <c r="E786" s="48"/>
      <c r="F786" s="49"/>
      <c r="G786" s="49"/>
      <c r="H786" s="49"/>
      <c r="I786" s="49"/>
      <c r="J786" s="49"/>
      <c r="K786" s="24"/>
      <c r="L786" s="103"/>
    </row>
    <row r="787" spans="1:12" ht="22.5" customHeight="1">
      <c r="A787" s="50"/>
      <c r="B787" s="102"/>
      <c r="C787" s="17"/>
      <c r="D787" s="102"/>
      <c r="E787" s="48"/>
      <c r="F787" s="49"/>
      <c r="G787" s="49"/>
      <c r="H787" s="49"/>
      <c r="I787" s="49"/>
      <c r="J787" s="49"/>
      <c r="K787" s="24"/>
      <c r="L787" s="103"/>
    </row>
    <row r="788" spans="1:12" ht="22.5" customHeight="1">
      <c r="A788" s="50"/>
      <c r="B788" s="102"/>
      <c r="C788" s="17"/>
      <c r="D788" s="102"/>
      <c r="E788" s="48"/>
      <c r="F788" s="49"/>
      <c r="G788" s="49"/>
      <c r="H788" s="49"/>
      <c r="I788" s="49"/>
      <c r="J788" s="49"/>
      <c r="K788" s="24"/>
      <c r="L788" s="103"/>
    </row>
    <row r="789" spans="1:12" ht="22.5" customHeight="1">
      <c r="A789" s="50"/>
      <c r="B789" s="102"/>
      <c r="C789" s="17"/>
      <c r="D789" s="102"/>
      <c r="E789" s="48"/>
      <c r="F789" s="49"/>
      <c r="G789" s="49"/>
      <c r="H789" s="49"/>
      <c r="I789" s="49"/>
      <c r="J789" s="49"/>
      <c r="K789" s="24"/>
      <c r="L789" s="103"/>
    </row>
    <row r="790" spans="1:12" ht="22.5" customHeight="1">
      <c r="A790" s="50"/>
      <c r="B790" s="102"/>
      <c r="C790" s="17"/>
      <c r="D790" s="102"/>
      <c r="E790" s="48"/>
      <c r="F790" s="49"/>
      <c r="G790" s="49"/>
      <c r="H790" s="49"/>
      <c r="I790" s="49"/>
      <c r="J790" s="49"/>
      <c r="K790" s="24"/>
      <c r="L790" s="103"/>
    </row>
    <row r="791" spans="1:12" ht="22.5" customHeight="1">
      <c r="A791" s="50"/>
      <c r="B791" s="102"/>
      <c r="C791" s="17"/>
      <c r="D791" s="102"/>
      <c r="E791" s="48"/>
      <c r="F791" s="49"/>
      <c r="G791" s="49"/>
      <c r="H791" s="49"/>
      <c r="I791" s="49"/>
      <c r="J791" s="49"/>
      <c r="K791" s="24"/>
      <c r="L791" s="103"/>
    </row>
    <row r="792" spans="1:12" ht="22.5" customHeight="1">
      <c r="A792" s="50"/>
      <c r="B792" s="102"/>
      <c r="C792" s="17"/>
      <c r="D792" s="102"/>
      <c r="E792" s="48"/>
      <c r="F792" s="49"/>
      <c r="G792" s="49"/>
      <c r="H792" s="49"/>
      <c r="I792" s="49"/>
      <c r="J792" s="49"/>
      <c r="K792" s="24"/>
      <c r="L792" s="103"/>
    </row>
    <row r="793" spans="1:12" ht="22.5" customHeight="1">
      <c r="A793" s="50"/>
      <c r="B793" s="102"/>
      <c r="C793" s="17"/>
      <c r="D793" s="102"/>
      <c r="E793" s="48"/>
      <c r="F793" s="49"/>
      <c r="G793" s="49"/>
      <c r="H793" s="49"/>
      <c r="I793" s="49"/>
      <c r="J793" s="49"/>
      <c r="K793" s="24"/>
      <c r="L793" s="103"/>
    </row>
    <row r="794" spans="1:12" ht="22.5" customHeight="1">
      <c r="A794" s="50"/>
      <c r="B794" s="102"/>
      <c r="C794" s="17"/>
      <c r="D794" s="102"/>
      <c r="E794" s="48"/>
      <c r="F794" s="49"/>
      <c r="G794" s="49"/>
      <c r="H794" s="49"/>
      <c r="I794" s="49"/>
      <c r="J794" s="49"/>
      <c r="K794" s="24"/>
      <c r="L794" s="103"/>
    </row>
    <row r="795" spans="1:12" ht="22.5" customHeight="1">
      <c r="A795" s="50"/>
      <c r="B795" s="102"/>
      <c r="C795" s="17"/>
      <c r="D795" s="102"/>
      <c r="E795" s="48"/>
      <c r="F795" s="49"/>
      <c r="G795" s="49"/>
      <c r="H795" s="49"/>
      <c r="I795" s="49"/>
      <c r="J795" s="49"/>
      <c r="K795" s="24"/>
      <c r="L795" s="103"/>
    </row>
    <row r="796" spans="1:12" ht="22.5" customHeight="1">
      <c r="A796" s="50"/>
      <c r="B796" s="102"/>
      <c r="C796" s="17"/>
      <c r="D796" s="102"/>
      <c r="E796" s="48"/>
      <c r="F796" s="49"/>
      <c r="G796" s="49"/>
      <c r="H796" s="49"/>
      <c r="I796" s="49"/>
      <c r="J796" s="49"/>
      <c r="K796" s="24"/>
      <c r="L796" s="103"/>
    </row>
    <row r="797" spans="1:12" ht="22.5" customHeight="1">
      <c r="A797" s="50"/>
      <c r="B797" s="102"/>
      <c r="C797" s="17"/>
      <c r="D797" s="102"/>
      <c r="E797" s="48"/>
      <c r="F797" s="49"/>
      <c r="G797" s="49"/>
      <c r="H797" s="49"/>
      <c r="I797" s="49"/>
      <c r="J797" s="49"/>
      <c r="K797" s="24"/>
      <c r="L797" s="103"/>
    </row>
    <row r="798" spans="1:12" ht="22.5" customHeight="1">
      <c r="A798" s="50"/>
      <c r="B798" s="102"/>
      <c r="C798" s="17"/>
      <c r="D798" s="102"/>
      <c r="E798" s="48"/>
      <c r="F798" s="49"/>
      <c r="G798" s="49"/>
      <c r="H798" s="49"/>
      <c r="I798" s="49"/>
      <c r="J798" s="49"/>
      <c r="K798" s="24"/>
      <c r="L798" s="103"/>
    </row>
    <row r="799" spans="1:12" ht="22.5" customHeight="1">
      <c r="A799" s="50"/>
      <c r="B799" s="102"/>
      <c r="C799" s="17"/>
      <c r="D799" s="102"/>
      <c r="E799" s="48"/>
      <c r="F799" s="49"/>
      <c r="G799" s="49"/>
      <c r="H799" s="49"/>
      <c r="I799" s="49"/>
      <c r="J799" s="49"/>
      <c r="K799" s="24"/>
      <c r="L799" s="103"/>
    </row>
    <row r="800" spans="1:12" ht="22.5" customHeight="1">
      <c r="A800" s="50"/>
      <c r="B800" s="102"/>
      <c r="C800" s="17"/>
      <c r="D800" s="102"/>
      <c r="E800" s="48"/>
      <c r="F800" s="49"/>
      <c r="G800" s="49"/>
      <c r="H800" s="49"/>
      <c r="I800" s="49"/>
      <c r="J800" s="49"/>
      <c r="K800" s="24"/>
      <c r="L800" s="103"/>
    </row>
    <row r="801" spans="1:12" ht="22.5" customHeight="1">
      <c r="A801" s="50"/>
      <c r="B801" s="102"/>
      <c r="C801" s="17"/>
      <c r="D801" s="102"/>
      <c r="E801" s="48"/>
      <c r="F801" s="49"/>
      <c r="G801" s="49"/>
      <c r="H801" s="49"/>
      <c r="I801" s="49"/>
      <c r="J801" s="49"/>
      <c r="K801" s="24"/>
      <c r="L801" s="103"/>
    </row>
    <row r="802" spans="1:12" ht="22.5" customHeight="1">
      <c r="A802" s="50"/>
      <c r="B802" s="102"/>
      <c r="C802" s="17"/>
      <c r="D802" s="102"/>
      <c r="E802" s="48"/>
      <c r="F802" s="49"/>
      <c r="G802" s="49"/>
      <c r="H802" s="49"/>
      <c r="I802" s="49"/>
      <c r="J802" s="49"/>
      <c r="K802" s="24"/>
      <c r="L802" s="103"/>
    </row>
    <row r="803" spans="1:12" ht="22.5" customHeight="1">
      <c r="A803" s="50"/>
      <c r="B803" s="102"/>
      <c r="C803" s="17"/>
      <c r="D803" s="102"/>
      <c r="E803" s="48"/>
      <c r="F803" s="49"/>
      <c r="G803" s="49"/>
      <c r="H803" s="49"/>
      <c r="I803" s="49"/>
      <c r="J803" s="49"/>
      <c r="K803" s="24"/>
      <c r="L803" s="103"/>
    </row>
    <row r="804" spans="1:12" ht="22.5" customHeight="1">
      <c r="A804" s="50"/>
      <c r="B804" s="102"/>
      <c r="C804" s="17"/>
      <c r="D804" s="102"/>
      <c r="E804" s="48"/>
      <c r="F804" s="49"/>
      <c r="G804" s="49"/>
      <c r="H804" s="49"/>
      <c r="I804" s="49"/>
      <c r="J804" s="49"/>
      <c r="K804" s="24"/>
      <c r="L804" s="103"/>
    </row>
    <row r="805" spans="1:12" ht="22.5" customHeight="1">
      <c r="A805" s="50"/>
      <c r="B805" s="102"/>
      <c r="C805" s="17"/>
      <c r="D805" s="102"/>
      <c r="E805" s="48"/>
      <c r="F805" s="49"/>
      <c r="G805" s="49"/>
      <c r="H805" s="49"/>
      <c r="I805" s="49"/>
      <c r="J805" s="49"/>
      <c r="K805" s="24"/>
      <c r="L805" s="103"/>
    </row>
    <row r="806" spans="1:12" ht="22.5" customHeight="1">
      <c r="A806" s="50"/>
      <c r="B806" s="102"/>
      <c r="C806" s="17"/>
      <c r="D806" s="102"/>
      <c r="E806" s="48"/>
      <c r="F806" s="49"/>
      <c r="G806" s="49"/>
      <c r="H806" s="49"/>
      <c r="I806" s="49"/>
      <c r="J806" s="49"/>
      <c r="K806" s="24"/>
      <c r="L806" s="103"/>
    </row>
    <row r="807" spans="1:12" ht="22.5" customHeight="1">
      <c r="A807" s="50"/>
      <c r="B807" s="102"/>
      <c r="C807" s="17"/>
      <c r="D807" s="102"/>
      <c r="E807" s="48"/>
      <c r="F807" s="49"/>
      <c r="G807" s="49"/>
      <c r="H807" s="49"/>
      <c r="I807" s="49"/>
      <c r="J807" s="49"/>
      <c r="K807" s="24"/>
      <c r="L807" s="103"/>
    </row>
    <row r="808" spans="1:12" ht="22.5" customHeight="1">
      <c r="A808" s="50"/>
      <c r="B808" s="102"/>
      <c r="C808" s="17"/>
      <c r="D808" s="102"/>
      <c r="E808" s="48"/>
      <c r="F808" s="49"/>
      <c r="G808" s="49"/>
      <c r="H808" s="49"/>
      <c r="I808" s="49"/>
      <c r="J808" s="49"/>
      <c r="K808" s="24"/>
      <c r="L808" s="103"/>
    </row>
    <row r="809" spans="1:12" ht="22.5" customHeight="1">
      <c r="A809" s="50"/>
      <c r="B809" s="102"/>
      <c r="C809" s="17"/>
      <c r="D809" s="102"/>
      <c r="E809" s="48"/>
      <c r="F809" s="49"/>
      <c r="G809" s="49"/>
      <c r="H809" s="49"/>
      <c r="I809" s="49"/>
      <c r="J809" s="49"/>
      <c r="K809" s="24"/>
      <c r="L809" s="103"/>
    </row>
    <row r="810" spans="1:12" ht="22.5" customHeight="1">
      <c r="A810" s="50"/>
      <c r="B810" s="102"/>
      <c r="C810" s="17"/>
      <c r="D810" s="102"/>
      <c r="E810" s="48"/>
      <c r="F810" s="49"/>
      <c r="G810" s="49"/>
      <c r="H810" s="49"/>
      <c r="I810" s="49"/>
      <c r="J810" s="49"/>
      <c r="K810" s="24"/>
      <c r="L810" s="103"/>
    </row>
    <row r="811" spans="1:12" ht="22.5" customHeight="1">
      <c r="A811" s="50"/>
      <c r="B811" s="102"/>
      <c r="C811" s="17"/>
      <c r="D811" s="102"/>
      <c r="E811" s="48"/>
      <c r="F811" s="49"/>
      <c r="G811" s="49"/>
      <c r="H811" s="49"/>
      <c r="I811" s="49"/>
      <c r="J811" s="49"/>
      <c r="K811" s="24"/>
      <c r="L811" s="103"/>
    </row>
    <row r="812" spans="1:12" ht="22.5" customHeight="1">
      <c r="A812" s="50"/>
      <c r="B812" s="102"/>
      <c r="C812" s="17"/>
      <c r="D812" s="102"/>
      <c r="E812" s="48"/>
      <c r="F812" s="49"/>
      <c r="G812" s="49"/>
      <c r="H812" s="49"/>
      <c r="I812" s="49"/>
      <c r="J812" s="49"/>
      <c r="K812" s="24"/>
      <c r="L812" s="103"/>
    </row>
    <row r="813" spans="1:12" ht="22.5" customHeight="1">
      <c r="A813" s="50"/>
      <c r="B813" s="102"/>
      <c r="C813" s="17"/>
      <c r="D813" s="102"/>
      <c r="E813" s="48"/>
      <c r="F813" s="49"/>
      <c r="G813" s="49"/>
      <c r="H813" s="49"/>
      <c r="I813" s="49"/>
      <c r="J813" s="49"/>
      <c r="K813" s="24"/>
      <c r="L813" s="103"/>
    </row>
    <row r="814" spans="1:12" ht="22.5" customHeight="1">
      <c r="A814" s="50"/>
      <c r="B814" s="102"/>
      <c r="C814" s="17"/>
      <c r="D814" s="102"/>
      <c r="E814" s="48"/>
      <c r="F814" s="49"/>
      <c r="G814" s="49"/>
      <c r="H814" s="49"/>
      <c r="I814" s="49"/>
      <c r="J814" s="49"/>
      <c r="K814" s="24"/>
      <c r="L814" s="103"/>
    </row>
    <row r="815" spans="1:12" ht="22.5" customHeight="1">
      <c r="A815" s="50"/>
      <c r="B815" s="102"/>
      <c r="C815" s="17"/>
      <c r="D815" s="102"/>
      <c r="E815" s="48"/>
      <c r="F815" s="49"/>
      <c r="G815" s="49"/>
      <c r="H815" s="49"/>
      <c r="I815" s="49"/>
      <c r="J815" s="49"/>
      <c r="K815" s="24"/>
      <c r="L815" s="103"/>
    </row>
    <row r="816" spans="1:12" ht="22.5" customHeight="1">
      <c r="A816" s="50"/>
      <c r="B816" s="102"/>
      <c r="C816" s="17"/>
      <c r="D816" s="102"/>
      <c r="E816" s="48"/>
      <c r="F816" s="49"/>
      <c r="G816" s="49"/>
      <c r="H816" s="49"/>
      <c r="I816" s="49"/>
      <c r="J816" s="49"/>
      <c r="K816" s="24"/>
      <c r="L816" s="103"/>
    </row>
    <row r="817" spans="1:12" ht="22.5" customHeight="1">
      <c r="A817" s="50"/>
      <c r="B817" s="102"/>
      <c r="C817" s="17"/>
      <c r="D817" s="102"/>
      <c r="E817" s="48"/>
      <c r="F817" s="49"/>
      <c r="G817" s="49"/>
      <c r="H817" s="49"/>
      <c r="I817" s="49"/>
      <c r="J817" s="49"/>
      <c r="K817" s="24"/>
      <c r="L817" s="103"/>
    </row>
    <row r="818" spans="1:12" ht="22.5" customHeight="1">
      <c r="A818" s="50"/>
      <c r="B818" s="102"/>
      <c r="C818" s="17"/>
      <c r="D818" s="102"/>
      <c r="E818" s="48"/>
      <c r="F818" s="49"/>
      <c r="G818" s="49"/>
      <c r="H818" s="49"/>
      <c r="I818" s="49"/>
      <c r="J818" s="49"/>
      <c r="K818" s="24"/>
      <c r="L818" s="103"/>
    </row>
    <row r="819" spans="1:12" ht="22.5" customHeight="1">
      <c r="A819" s="50"/>
      <c r="B819" s="102"/>
      <c r="C819" s="17"/>
      <c r="D819" s="102"/>
      <c r="E819" s="48"/>
      <c r="F819" s="49"/>
      <c r="G819" s="49"/>
      <c r="H819" s="49"/>
      <c r="I819" s="49"/>
      <c r="J819" s="49"/>
      <c r="K819" s="24"/>
      <c r="L819" s="103"/>
    </row>
    <row r="820" spans="1:12" ht="22.5" customHeight="1">
      <c r="A820" s="50"/>
      <c r="B820" s="102"/>
      <c r="C820" s="17"/>
      <c r="D820" s="102"/>
      <c r="E820" s="48"/>
      <c r="F820" s="49"/>
      <c r="G820" s="49"/>
      <c r="H820" s="49"/>
      <c r="I820" s="49"/>
      <c r="J820" s="49"/>
      <c r="K820" s="24"/>
      <c r="L820" s="103"/>
    </row>
    <row r="821" spans="1:12" ht="22.5" customHeight="1">
      <c r="A821" s="50"/>
      <c r="B821" s="102"/>
      <c r="C821" s="17"/>
      <c r="D821" s="102"/>
      <c r="E821" s="48"/>
      <c r="F821" s="49"/>
      <c r="G821" s="49"/>
      <c r="H821" s="49"/>
      <c r="I821" s="49"/>
      <c r="J821" s="49"/>
      <c r="K821" s="24"/>
      <c r="L821" s="103"/>
    </row>
    <row r="822" spans="1:12" ht="22.5" customHeight="1">
      <c r="A822" s="50"/>
      <c r="B822" s="102"/>
      <c r="C822" s="17"/>
      <c r="D822" s="102"/>
      <c r="E822" s="48"/>
      <c r="F822" s="49"/>
      <c r="G822" s="49"/>
      <c r="H822" s="49"/>
      <c r="I822" s="49"/>
      <c r="J822" s="49"/>
      <c r="K822" s="24"/>
      <c r="L822" s="103"/>
    </row>
    <row r="823" spans="1:12" ht="22.5" customHeight="1">
      <c r="A823" s="50"/>
      <c r="B823" s="102"/>
      <c r="C823" s="17"/>
      <c r="D823" s="102"/>
      <c r="E823" s="48"/>
      <c r="F823" s="49"/>
      <c r="G823" s="49"/>
      <c r="H823" s="49"/>
      <c r="I823" s="49"/>
      <c r="J823" s="49"/>
      <c r="K823" s="24"/>
      <c r="L823" s="103"/>
    </row>
    <row r="824" spans="1:12" ht="22.5" customHeight="1">
      <c r="A824" s="50"/>
      <c r="B824" s="102"/>
      <c r="C824" s="17"/>
      <c r="D824" s="102"/>
      <c r="E824" s="48"/>
      <c r="F824" s="49"/>
      <c r="G824" s="49"/>
      <c r="H824" s="49"/>
      <c r="I824" s="49"/>
      <c r="J824" s="49"/>
      <c r="K824" s="24"/>
      <c r="L824" s="103"/>
    </row>
    <row r="825" spans="1:12" ht="22.5" customHeight="1">
      <c r="A825" s="50"/>
      <c r="B825" s="102"/>
      <c r="C825" s="17"/>
      <c r="D825" s="102"/>
      <c r="E825" s="48"/>
      <c r="F825" s="49"/>
      <c r="G825" s="49"/>
      <c r="H825" s="49"/>
      <c r="I825" s="49"/>
      <c r="J825" s="49"/>
      <c r="K825" s="24"/>
      <c r="L825" s="103"/>
    </row>
    <row r="826" spans="1:12" ht="22.5" customHeight="1">
      <c r="A826" s="50"/>
      <c r="B826" s="102"/>
      <c r="C826" s="17"/>
      <c r="D826" s="102"/>
      <c r="E826" s="48"/>
      <c r="F826" s="49"/>
      <c r="G826" s="49"/>
      <c r="H826" s="49"/>
      <c r="I826" s="49"/>
      <c r="J826" s="49"/>
      <c r="K826" s="24"/>
      <c r="L826" s="103"/>
    </row>
    <row r="827" spans="1:12" ht="22.5" customHeight="1">
      <c r="A827" s="50"/>
      <c r="B827" s="102"/>
      <c r="C827" s="17"/>
      <c r="D827" s="102"/>
      <c r="E827" s="48"/>
      <c r="F827" s="49"/>
      <c r="G827" s="49"/>
      <c r="H827" s="49"/>
      <c r="I827" s="49"/>
      <c r="J827" s="49"/>
      <c r="K827" s="24"/>
      <c r="L827" s="103"/>
    </row>
    <row r="828" spans="1:12" ht="22.5" customHeight="1">
      <c r="A828" s="50"/>
      <c r="B828" s="102"/>
      <c r="C828" s="17"/>
      <c r="D828" s="102"/>
      <c r="E828" s="48"/>
      <c r="F828" s="49"/>
      <c r="G828" s="49"/>
      <c r="H828" s="49"/>
      <c r="I828" s="49"/>
      <c r="J828" s="49"/>
      <c r="K828" s="24"/>
      <c r="L828" s="103"/>
    </row>
    <row r="829" spans="1:12" ht="22.5" customHeight="1">
      <c r="A829" s="50"/>
      <c r="B829" s="102"/>
      <c r="C829" s="17"/>
      <c r="D829" s="102"/>
      <c r="E829" s="48"/>
      <c r="F829" s="49"/>
      <c r="G829" s="49"/>
      <c r="H829" s="49"/>
      <c r="I829" s="49"/>
      <c r="J829" s="49"/>
      <c r="K829" s="24"/>
      <c r="L829" s="103"/>
    </row>
    <row r="830" spans="1:12" ht="22.5" customHeight="1">
      <c r="A830" s="50"/>
      <c r="B830" s="102"/>
      <c r="C830" s="17"/>
      <c r="D830" s="102"/>
      <c r="E830" s="48"/>
      <c r="F830" s="49"/>
      <c r="G830" s="49"/>
      <c r="H830" s="49"/>
      <c r="I830" s="49"/>
      <c r="J830" s="49"/>
      <c r="K830" s="24"/>
      <c r="L830" s="103"/>
    </row>
    <row r="831" spans="1:12" ht="22.5" customHeight="1">
      <c r="A831" s="50"/>
      <c r="B831" s="102"/>
      <c r="C831" s="17"/>
      <c r="D831" s="102"/>
      <c r="E831" s="48"/>
      <c r="F831" s="49"/>
      <c r="G831" s="49"/>
      <c r="H831" s="49"/>
      <c r="I831" s="49"/>
      <c r="J831" s="49"/>
      <c r="K831" s="24"/>
      <c r="L831" s="103"/>
    </row>
    <row r="832" spans="1:12" ht="22.5" customHeight="1">
      <c r="A832" s="50"/>
      <c r="B832" s="102"/>
      <c r="C832" s="17"/>
      <c r="D832" s="102"/>
      <c r="E832" s="48"/>
      <c r="F832" s="49"/>
      <c r="G832" s="49"/>
      <c r="H832" s="49"/>
      <c r="I832" s="49"/>
      <c r="J832" s="49"/>
      <c r="K832" s="24"/>
      <c r="L832" s="103"/>
    </row>
    <row r="833" spans="1:12" ht="22.5" customHeight="1">
      <c r="A833" s="50"/>
      <c r="B833" s="102"/>
      <c r="C833" s="17"/>
      <c r="D833" s="102"/>
      <c r="E833" s="48"/>
      <c r="F833" s="49"/>
      <c r="G833" s="49"/>
      <c r="H833" s="49"/>
      <c r="I833" s="49"/>
      <c r="J833" s="49"/>
      <c r="K833" s="24"/>
      <c r="L833" s="103"/>
    </row>
    <row r="834" spans="1:12" ht="22.5" customHeight="1">
      <c r="A834" s="50"/>
      <c r="B834" s="102"/>
      <c r="C834" s="17"/>
      <c r="D834" s="102"/>
      <c r="E834" s="48"/>
      <c r="F834" s="49"/>
      <c r="G834" s="49"/>
      <c r="H834" s="49"/>
      <c r="I834" s="49"/>
      <c r="J834" s="49"/>
      <c r="K834" s="24"/>
      <c r="L834" s="103"/>
    </row>
    <row r="835" spans="1:12" ht="22.5" customHeight="1">
      <c r="A835" s="50"/>
      <c r="B835" s="102"/>
      <c r="C835" s="17"/>
      <c r="D835" s="102"/>
      <c r="E835" s="48"/>
      <c r="F835" s="49"/>
      <c r="G835" s="49"/>
      <c r="H835" s="49"/>
      <c r="I835" s="49"/>
      <c r="J835" s="49"/>
      <c r="K835" s="24"/>
      <c r="L835" s="103"/>
    </row>
    <row r="836" spans="1:12" ht="22.5" customHeight="1">
      <c r="A836" s="50"/>
      <c r="B836" s="102"/>
      <c r="C836" s="17"/>
      <c r="D836" s="102"/>
      <c r="E836" s="48"/>
      <c r="F836" s="49"/>
      <c r="G836" s="49"/>
      <c r="H836" s="49"/>
      <c r="I836" s="49"/>
      <c r="J836" s="49"/>
      <c r="K836" s="24"/>
      <c r="L836" s="103"/>
    </row>
    <row r="837" spans="1:12" ht="22.5" customHeight="1">
      <c r="A837" s="50"/>
      <c r="B837" s="102"/>
      <c r="C837" s="17"/>
      <c r="D837" s="102"/>
      <c r="E837" s="48"/>
      <c r="F837" s="49"/>
      <c r="G837" s="49"/>
      <c r="H837" s="49"/>
      <c r="I837" s="49"/>
      <c r="J837" s="49"/>
      <c r="K837" s="24"/>
      <c r="L837" s="103"/>
    </row>
    <row r="838" spans="1:12" ht="22.5" customHeight="1">
      <c r="A838" s="50"/>
      <c r="B838" s="102"/>
      <c r="C838" s="17"/>
      <c r="D838" s="102"/>
      <c r="E838" s="48"/>
      <c r="F838" s="49"/>
      <c r="G838" s="49"/>
      <c r="H838" s="49"/>
      <c r="I838" s="49"/>
      <c r="J838" s="49"/>
      <c r="K838" s="24"/>
      <c r="L838" s="103"/>
    </row>
    <row r="839" spans="1:12" ht="22.5" customHeight="1">
      <c r="A839" s="50"/>
      <c r="B839" s="102"/>
      <c r="C839" s="17"/>
      <c r="D839" s="102"/>
      <c r="E839" s="48"/>
      <c r="F839" s="49"/>
      <c r="G839" s="49"/>
      <c r="H839" s="49"/>
      <c r="I839" s="49"/>
      <c r="J839" s="49"/>
      <c r="K839" s="24"/>
      <c r="L839" s="103"/>
    </row>
    <row r="840" spans="1:12" ht="22.5" customHeight="1">
      <c r="A840" s="50"/>
      <c r="B840" s="102"/>
      <c r="C840" s="17"/>
      <c r="D840" s="102"/>
      <c r="E840" s="48"/>
      <c r="F840" s="49"/>
      <c r="G840" s="49"/>
      <c r="H840" s="49"/>
      <c r="I840" s="49"/>
      <c r="J840" s="49"/>
      <c r="K840" s="24"/>
      <c r="L840" s="103"/>
    </row>
    <row r="841" spans="1:12" ht="22.5" customHeight="1">
      <c r="A841" s="50"/>
      <c r="B841" s="102"/>
      <c r="C841" s="17"/>
      <c r="D841" s="102"/>
      <c r="E841" s="48"/>
      <c r="F841" s="49"/>
      <c r="G841" s="49"/>
      <c r="H841" s="49"/>
      <c r="I841" s="49"/>
      <c r="J841" s="49"/>
      <c r="K841" s="24"/>
      <c r="L841" s="103"/>
    </row>
    <row r="842" spans="1:12" ht="22.5" customHeight="1">
      <c r="A842" s="50"/>
      <c r="B842" s="102"/>
      <c r="C842" s="17"/>
      <c r="D842" s="102"/>
      <c r="E842" s="48"/>
      <c r="F842" s="49"/>
      <c r="G842" s="49"/>
      <c r="H842" s="49"/>
      <c r="I842" s="49"/>
      <c r="J842" s="49"/>
      <c r="K842" s="24"/>
      <c r="L842" s="103"/>
    </row>
    <row r="843" spans="1:12" ht="22.5" customHeight="1">
      <c r="A843" s="50"/>
      <c r="B843" s="102"/>
      <c r="C843" s="17"/>
      <c r="D843" s="102"/>
      <c r="E843" s="48"/>
      <c r="F843" s="49"/>
      <c r="G843" s="49"/>
      <c r="H843" s="49"/>
      <c r="I843" s="49"/>
      <c r="J843" s="49"/>
      <c r="K843" s="24"/>
      <c r="L843" s="103"/>
    </row>
    <row r="844" spans="1:12" ht="22.5" customHeight="1">
      <c r="A844" s="50"/>
      <c r="B844" s="102"/>
      <c r="C844" s="17"/>
      <c r="D844" s="102"/>
      <c r="E844" s="48"/>
      <c r="F844" s="49"/>
      <c r="G844" s="49"/>
      <c r="H844" s="49"/>
      <c r="I844" s="49"/>
      <c r="J844" s="49"/>
      <c r="K844" s="24"/>
      <c r="L844" s="103"/>
    </row>
    <row r="845" spans="1:12" ht="22.5" customHeight="1">
      <c r="A845" s="50"/>
      <c r="B845" s="102"/>
      <c r="C845" s="17"/>
      <c r="D845" s="102"/>
      <c r="E845" s="48"/>
      <c r="F845" s="49"/>
      <c r="G845" s="49"/>
      <c r="H845" s="49"/>
      <c r="I845" s="49"/>
      <c r="J845" s="49"/>
      <c r="K845" s="24"/>
      <c r="L845" s="103"/>
    </row>
    <row r="846" spans="1:12" ht="22.5" customHeight="1">
      <c r="A846" s="50"/>
      <c r="B846" s="102"/>
      <c r="C846" s="17"/>
      <c r="D846" s="102"/>
      <c r="E846" s="48"/>
      <c r="F846" s="49"/>
      <c r="G846" s="49"/>
      <c r="H846" s="49"/>
      <c r="I846" s="49"/>
      <c r="J846" s="49"/>
      <c r="K846" s="24"/>
      <c r="L846" s="103"/>
    </row>
    <row r="847" spans="1:12" ht="22.5" customHeight="1">
      <c r="A847" s="50"/>
      <c r="B847" s="102"/>
      <c r="C847" s="17"/>
      <c r="D847" s="102"/>
      <c r="E847" s="48"/>
      <c r="F847" s="49"/>
      <c r="G847" s="49"/>
      <c r="H847" s="49"/>
      <c r="I847" s="49"/>
      <c r="J847" s="49"/>
      <c r="K847" s="24"/>
      <c r="L847" s="103"/>
    </row>
    <row r="848" spans="1:12" ht="22.5" customHeight="1">
      <c r="A848" s="50"/>
      <c r="B848" s="102"/>
      <c r="C848" s="17"/>
      <c r="D848" s="102"/>
      <c r="E848" s="48"/>
      <c r="F848" s="49"/>
      <c r="G848" s="49"/>
      <c r="H848" s="49"/>
      <c r="I848" s="49"/>
      <c r="J848" s="49"/>
      <c r="K848" s="24"/>
      <c r="L848" s="103"/>
    </row>
    <row r="849" spans="1:12" ht="22.5" customHeight="1">
      <c r="A849" s="50"/>
      <c r="B849" s="102"/>
      <c r="C849" s="17"/>
      <c r="D849" s="102"/>
      <c r="E849" s="48"/>
      <c r="F849" s="49"/>
      <c r="G849" s="49"/>
      <c r="H849" s="49"/>
      <c r="I849" s="49"/>
      <c r="J849" s="49"/>
      <c r="K849" s="24"/>
      <c r="L849" s="103"/>
    </row>
    <row r="850" spans="1:12" ht="22.5" customHeight="1">
      <c r="A850" s="50"/>
      <c r="B850" s="102"/>
      <c r="C850" s="17"/>
      <c r="D850" s="102"/>
      <c r="E850" s="48"/>
      <c r="F850" s="49"/>
      <c r="G850" s="49"/>
      <c r="H850" s="49"/>
      <c r="I850" s="49"/>
      <c r="J850" s="49"/>
      <c r="K850" s="24"/>
      <c r="L850" s="103"/>
    </row>
    <row r="851" spans="1:12" ht="22.5" customHeight="1">
      <c r="A851" s="50"/>
      <c r="B851" s="102"/>
      <c r="C851" s="17"/>
      <c r="D851" s="102"/>
      <c r="E851" s="48"/>
      <c r="F851" s="49"/>
      <c r="G851" s="49"/>
      <c r="H851" s="49"/>
      <c r="I851" s="49"/>
      <c r="J851" s="49"/>
      <c r="K851" s="24"/>
      <c r="L851" s="103"/>
    </row>
    <row r="852" spans="1:12" ht="22.5" customHeight="1">
      <c r="A852" s="50"/>
      <c r="B852" s="102"/>
      <c r="C852" s="17"/>
      <c r="D852" s="102"/>
      <c r="E852" s="48"/>
      <c r="F852" s="49"/>
      <c r="G852" s="49"/>
      <c r="H852" s="49"/>
      <c r="I852" s="49"/>
      <c r="J852" s="49"/>
      <c r="K852" s="24"/>
      <c r="L852" s="103"/>
    </row>
    <row r="853" spans="1:12" ht="22.5" customHeight="1">
      <c r="A853" s="50"/>
      <c r="B853" s="102"/>
      <c r="C853" s="17"/>
      <c r="D853" s="102"/>
      <c r="E853" s="48"/>
      <c r="F853" s="49"/>
      <c r="G853" s="49"/>
      <c r="H853" s="49"/>
      <c r="I853" s="49"/>
      <c r="J853" s="49"/>
      <c r="K853" s="24"/>
      <c r="L853" s="103"/>
    </row>
    <row r="854" spans="1:12" ht="22.5" customHeight="1">
      <c r="A854" s="50"/>
      <c r="B854" s="102"/>
      <c r="C854" s="17"/>
      <c r="D854" s="102"/>
      <c r="E854" s="48"/>
      <c r="F854" s="49"/>
      <c r="G854" s="49"/>
      <c r="H854" s="49"/>
      <c r="I854" s="49"/>
      <c r="J854" s="49"/>
      <c r="K854" s="24"/>
      <c r="L854" s="103"/>
    </row>
    <row r="855" spans="1:12" ht="22.5" customHeight="1">
      <c r="A855" s="50"/>
      <c r="B855" s="102"/>
      <c r="C855" s="17"/>
      <c r="D855" s="102"/>
      <c r="E855" s="48"/>
      <c r="F855" s="49"/>
      <c r="G855" s="49"/>
      <c r="H855" s="49"/>
      <c r="I855" s="49"/>
      <c r="J855" s="49"/>
      <c r="K855" s="24"/>
      <c r="L855" s="103"/>
    </row>
    <row r="856" spans="1:12" ht="22.5" customHeight="1">
      <c r="A856" s="50"/>
      <c r="B856" s="102"/>
      <c r="C856" s="17"/>
      <c r="D856" s="102"/>
      <c r="E856" s="48"/>
      <c r="F856" s="49"/>
      <c r="G856" s="49"/>
      <c r="H856" s="49"/>
      <c r="I856" s="49"/>
      <c r="J856" s="49"/>
      <c r="K856" s="24"/>
      <c r="L856" s="103"/>
    </row>
    <row r="857" spans="1:12" ht="22.5" customHeight="1">
      <c r="A857" s="50"/>
      <c r="B857" s="102"/>
      <c r="C857" s="17"/>
      <c r="D857" s="102"/>
      <c r="E857" s="48"/>
      <c r="F857" s="49"/>
      <c r="G857" s="49"/>
      <c r="H857" s="49"/>
      <c r="I857" s="49"/>
      <c r="J857" s="49"/>
      <c r="K857" s="24"/>
      <c r="L857" s="103"/>
    </row>
    <row r="858" spans="1:12" ht="22.5" customHeight="1">
      <c r="A858" s="50"/>
      <c r="B858" s="102"/>
      <c r="C858" s="17"/>
      <c r="D858" s="102"/>
      <c r="E858" s="48"/>
      <c r="F858" s="49"/>
      <c r="G858" s="49"/>
      <c r="H858" s="49"/>
      <c r="I858" s="49"/>
      <c r="J858" s="49"/>
      <c r="K858" s="24"/>
      <c r="L858" s="103"/>
    </row>
    <row r="859" spans="1:12" ht="22.5" customHeight="1">
      <c r="A859" s="50"/>
      <c r="B859" s="102"/>
      <c r="C859" s="17"/>
      <c r="D859" s="102"/>
      <c r="E859" s="48"/>
      <c r="F859" s="49"/>
      <c r="G859" s="49"/>
      <c r="H859" s="49"/>
      <c r="I859" s="49"/>
      <c r="J859" s="49"/>
      <c r="K859" s="24"/>
      <c r="L859" s="103"/>
    </row>
    <row r="860" spans="1:12" ht="22.5" customHeight="1">
      <c r="A860" s="50"/>
      <c r="B860" s="102"/>
      <c r="C860" s="17"/>
      <c r="D860" s="102"/>
      <c r="E860" s="48"/>
      <c r="F860" s="49"/>
      <c r="G860" s="49"/>
      <c r="H860" s="49"/>
      <c r="I860" s="49"/>
      <c r="J860" s="49"/>
      <c r="K860" s="24"/>
      <c r="L860" s="103"/>
    </row>
    <row r="861" spans="1:12" ht="22.5" customHeight="1">
      <c r="A861" s="50"/>
      <c r="B861" s="102"/>
      <c r="C861" s="17"/>
      <c r="D861" s="102"/>
      <c r="E861" s="48"/>
      <c r="F861" s="49"/>
      <c r="G861" s="49"/>
      <c r="H861" s="49"/>
      <c r="I861" s="49"/>
      <c r="J861" s="49"/>
      <c r="K861" s="24"/>
      <c r="L861" s="103"/>
    </row>
    <row r="862" spans="1:12" ht="22.5" customHeight="1">
      <c r="A862" s="50"/>
      <c r="B862" s="102"/>
      <c r="C862" s="17"/>
      <c r="D862" s="102"/>
      <c r="E862" s="48"/>
      <c r="F862" s="49"/>
      <c r="G862" s="49"/>
      <c r="H862" s="49"/>
      <c r="I862" s="49"/>
      <c r="J862" s="49"/>
      <c r="K862" s="24"/>
      <c r="L862" s="103"/>
    </row>
    <row r="863" spans="1:12" ht="22.5" customHeight="1">
      <c r="A863" s="50"/>
      <c r="B863" s="102"/>
      <c r="C863" s="17"/>
      <c r="D863" s="102"/>
      <c r="E863" s="48"/>
      <c r="F863" s="49"/>
      <c r="G863" s="49"/>
      <c r="H863" s="49"/>
      <c r="I863" s="49"/>
      <c r="J863" s="49"/>
      <c r="K863" s="24"/>
      <c r="L863" s="103"/>
    </row>
    <row r="864" spans="1:12" ht="22.5" customHeight="1">
      <c r="A864" s="50"/>
      <c r="B864" s="102"/>
      <c r="C864" s="17"/>
      <c r="D864" s="102"/>
      <c r="E864" s="48"/>
      <c r="F864" s="49"/>
      <c r="G864" s="49"/>
      <c r="H864" s="49"/>
      <c r="I864" s="49"/>
      <c r="J864" s="49"/>
      <c r="K864" s="24"/>
      <c r="L864" s="103"/>
    </row>
    <row r="865" spans="1:12" ht="22.5" customHeight="1">
      <c r="A865" s="50"/>
      <c r="B865" s="102"/>
      <c r="C865" s="17"/>
      <c r="D865" s="102"/>
      <c r="E865" s="48"/>
      <c r="F865" s="49"/>
      <c r="G865" s="49"/>
      <c r="H865" s="49"/>
      <c r="I865" s="49"/>
      <c r="J865" s="49"/>
      <c r="K865" s="24"/>
      <c r="L865" s="103"/>
    </row>
    <row r="866" spans="1:12" ht="22.5" customHeight="1">
      <c r="A866" s="50"/>
      <c r="B866" s="102"/>
      <c r="C866" s="17"/>
      <c r="D866" s="102"/>
      <c r="E866" s="48"/>
      <c r="F866" s="49"/>
      <c r="G866" s="49"/>
      <c r="H866" s="49"/>
      <c r="I866" s="49"/>
      <c r="J866" s="49"/>
      <c r="K866" s="24"/>
      <c r="L866" s="103"/>
    </row>
    <row r="867" spans="1:12" ht="22.5" customHeight="1">
      <c r="A867" s="50"/>
      <c r="B867" s="102"/>
      <c r="C867" s="17"/>
      <c r="D867" s="102"/>
      <c r="E867" s="48"/>
      <c r="F867" s="49"/>
      <c r="G867" s="49"/>
      <c r="H867" s="49"/>
      <c r="I867" s="49"/>
      <c r="J867" s="49"/>
      <c r="K867" s="24"/>
      <c r="L867" s="103"/>
    </row>
    <row r="868" spans="1:12" ht="22.5" customHeight="1">
      <c r="A868" s="50"/>
      <c r="B868" s="102"/>
      <c r="C868" s="17"/>
      <c r="D868" s="102"/>
      <c r="E868" s="48"/>
      <c r="F868" s="49"/>
      <c r="G868" s="49"/>
      <c r="H868" s="49"/>
      <c r="I868" s="49"/>
      <c r="J868" s="49"/>
      <c r="K868" s="24"/>
      <c r="L868" s="103"/>
    </row>
    <row r="869" spans="1:12" ht="22.5" customHeight="1">
      <c r="A869" s="50"/>
      <c r="B869" s="102"/>
      <c r="C869" s="17"/>
      <c r="D869" s="102"/>
      <c r="E869" s="48"/>
      <c r="F869" s="49"/>
      <c r="G869" s="49"/>
      <c r="H869" s="49"/>
      <c r="I869" s="49"/>
      <c r="J869" s="49"/>
      <c r="K869" s="24"/>
      <c r="L869" s="103"/>
    </row>
    <row r="870" spans="1:12" ht="22.5" customHeight="1">
      <c r="A870" s="50"/>
      <c r="B870" s="102"/>
      <c r="C870" s="17"/>
      <c r="D870" s="102"/>
      <c r="E870" s="48"/>
      <c r="F870" s="49"/>
      <c r="G870" s="49"/>
      <c r="H870" s="49"/>
      <c r="I870" s="49"/>
      <c r="J870" s="49"/>
      <c r="K870" s="24"/>
      <c r="L870" s="103"/>
    </row>
    <row r="871" spans="1:12" ht="22.5" customHeight="1">
      <c r="A871" s="50"/>
      <c r="B871" s="102"/>
      <c r="C871" s="17"/>
      <c r="D871" s="102"/>
      <c r="E871" s="48"/>
      <c r="F871" s="49"/>
      <c r="G871" s="49"/>
      <c r="H871" s="49"/>
      <c r="I871" s="49"/>
      <c r="J871" s="49"/>
      <c r="K871" s="24"/>
      <c r="L871" s="103"/>
    </row>
    <row r="872" spans="1:12" ht="22.5" customHeight="1">
      <c r="A872" s="50"/>
      <c r="B872" s="102"/>
      <c r="C872" s="17"/>
      <c r="D872" s="102"/>
      <c r="E872" s="48"/>
      <c r="F872" s="49"/>
      <c r="G872" s="49"/>
      <c r="H872" s="49"/>
      <c r="I872" s="49"/>
      <c r="J872" s="49"/>
      <c r="K872" s="24"/>
      <c r="L872" s="103"/>
    </row>
    <row r="873" spans="1:12" ht="22.5" customHeight="1">
      <c r="A873" s="50"/>
      <c r="B873" s="102"/>
      <c r="C873" s="17"/>
      <c r="D873" s="102"/>
      <c r="E873" s="48"/>
      <c r="F873" s="49"/>
      <c r="G873" s="49"/>
      <c r="H873" s="49"/>
      <c r="I873" s="49"/>
      <c r="J873" s="49"/>
      <c r="K873" s="24"/>
      <c r="L873" s="103"/>
    </row>
    <row r="874" spans="1:12" ht="22.5" customHeight="1">
      <c r="A874" s="50"/>
      <c r="B874" s="102"/>
      <c r="C874" s="17"/>
      <c r="D874" s="102"/>
      <c r="E874" s="48"/>
      <c r="F874" s="49"/>
      <c r="G874" s="49"/>
      <c r="H874" s="49"/>
      <c r="I874" s="49"/>
      <c r="J874" s="49"/>
      <c r="K874" s="24"/>
      <c r="L874" s="103"/>
    </row>
    <row r="875" spans="1:12" ht="22.5" customHeight="1">
      <c r="A875" s="50"/>
      <c r="B875" s="102"/>
      <c r="C875" s="17"/>
      <c r="D875" s="102"/>
      <c r="E875" s="48"/>
      <c r="F875" s="49"/>
      <c r="G875" s="49"/>
      <c r="H875" s="49"/>
      <c r="I875" s="49"/>
      <c r="J875" s="49"/>
      <c r="K875" s="24"/>
      <c r="L875" s="103"/>
    </row>
    <row r="876" spans="1:12" ht="22.5" customHeight="1">
      <c r="A876" s="50"/>
      <c r="B876" s="102"/>
      <c r="C876" s="17"/>
      <c r="D876" s="102"/>
      <c r="E876" s="48"/>
      <c r="F876" s="49"/>
      <c r="G876" s="49"/>
      <c r="H876" s="49"/>
      <c r="I876" s="49"/>
      <c r="J876" s="49"/>
      <c r="K876" s="24"/>
      <c r="L876" s="103"/>
    </row>
    <row r="877" spans="1:12" ht="22.5" customHeight="1">
      <c r="A877" s="50"/>
      <c r="B877" s="102"/>
      <c r="C877" s="17"/>
      <c r="D877" s="102"/>
      <c r="E877" s="48"/>
      <c r="F877" s="49"/>
      <c r="G877" s="49"/>
      <c r="H877" s="49"/>
      <c r="I877" s="49"/>
      <c r="J877" s="49"/>
      <c r="K877" s="24"/>
      <c r="L877" s="103"/>
    </row>
    <row r="878" spans="1:12" ht="22.5" customHeight="1">
      <c r="A878" s="50"/>
      <c r="B878" s="102"/>
      <c r="C878" s="17"/>
      <c r="D878" s="102"/>
      <c r="E878" s="48"/>
      <c r="F878" s="49"/>
      <c r="G878" s="49"/>
      <c r="H878" s="49"/>
      <c r="I878" s="49"/>
      <c r="J878" s="49"/>
      <c r="K878" s="24"/>
      <c r="L878" s="103"/>
    </row>
    <row r="879" spans="1:12" ht="22.5" customHeight="1">
      <c r="A879" s="50"/>
      <c r="B879" s="102"/>
      <c r="C879" s="17"/>
      <c r="D879" s="102"/>
      <c r="E879" s="48"/>
      <c r="F879" s="49"/>
      <c r="G879" s="49"/>
      <c r="H879" s="49"/>
      <c r="I879" s="49"/>
      <c r="J879" s="49"/>
      <c r="K879" s="24"/>
      <c r="L879" s="103"/>
    </row>
    <row r="880" spans="1:12" ht="22.5" customHeight="1">
      <c r="A880" s="50"/>
      <c r="B880" s="102"/>
      <c r="C880" s="17"/>
      <c r="D880" s="102"/>
      <c r="E880" s="48"/>
      <c r="F880" s="49"/>
      <c r="G880" s="49"/>
      <c r="H880" s="49"/>
      <c r="I880" s="49"/>
      <c r="J880" s="49"/>
      <c r="K880" s="24"/>
      <c r="L880" s="103"/>
    </row>
    <row r="881" spans="1:12" ht="22.5" customHeight="1">
      <c r="A881" s="50"/>
      <c r="B881" s="102"/>
      <c r="C881" s="17"/>
      <c r="D881" s="102"/>
      <c r="E881" s="48"/>
      <c r="F881" s="49"/>
      <c r="G881" s="49"/>
      <c r="H881" s="49"/>
      <c r="I881" s="49"/>
      <c r="J881" s="49"/>
      <c r="K881" s="24"/>
      <c r="L881" s="103"/>
    </row>
    <row r="882" spans="1:12" ht="22.5" customHeight="1">
      <c r="A882" s="50"/>
      <c r="B882" s="102"/>
      <c r="C882" s="17"/>
      <c r="D882" s="102"/>
      <c r="E882" s="48"/>
      <c r="F882" s="49"/>
      <c r="G882" s="49"/>
      <c r="H882" s="49"/>
      <c r="I882" s="49"/>
      <c r="J882" s="49"/>
      <c r="K882" s="24"/>
      <c r="L882" s="103"/>
    </row>
    <row r="883" spans="1:12" ht="22.5" customHeight="1">
      <c r="A883" s="50"/>
      <c r="B883" s="102"/>
      <c r="C883" s="17"/>
      <c r="D883" s="102"/>
      <c r="E883" s="48"/>
      <c r="F883" s="49"/>
      <c r="G883" s="49"/>
      <c r="H883" s="49"/>
      <c r="I883" s="49"/>
      <c r="J883" s="49"/>
      <c r="K883" s="24"/>
      <c r="L883" s="103"/>
    </row>
    <row r="884" spans="1:12" ht="22.5" customHeight="1">
      <c r="A884" s="50"/>
      <c r="B884" s="102"/>
      <c r="C884" s="17"/>
      <c r="D884" s="102"/>
      <c r="E884" s="48"/>
      <c r="F884" s="49"/>
      <c r="G884" s="49"/>
      <c r="H884" s="49"/>
      <c r="I884" s="49"/>
      <c r="J884" s="49"/>
      <c r="K884" s="24"/>
      <c r="L884" s="103"/>
    </row>
    <row r="885" spans="1:12" ht="22.5" customHeight="1">
      <c r="A885" s="50"/>
      <c r="B885" s="102"/>
      <c r="C885" s="17"/>
      <c r="D885" s="102"/>
      <c r="E885" s="48"/>
      <c r="F885" s="49"/>
      <c r="G885" s="49"/>
      <c r="H885" s="49"/>
      <c r="I885" s="49"/>
      <c r="J885" s="49"/>
      <c r="K885" s="24"/>
      <c r="L885" s="103"/>
    </row>
    <row r="886" spans="1:12" ht="22.5" customHeight="1">
      <c r="A886" s="50"/>
      <c r="B886" s="102"/>
      <c r="C886" s="17"/>
      <c r="D886" s="102"/>
      <c r="E886" s="48"/>
      <c r="F886" s="49"/>
      <c r="G886" s="49"/>
      <c r="H886" s="49"/>
      <c r="I886" s="49"/>
      <c r="J886" s="49"/>
      <c r="K886" s="24"/>
      <c r="L886" s="103"/>
    </row>
    <row r="887" spans="1:12" ht="22.5" customHeight="1">
      <c r="A887" s="50"/>
      <c r="B887" s="102"/>
      <c r="C887" s="17"/>
      <c r="D887" s="102"/>
      <c r="E887" s="48"/>
      <c r="F887" s="49"/>
      <c r="G887" s="49"/>
      <c r="H887" s="49"/>
      <c r="I887" s="49"/>
      <c r="J887" s="49"/>
      <c r="K887" s="24"/>
      <c r="L887" s="103"/>
    </row>
    <row r="888" spans="1:12" ht="22.5" customHeight="1">
      <c r="A888" s="50"/>
      <c r="B888" s="102"/>
      <c r="C888" s="17"/>
      <c r="D888" s="102"/>
      <c r="E888" s="48"/>
      <c r="F888" s="49"/>
      <c r="G888" s="49"/>
      <c r="H888" s="49"/>
      <c r="I888" s="49"/>
      <c r="J888" s="49"/>
      <c r="K888" s="24"/>
      <c r="L888" s="103"/>
    </row>
    <row r="889" spans="1:12" ht="22.5" customHeight="1">
      <c r="A889" s="50"/>
      <c r="B889" s="102"/>
      <c r="C889" s="17"/>
      <c r="D889" s="102"/>
      <c r="E889" s="48"/>
      <c r="F889" s="49"/>
      <c r="G889" s="49"/>
      <c r="H889" s="49"/>
      <c r="I889" s="49"/>
      <c r="J889" s="49"/>
      <c r="K889" s="24"/>
      <c r="L889" s="103"/>
    </row>
    <row r="890" spans="1:12" ht="22.5" customHeight="1">
      <c r="A890" s="50"/>
      <c r="B890" s="102"/>
      <c r="C890" s="17"/>
      <c r="D890" s="102"/>
      <c r="E890" s="48"/>
      <c r="F890" s="49"/>
      <c r="G890" s="49"/>
      <c r="H890" s="49"/>
      <c r="I890" s="49"/>
      <c r="J890" s="49"/>
      <c r="K890" s="24"/>
      <c r="L890" s="103"/>
    </row>
    <row r="891" spans="1:12" ht="22.5" customHeight="1">
      <c r="A891" s="50"/>
      <c r="B891" s="102"/>
      <c r="C891" s="17"/>
      <c r="D891" s="102"/>
      <c r="E891" s="48"/>
      <c r="F891" s="49"/>
      <c r="G891" s="49"/>
      <c r="H891" s="49"/>
      <c r="I891" s="49"/>
      <c r="J891" s="49"/>
      <c r="K891" s="24"/>
      <c r="L891" s="103"/>
    </row>
    <row r="892" spans="1:12" ht="22.5" customHeight="1">
      <c r="A892" s="50"/>
      <c r="B892" s="102"/>
      <c r="C892" s="17"/>
      <c r="D892" s="102"/>
      <c r="E892" s="48"/>
      <c r="F892" s="49"/>
      <c r="G892" s="49"/>
      <c r="H892" s="49"/>
      <c r="I892" s="49"/>
      <c r="J892" s="49"/>
      <c r="K892" s="24"/>
      <c r="L892" s="103"/>
    </row>
    <row r="893" spans="1:12" ht="22.5" customHeight="1">
      <c r="A893" s="50"/>
      <c r="B893" s="102"/>
      <c r="C893" s="17"/>
      <c r="D893" s="102"/>
      <c r="E893" s="48"/>
      <c r="F893" s="49"/>
      <c r="G893" s="49"/>
      <c r="H893" s="49"/>
      <c r="I893" s="49"/>
      <c r="J893" s="49"/>
      <c r="K893" s="24"/>
      <c r="L893" s="103"/>
    </row>
    <row r="894" spans="1:12" ht="22.5" customHeight="1">
      <c r="A894" s="50"/>
      <c r="B894" s="102"/>
      <c r="C894" s="17"/>
      <c r="D894" s="102"/>
      <c r="E894" s="48"/>
      <c r="F894" s="49"/>
      <c r="G894" s="49"/>
      <c r="H894" s="49"/>
      <c r="I894" s="49"/>
      <c r="J894" s="49"/>
      <c r="K894" s="24"/>
      <c r="L894" s="103"/>
    </row>
    <row r="895" spans="1:12" ht="22.5" customHeight="1">
      <c r="A895" s="50"/>
      <c r="B895" s="102"/>
      <c r="C895" s="17"/>
      <c r="D895" s="102"/>
      <c r="E895" s="48"/>
      <c r="F895" s="49"/>
      <c r="G895" s="49"/>
      <c r="H895" s="49"/>
      <c r="I895" s="49"/>
      <c r="J895" s="49"/>
      <c r="K895" s="24"/>
      <c r="L895" s="103"/>
    </row>
    <row r="896" spans="1:12" ht="22.5" customHeight="1">
      <c r="A896" s="50"/>
      <c r="B896" s="102"/>
      <c r="C896" s="17"/>
      <c r="D896" s="102"/>
      <c r="E896" s="48"/>
      <c r="F896" s="49"/>
      <c r="G896" s="49"/>
      <c r="H896" s="49"/>
      <c r="I896" s="49"/>
      <c r="J896" s="49"/>
      <c r="K896" s="24"/>
      <c r="L896" s="103"/>
    </row>
    <row r="897" spans="1:12" ht="22.5" customHeight="1">
      <c r="A897" s="50"/>
      <c r="B897" s="102"/>
      <c r="C897" s="17"/>
      <c r="D897" s="102"/>
      <c r="E897" s="48"/>
      <c r="F897" s="49"/>
      <c r="G897" s="49"/>
      <c r="H897" s="49"/>
      <c r="I897" s="49"/>
      <c r="J897" s="49"/>
      <c r="K897" s="24"/>
      <c r="L897" s="103"/>
    </row>
    <row r="898" spans="1:12" ht="22.5" customHeight="1">
      <c r="A898" s="50"/>
      <c r="B898" s="102"/>
      <c r="C898" s="17"/>
      <c r="D898" s="102"/>
      <c r="E898" s="48"/>
      <c r="F898" s="49"/>
      <c r="G898" s="49"/>
      <c r="H898" s="49"/>
      <c r="I898" s="49"/>
      <c r="J898" s="49"/>
      <c r="K898" s="24"/>
      <c r="L898" s="103"/>
    </row>
    <row r="899" spans="1:12" ht="22.5" customHeight="1">
      <c r="A899" s="50"/>
      <c r="B899" s="102"/>
      <c r="C899" s="17"/>
      <c r="D899" s="102"/>
      <c r="E899" s="48"/>
      <c r="F899" s="49"/>
      <c r="G899" s="49"/>
      <c r="H899" s="49"/>
      <c r="I899" s="49"/>
      <c r="J899" s="49"/>
      <c r="K899" s="24"/>
      <c r="L899" s="103"/>
    </row>
    <row r="900" spans="1:12" ht="22.5" customHeight="1">
      <c r="A900" s="50"/>
      <c r="B900" s="102"/>
      <c r="C900" s="17"/>
      <c r="D900" s="102"/>
      <c r="E900" s="48"/>
      <c r="F900" s="49"/>
      <c r="G900" s="49"/>
      <c r="H900" s="49"/>
      <c r="I900" s="49"/>
      <c r="J900" s="49"/>
      <c r="K900" s="24"/>
      <c r="L900" s="103"/>
    </row>
    <row r="901" spans="1:12" ht="22.5" customHeight="1">
      <c r="A901" s="50"/>
      <c r="B901" s="102"/>
      <c r="C901" s="17"/>
      <c r="D901" s="102"/>
      <c r="E901" s="48"/>
      <c r="F901" s="49"/>
      <c r="G901" s="49"/>
      <c r="H901" s="49"/>
      <c r="I901" s="49"/>
      <c r="J901" s="49"/>
      <c r="K901" s="24"/>
      <c r="L901" s="103"/>
    </row>
    <row r="902" spans="1:12" ht="22.5" customHeight="1">
      <c r="A902" s="50"/>
      <c r="B902" s="102"/>
      <c r="C902" s="17"/>
      <c r="D902" s="102"/>
      <c r="E902" s="48"/>
      <c r="F902" s="49"/>
      <c r="G902" s="49"/>
      <c r="H902" s="49"/>
      <c r="I902" s="49"/>
      <c r="J902" s="49"/>
      <c r="K902" s="24"/>
      <c r="L902" s="103"/>
    </row>
    <row r="903" spans="1:12" ht="22.5" customHeight="1">
      <c r="A903" s="50"/>
      <c r="B903" s="102"/>
      <c r="C903" s="17"/>
      <c r="D903" s="102"/>
      <c r="E903" s="48"/>
      <c r="F903" s="49"/>
      <c r="G903" s="49"/>
      <c r="H903" s="49"/>
      <c r="I903" s="49"/>
      <c r="J903" s="49"/>
      <c r="K903" s="24"/>
      <c r="L903" s="103"/>
    </row>
    <row r="904" spans="1:12" ht="22.5" customHeight="1">
      <c r="A904" s="50"/>
      <c r="B904" s="102"/>
      <c r="C904" s="17"/>
      <c r="D904" s="102"/>
      <c r="E904" s="48"/>
      <c r="F904" s="49"/>
      <c r="G904" s="49"/>
      <c r="H904" s="49"/>
      <c r="I904" s="49"/>
      <c r="J904" s="49"/>
      <c r="K904" s="24"/>
      <c r="L904" s="103"/>
    </row>
    <row r="905" spans="1:12" ht="22.5" customHeight="1">
      <c r="A905" s="50"/>
      <c r="B905" s="102"/>
      <c r="C905" s="17"/>
      <c r="D905" s="102"/>
      <c r="E905" s="48"/>
      <c r="F905" s="49"/>
      <c r="G905" s="49"/>
      <c r="H905" s="49"/>
      <c r="I905" s="49"/>
      <c r="J905" s="49"/>
      <c r="K905" s="24"/>
      <c r="L905" s="103"/>
    </row>
    <row r="906" spans="1:12" ht="22.5" customHeight="1">
      <c r="A906" s="50"/>
      <c r="B906" s="102"/>
      <c r="C906" s="17"/>
      <c r="D906" s="102"/>
      <c r="E906" s="48"/>
      <c r="F906" s="49"/>
      <c r="G906" s="49"/>
      <c r="H906" s="49"/>
      <c r="I906" s="49"/>
      <c r="J906" s="49"/>
      <c r="K906" s="24"/>
      <c r="L906" s="103"/>
    </row>
    <row r="907" spans="1:12" ht="22.5" customHeight="1">
      <c r="A907" s="50"/>
      <c r="B907" s="102"/>
      <c r="C907" s="17"/>
      <c r="D907" s="102"/>
      <c r="E907" s="48"/>
      <c r="F907" s="49"/>
      <c r="G907" s="49"/>
      <c r="H907" s="49"/>
      <c r="I907" s="49"/>
      <c r="J907" s="49"/>
      <c r="K907" s="24"/>
      <c r="L907" s="103"/>
    </row>
    <row r="908" spans="1:12" ht="22.5" customHeight="1">
      <c r="A908" s="50"/>
      <c r="B908" s="102"/>
      <c r="C908" s="17"/>
      <c r="D908" s="102"/>
      <c r="E908" s="48"/>
      <c r="F908" s="49"/>
      <c r="G908" s="49"/>
      <c r="H908" s="49"/>
      <c r="I908" s="49"/>
      <c r="J908" s="49"/>
      <c r="K908" s="24"/>
      <c r="L908" s="103"/>
    </row>
    <row r="909" spans="1:12" ht="22.5" customHeight="1">
      <c r="A909" s="50"/>
      <c r="B909" s="102"/>
      <c r="C909" s="17"/>
      <c r="D909" s="102"/>
      <c r="E909" s="48"/>
      <c r="F909" s="49"/>
      <c r="G909" s="49"/>
      <c r="H909" s="49"/>
      <c r="I909" s="49"/>
      <c r="J909" s="49"/>
      <c r="K909" s="24"/>
      <c r="L909" s="103"/>
    </row>
    <row r="910" spans="1:12" ht="22.5" customHeight="1">
      <c r="A910" s="50"/>
      <c r="B910" s="102"/>
      <c r="C910" s="17"/>
      <c r="D910" s="102"/>
      <c r="E910" s="48"/>
      <c r="F910" s="49"/>
      <c r="G910" s="49"/>
      <c r="H910" s="49"/>
      <c r="I910" s="49"/>
      <c r="J910" s="49"/>
      <c r="K910" s="24"/>
      <c r="L910" s="103"/>
    </row>
    <row r="911" spans="1:12" ht="22.5" customHeight="1">
      <c r="A911" s="50"/>
      <c r="B911" s="102"/>
      <c r="C911" s="17"/>
      <c r="D911" s="102"/>
      <c r="E911" s="48"/>
      <c r="F911" s="49"/>
      <c r="G911" s="49"/>
      <c r="H911" s="49"/>
      <c r="I911" s="49"/>
      <c r="J911" s="49"/>
      <c r="K911" s="24"/>
      <c r="L911" s="103"/>
    </row>
    <row r="912" spans="1:12" ht="22.5" customHeight="1">
      <c r="A912" s="50"/>
      <c r="B912" s="102"/>
      <c r="C912" s="17"/>
      <c r="D912" s="102"/>
      <c r="E912" s="48"/>
      <c r="F912" s="49"/>
      <c r="G912" s="49"/>
      <c r="H912" s="49"/>
      <c r="I912" s="49"/>
      <c r="J912" s="49"/>
      <c r="K912" s="24"/>
      <c r="L912" s="103"/>
    </row>
    <row r="913" spans="1:12" ht="22.5" customHeight="1">
      <c r="A913" s="50"/>
      <c r="B913" s="102"/>
      <c r="C913" s="17"/>
      <c r="D913" s="102"/>
      <c r="E913" s="48"/>
      <c r="F913" s="49"/>
      <c r="G913" s="49"/>
      <c r="H913" s="49"/>
      <c r="I913" s="49"/>
      <c r="J913" s="49"/>
      <c r="K913" s="24"/>
      <c r="L913" s="103"/>
    </row>
    <row r="914" spans="1:12" ht="22.5" customHeight="1">
      <c r="A914" s="50"/>
      <c r="B914" s="102"/>
      <c r="C914" s="17"/>
      <c r="D914" s="102"/>
      <c r="E914" s="48"/>
      <c r="F914" s="49"/>
      <c r="G914" s="49"/>
      <c r="H914" s="49"/>
      <c r="I914" s="49"/>
      <c r="J914" s="49"/>
      <c r="K914" s="24"/>
      <c r="L914" s="103"/>
    </row>
    <row r="915" spans="1:12" ht="22.5" customHeight="1">
      <c r="A915" s="50"/>
      <c r="B915" s="102"/>
      <c r="C915" s="17"/>
      <c r="D915" s="102"/>
      <c r="E915" s="48"/>
      <c r="F915" s="49"/>
      <c r="G915" s="49"/>
      <c r="H915" s="49"/>
      <c r="I915" s="49"/>
      <c r="J915" s="49"/>
      <c r="K915" s="24"/>
      <c r="L915" s="103"/>
    </row>
    <row r="916" spans="1:12" ht="22.5" customHeight="1">
      <c r="A916" s="50"/>
      <c r="B916" s="102"/>
      <c r="C916" s="17"/>
      <c r="D916" s="102"/>
      <c r="E916" s="48"/>
      <c r="F916" s="49"/>
      <c r="G916" s="49"/>
      <c r="H916" s="49"/>
      <c r="I916" s="49"/>
      <c r="J916" s="49"/>
      <c r="K916" s="24"/>
      <c r="L916" s="103"/>
    </row>
    <row r="917" spans="1:12" ht="22.5" customHeight="1">
      <c r="A917" s="50"/>
      <c r="B917" s="102"/>
      <c r="C917" s="17"/>
      <c r="D917" s="102"/>
      <c r="E917" s="48"/>
      <c r="F917" s="49"/>
      <c r="G917" s="49"/>
      <c r="H917" s="49"/>
      <c r="I917" s="49"/>
      <c r="J917" s="49"/>
      <c r="K917" s="24"/>
      <c r="L917" s="103"/>
    </row>
    <row r="918" spans="1:12" ht="22.5" customHeight="1">
      <c r="A918" s="50"/>
      <c r="B918" s="102"/>
      <c r="C918" s="17"/>
      <c r="D918" s="102"/>
      <c r="E918" s="48"/>
      <c r="F918" s="49"/>
      <c r="G918" s="49"/>
      <c r="H918" s="49"/>
      <c r="I918" s="49"/>
      <c r="J918" s="49"/>
      <c r="K918" s="24"/>
      <c r="L918" s="103"/>
    </row>
    <row r="919" spans="1:12" ht="22.5" customHeight="1">
      <c r="A919" s="50"/>
      <c r="B919" s="102"/>
      <c r="C919" s="17"/>
      <c r="D919" s="102"/>
      <c r="E919" s="48"/>
      <c r="F919" s="49"/>
      <c r="G919" s="49"/>
      <c r="H919" s="49"/>
      <c r="I919" s="49"/>
      <c r="J919" s="49"/>
      <c r="K919" s="24"/>
      <c r="L919" s="103"/>
    </row>
    <row r="920" spans="1:12" ht="22.5" customHeight="1">
      <c r="A920" s="50"/>
      <c r="B920" s="102"/>
      <c r="C920" s="17"/>
      <c r="D920" s="102"/>
      <c r="E920" s="48"/>
      <c r="F920" s="49"/>
      <c r="G920" s="49"/>
      <c r="H920" s="49"/>
      <c r="I920" s="49"/>
      <c r="J920" s="49"/>
      <c r="K920" s="24"/>
      <c r="L920" s="103"/>
    </row>
    <row r="921" spans="1:12" ht="22.5" customHeight="1">
      <c r="A921" s="50"/>
      <c r="B921" s="102"/>
      <c r="C921" s="17"/>
      <c r="D921" s="102"/>
      <c r="E921" s="48"/>
      <c r="F921" s="49"/>
      <c r="G921" s="49"/>
      <c r="H921" s="49"/>
      <c r="I921" s="49"/>
      <c r="J921" s="49"/>
      <c r="K921" s="24"/>
      <c r="L921" s="103"/>
    </row>
    <row r="922" spans="1:12" ht="22.5" customHeight="1">
      <c r="A922" s="50"/>
      <c r="B922" s="102"/>
      <c r="C922" s="17"/>
      <c r="D922" s="102"/>
      <c r="E922" s="48"/>
      <c r="F922" s="49"/>
      <c r="G922" s="49"/>
      <c r="H922" s="49"/>
      <c r="I922" s="49"/>
      <c r="J922" s="49"/>
      <c r="K922" s="24"/>
      <c r="L922" s="103"/>
    </row>
    <row r="923" spans="1:12" ht="22.5" customHeight="1">
      <c r="A923" s="50"/>
      <c r="B923" s="102"/>
      <c r="C923" s="17"/>
      <c r="D923" s="102"/>
      <c r="E923" s="48"/>
      <c r="F923" s="49"/>
      <c r="G923" s="49"/>
      <c r="H923" s="49"/>
      <c r="I923" s="49"/>
      <c r="J923" s="49"/>
      <c r="K923" s="24"/>
      <c r="L923" s="103"/>
    </row>
    <row r="924" spans="1:12" ht="22.5" customHeight="1">
      <c r="A924" s="50"/>
      <c r="B924" s="102"/>
      <c r="C924" s="17"/>
      <c r="D924" s="102"/>
      <c r="E924" s="48"/>
      <c r="F924" s="49"/>
      <c r="G924" s="49"/>
      <c r="H924" s="49"/>
      <c r="I924" s="49"/>
      <c r="J924" s="49"/>
      <c r="K924" s="24"/>
      <c r="L924" s="103"/>
    </row>
    <row r="925" spans="1:12" ht="22.5" customHeight="1">
      <c r="A925" s="50"/>
      <c r="B925" s="102"/>
      <c r="C925" s="17"/>
      <c r="D925" s="102"/>
      <c r="E925" s="48"/>
      <c r="F925" s="49"/>
      <c r="G925" s="49"/>
      <c r="H925" s="49"/>
      <c r="I925" s="49"/>
      <c r="J925" s="49"/>
      <c r="K925" s="24"/>
      <c r="L925" s="103"/>
    </row>
    <row r="926" spans="1:12" ht="22.5" customHeight="1">
      <c r="A926" s="50"/>
      <c r="B926" s="102"/>
      <c r="C926" s="17"/>
      <c r="D926" s="102"/>
      <c r="E926" s="48"/>
      <c r="F926" s="49"/>
      <c r="G926" s="49"/>
      <c r="H926" s="49"/>
      <c r="I926" s="49"/>
      <c r="J926" s="49"/>
      <c r="K926" s="24"/>
      <c r="L926" s="103"/>
    </row>
    <row r="927" spans="1:12" ht="22.5" customHeight="1">
      <c r="A927" s="50"/>
      <c r="B927" s="102"/>
      <c r="C927" s="17"/>
      <c r="D927" s="102"/>
      <c r="E927" s="48"/>
      <c r="F927" s="49"/>
      <c r="G927" s="49"/>
      <c r="H927" s="49"/>
      <c r="I927" s="49"/>
      <c r="J927" s="49"/>
      <c r="K927" s="24"/>
      <c r="L927" s="103"/>
    </row>
    <row r="928" spans="1:12" ht="22.5" customHeight="1">
      <c r="A928" s="50"/>
      <c r="B928" s="102"/>
      <c r="C928" s="17"/>
      <c r="D928" s="102"/>
      <c r="E928" s="48"/>
      <c r="F928" s="49"/>
      <c r="G928" s="49"/>
      <c r="H928" s="49"/>
      <c r="I928" s="49"/>
      <c r="J928" s="49"/>
      <c r="K928" s="24"/>
      <c r="L928" s="103"/>
    </row>
    <row r="929" spans="1:12" ht="22.5" customHeight="1">
      <c r="A929" s="50"/>
      <c r="B929" s="102"/>
      <c r="C929" s="17"/>
      <c r="D929" s="102"/>
      <c r="E929" s="48"/>
      <c r="F929" s="49"/>
      <c r="G929" s="49"/>
      <c r="H929" s="49"/>
      <c r="I929" s="49"/>
      <c r="J929" s="49"/>
      <c r="K929" s="24"/>
      <c r="L929" s="103"/>
    </row>
    <row r="930" spans="1:12" ht="22.5" customHeight="1">
      <c r="A930" s="50"/>
      <c r="B930" s="102"/>
      <c r="C930" s="17"/>
      <c r="D930" s="102"/>
      <c r="E930" s="48"/>
      <c r="F930" s="49"/>
      <c r="G930" s="49"/>
      <c r="H930" s="49"/>
      <c r="I930" s="49"/>
      <c r="J930" s="49"/>
      <c r="K930" s="24"/>
      <c r="L930" s="103"/>
    </row>
    <row r="931" spans="1:12" ht="22.5" customHeight="1">
      <c r="A931" s="50"/>
      <c r="B931" s="102"/>
      <c r="C931" s="17"/>
      <c r="D931" s="102"/>
      <c r="E931" s="48"/>
      <c r="F931" s="49"/>
      <c r="G931" s="49"/>
      <c r="H931" s="49"/>
      <c r="I931" s="49"/>
      <c r="J931" s="49"/>
      <c r="K931" s="24"/>
      <c r="L931" s="103"/>
    </row>
    <row r="932" spans="1:12" ht="22.5" customHeight="1">
      <c r="A932" s="50"/>
      <c r="B932" s="102"/>
      <c r="C932" s="17"/>
      <c r="D932" s="102"/>
      <c r="E932" s="48"/>
      <c r="F932" s="49"/>
      <c r="G932" s="49"/>
      <c r="H932" s="49"/>
      <c r="I932" s="49"/>
      <c r="J932" s="49"/>
      <c r="K932" s="24"/>
      <c r="L932" s="103"/>
    </row>
    <row r="933" spans="1:12" ht="22.5" customHeight="1">
      <c r="A933" s="50"/>
      <c r="B933" s="102"/>
      <c r="C933" s="17"/>
      <c r="D933" s="102"/>
      <c r="E933" s="48"/>
      <c r="F933" s="49"/>
      <c r="G933" s="49"/>
      <c r="H933" s="49"/>
      <c r="I933" s="49"/>
      <c r="J933" s="49"/>
      <c r="K933" s="24"/>
      <c r="L933" s="103"/>
    </row>
    <row r="934" spans="1:12" ht="22.5" customHeight="1">
      <c r="A934" s="50"/>
      <c r="B934" s="102"/>
      <c r="C934" s="17"/>
      <c r="D934" s="102"/>
      <c r="E934" s="48"/>
      <c r="F934" s="49"/>
      <c r="G934" s="49"/>
      <c r="H934" s="49"/>
      <c r="I934" s="49"/>
      <c r="J934" s="49"/>
      <c r="K934" s="24"/>
      <c r="L934" s="103"/>
    </row>
    <row r="935" spans="1:12" ht="22.5" customHeight="1">
      <c r="A935" s="50"/>
      <c r="B935" s="102"/>
      <c r="C935" s="17"/>
      <c r="D935" s="102"/>
      <c r="E935" s="48"/>
      <c r="F935" s="49"/>
      <c r="G935" s="49"/>
      <c r="H935" s="49"/>
      <c r="I935" s="49"/>
      <c r="J935" s="49"/>
      <c r="K935" s="24"/>
      <c r="L935" s="103"/>
    </row>
    <row r="936" spans="1:12" ht="22.5" customHeight="1">
      <c r="A936" s="50"/>
      <c r="B936" s="102"/>
      <c r="C936" s="17"/>
      <c r="D936" s="102"/>
      <c r="E936" s="48"/>
      <c r="F936" s="49"/>
      <c r="G936" s="49"/>
      <c r="H936" s="49"/>
      <c r="I936" s="49"/>
      <c r="J936" s="49"/>
      <c r="K936" s="24"/>
      <c r="L936" s="103"/>
    </row>
    <row r="937" spans="1:12" ht="22.5" customHeight="1">
      <c r="A937" s="50"/>
      <c r="B937" s="102"/>
      <c r="C937" s="17"/>
      <c r="D937" s="102"/>
      <c r="E937" s="48"/>
      <c r="F937" s="49"/>
      <c r="G937" s="49"/>
      <c r="H937" s="49"/>
      <c r="I937" s="49"/>
      <c r="J937" s="49"/>
      <c r="K937" s="24"/>
      <c r="L937" s="103"/>
    </row>
    <row r="938" spans="1:12" ht="22.5" customHeight="1">
      <c r="A938" s="50"/>
      <c r="B938" s="102"/>
      <c r="C938" s="17"/>
      <c r="D938" s="102"/>
      <c r="E938" s="48"/>
      <c r="F938" s="49"/>
      <c r="G938" s="49"/>
      <c r="H938" s="49"/>
      <c r="I938" s="49"/>
      <c r="J938" s="49"/>
      <c r="K938" s="24"/>
      <c r="L938" s="103"/>
    </row>
    <row r="939" spans="1:12" ht="22.5" customHeight="1">
      <c r="A939" s="50"/>
      <c r="B939" s="102"/>
      <c r="C939" s="17"/>
      <c r="D939" s="102"/>
      <c r="E939" s="48"/>
      <c r="F939" s="49"/>
      <c r="G939" s="49"/>
      <c r="H939" s="49"/>
      <c r="I939" s="49"/>
      <c r="J939" s="49"/>
      <c r="K939" s="24"/>
      <c r="L939" s="103"/>
    </row>
    <row r="940" spans="1:12" ht="22.5" customHeight="1">
      <c r="A940" s="50"/>
      <c r="B940" s="102"/>
      <c r="C940" s="17"/>
      <c r="D940" s="102"/>
      <c r="E940" s="48"/>
      <c r="F940" s="49"/>
      <c r="G940" s="49"/>
      <c r="H940" s="49"/>
      <c r="I940" s="49"/>
      <c r="J940" s="49"/>
      <c r="K940" s="24"/>
      <c r="L940" s="103"/>
    </row>
    <row r="941" spans="1:12" ht="22.5" customHeight="1">
      <c r="A941" s="50"/>
      <c r="B941" s="102"/>
      <c r="C941" s="17"/>
      <c r="D941" s="102"/>
      <c r="E941" s="48"/>
      <c r="F941" s="49"/>
      <c r="G941" s="49"/>
      <c r="H941" s="49"/>
      <c r="I941" s="49"/>
      <c r="J941" s="49"/>
      <c r="K941" s="24"/>
      <c r="L941" s="103"/>
    </row>
    <row r="942" spans="1:12" ht="22.5" customHeight="1">
      <c r="A942" s="50"/>
      <c r="B942" s="102"/>
      <c r="C942" s="17"/>
      <c r="D942" s="102"/>
      <c r="E942" s="48"/>
      <c r="F942" s="49"/>
      <c r="G942" s="49"/>
      <c r="H942" s="49"/>
      <c r="I942" s="49"/>
      <c r="J942" s="49"/>
      <c r="K942" s="24"/>
      <c r="L942" s="103"/>
    </row>
    <row r="943" spans="1:12" ht="22.5" customHeight="1">
      <c r="A943" s="50"/>
      <c r="B943" s="102"/>
      <c r="C943" s="17"/>
      <c r="D943" s="102"/>
      <c r="E943" s="48"/>
      <c r="F943" s="49"/>
      <c r="G943" s="49"/>
      <c r="H943" s="49"/>
      <c r="I943" s="49"/>
      <c r="J943" s="49"/>
      <c r="K943" s="24"/>
      <c r="L943" s="103"/>
    </row>
    <row r="944" spans="1:12" ht="22.5" customHeight="1">
      <c r="A944" s="50"/>
      <c r="B944" s="102"/>
      <c r="C944" s="17"/>
      <c r="D944" s="102"/>
      <c r="E944" s="48"/>
      <c r="F944" s="49"/>
      <c r="G944" s="49"/>
      <c r="H944" s="49"/>
      <c r="I944" s="49"/>
      <c r="J944" s="49"/>
      <c r="K944" s="24"/>
      <c r="L944" s="103"/>
    </row>
    <row r="945" spans="1:12" ht="22.5" customHeight="1">
      <c r="A945" s="50"/>
      <c r="B945" s="102"/>
      <c r="C945" s="17"/>
      <c r="D945" s="102"/>
      <c r="E945" s="48"/>
      <c r="F945" s="49"/>
      <c r="G945" s="49"/>
      <c r="H945" s="49"/>
      <c r="I945" s="49"/>
      <c r="J945" s="49"/>
      <c r="K945" s="24"/>
      <c r="L945" s="103"/>
    </row>
    <row r="946" spans="1:12" ht="22.5" customHeight="1">
      <c r="A946" s="50"/>
      <c r="B946" s="102"/>
      <c r="C946" s="17"/>
      <c r="D946" s="102"/>
      <c r="E946" s="48"/>
      <c r="F946" s="49"/>
      <c r="G946" s="49"/>
      <c r="H946" s="49"/>
      <c r="I946" s="49"/>
      <c r="J946" s="49"/>
      <c r="K946" s="24"/>
      <c r="L946" s="103"/>
    </row>
    <row r="947" spans="1:12" ht="22.5" customHeight="1">
      <c r="A947" s="50"/>
      <c r="B947" s="102"/>
      <c r="C947" s="17"/>
      <c r="D947" s="102"/>
      <c r="E947" s="48"/>
      <c r="F947" s="49"/>
      <c r="G947" s="49"/>
      <c r="H947" s="49"/>
      <c r="I947" s="49"/>
      <c r="J947" s="49"/>
      <c r="K947" s="24"/>
      <c r="L947" s="103"/>
    </row>
    <row r="948" spans="1:12" ht="22.5" customHeight="1">
      <c r="A948" s="50"/>
      <c r="B948" s="102"/>
      <c r="C948" s="17"/>
      <c r="D948" s="102"/>
      <c r="E948" s="48"/>
      <c r="F948" s="49"/>
      <c r="G948" s="49"/>
      <c r="H948" s="49"/>
      <c r="I948" s="49"/>
      <c r="J948" s="49"/>
      <c r="K948" s="24"/>
      <c r="L948" s="103"/>
    </row>
    <row r="949" spans="1:12" ht="22.5" customHeight="1">
      <c r="A949" s="50"/>
      <c r="B949" s="102"/>
      <c r="C949" s="17"/>
      <c r="D949" s="102"/>
      <c r="E949" s="48"/>
      <c r="F949" s="49"/>
      <c r="G949" s="49"/>
      <c r="H949" s="49"/>
      <c r="I949" s="49"/>
      <c r="J949" s="49"/>
      <c r="K949" s="24"/>
      <c r="L949" s="103"/>
    </row>
    <row r="950" spans="1:12" ht="22.5" customHeight="1">
      <c r="A950" s="50"/>
      <c r="B950" s="102"/>
      <c r="C950" s="17"/>
      <c r="D950" s="102"/>
      <c r="E950" s="48"/>
      <c r="F950" s="49"/>
      <c r="G950" s="49"/>
      <c r="H950" s="49"/>
      <c r="I950" s="49"/>
      <c r="J950" s="49"/>
      <c r="K950" s="24"/>
      <c r="L950" s="103"/>
    </row>
    <row r="951" spans="1:12" ht="22.5" customHeight="1">
      <c r="A951" s="50"/>
      <c r="B951" s="102"/>
      <c r="C951" s="17"/>
      <c r="D951" s="102"/>
      <c r="E951" s="48"/>
      <c r="F951" s="49"/>
      <c r="G951" s="49"/>
      <c r="H951" s="49"/>
      <c r="I951" s="49"/>
      <c r="J951" s="49"/>
      <c r="K951" s="24"/>
      <c r="L951" s="103"/>
    </row>
    <row r="952" spans="1:12" ht="22.5" customHeight="1">
      <c r="A952" s="50"/>
      <c r="B952" s="102"/>
      <c r="C952" s="17"/>
      <c r="D952" s="102"/>
      <c r="E952" s="48"/>
      <c r="F952" s="49"/>
      <c r="G952" s="49"/>
      <c r="H952" s="49"/>
      <c r="I952" s="49"/>
      <c r="J952" s="49"/>
      <c r="K952" s="24"/>
      <c r="L952" s="103"/>
    </row>
    <row r="953" spans="1:12" ht="22.5" customHeight="1">
      <c r="A953" s="50"/>
      <c r="B953" s="102"/>
      <c r="C953" s="17"/>
      <c r="D953" s="102"/>
      <c r="E953" s="48"/>
      <c r="F953" s="49"/>
      <c r="G953" s="49"/>
      <c r="H953" s="49"/>
      <c r="I953" s="49"/>
      <c r="J953" s="49"/>
      <c r="K953" s="24"/>
      <c r="L953" s="103"/>
    </row>
    <row r="954" spans="1:12" ht="22.5" customHeight="1">
      <c r="A954" s="50"/>
      <c r="B954" s="102"/>
      <c r="C954" s="17"/>
      <c r="D954" s="102"/>
      <c r="E954" s="48"/>
      <c r="F954" s="49"/>
      <c r="G954" s="49"/>
      <c r="H954" s="49"/>
      <c r="I954" s="49"/>
      <c r="J954" s="49"/>
      <c r="K954" s="24"/>
      <c r="L954" s="103"/>
    </row>
    <row r="955" spans="1:12" ht="22.5" customHeight="1">
      <c r="A955" s="50"/>
      <c r="B955" s="102"/>
      <c r="C955" s="17"/>
      <c r="D955" s="102"/>
      <c r="E955" s="48"/>
      <c r="F955" s="49"/>
      <c r="G955" s="49"/>
      <c r="H955" s="49"/>
      <c r="I955" s="49"/>
      <c r="J955" s="49"/>
      <c r="K955" s="24"/>
      <c r="L955" s="103"/>
    </row>
    <row r="956" spans="1:12" ht="22.5" customHeight="1">
      <c r="A956" s="50"/>
      <c r="B956" s="102"/>
      <c r="C956" s="17"/>
      <c r="D956" s="102"/>
      <c r="E956" s="48"/>
      <c r="F956" s="49"/>
      <c r="G956" s="49"/>
      <c r="H956" s="49"/>
      <c r="I956" s="49"/>
      <c r="J956" s="49"/>
      <c r="K956" s="24"/>
      <c r="L956" s="103"/>
    </row>
    <row r="957" spans="1:12" ht="22.5" customHeight="1">
      <c r="A957" s="50"/>
      <c r="B957" s="102"/>
      <c r="C957" s="17"/>
      <c r="D957" s="102"/>
      <c r="E957" s="48"/>
      <c r="F957" s="49"/>
      <c r="G957" s="49"/>
      <c r="H957" s="49"/>
      <c r="I957" s="49"/>
      <c r="J957" s="49"/>
      <c r="K957" s="24"/>
      <c r="L957" s="103"/>
    </row>
    <row r="958" spans="1:12" ht="22.5" customHeight="1">
      <c r="A958" s="50"/>
      <c r="B958" s="102"/>
      <c r="C958" s="17"/>
      <c r="D958" s="102"/>
      <c r="E958" s="48"/>
      <c r="F958" s="49"/>
      <c r="G958" s="49"/>
      <c r="H958" s="49"/>
      <c r="I958" s="49"/>
      <c r="J958" s="49"/>
      <c r="K958" s="24"/>
      <c r="L958" s="103"/>
    </row>
    <row r="959" spans="1:12" ht="22.5" customHeight="1">
      <c r="A959" s="50"/>
      <c r="B959" s="102"/>
      <c r="C959" s="17"/>
      <c r="D959" s="102"/>
      <c r="E959" s="48"/>
      <c r="F959" s="49"/>
      <c r="G959" s="49"/>
      <c r="H959" s="49"/>
      <c r="I959" s="49"/>
      <c r="J959" s="49"/>
      <c r="K959" s="24"/>
      <c r="L959" s="103"/>
    </row>
    <row r="960" spans="1:12" ht="22.5" customHeight="1">
      <c r="A960" s="50"/>
      <c r="B960" s="102"/>
      <c r="C960" s="17"/>
      <c r="D960" s="102"/>
      <c r="E960" s="48"/>
      <c r="F960" s="49"/>
      <c r="G960" s="49"/>
      <c r="H960" s="49"/>
      <c r="I960" s="49"/>
      <c r="J960" s="49"/>
      <c r="K960" s="24"/>
      <c r="L960" s="103"/>
    </row>
    <row r="961" spans="1:12" ht="22.5" customHeight="1">
      <c r="A961" s="50"/>
      <c r="B961" s="102"/>
      <c r="C961" s="17"/>
      <c r="D961" s="102"/>
      <c r="E961" s="48"/>
      <c r="F961" s="49"/>
      <c r="G961" s="49"/>
      <c r="H961" s="49"/>
      <c r="I961" s="49"/>
      <c r="J961" s="49"/>
      <c r="K961" s="24"/>
      <c r="L961" s="103"/>
    </row>
    <row r="962" spans="1:12" ht="22.5" customHeight="1">
      <c r="A962" s="50"/>
      <c r="B962" s="102"/>
      <c r="C962" s="17"/>
      <c r="D962" s="102"/>
      <c r="E962" s="48"/>
      <c r="F962" s="49"/>
      <c r="G962" s="49"/>
      <c r="H962" s="49"/>
      <c r="I962" s="49"/>
      <c r="J962" s="49"/>
      <c r="K962" s="24"/>
      <c r="L962" s="103"/>
    </row>
    <row r="963" spans="1:12" ht="22.5" customHeight="1">
      <c r="A963" s="50"/>
      <c r="B963" s="102"/>
      <c r="C963" s="17"/>
      <c r="D963" s="102"/>
      <c r="E963" s="48"/>
      <c r="F963" s="49"/>
      <c r="G963" s="49"/>
      <c r="H963" s="49"/>
      <c r="I963" s="49"/>
      <c r="J963" s="49"/>
      <c r="K963" s="24"/>
      <c r="L963" s="103"/>
    </row>
    <row r="964" spans="1:12" ht="22.5" customHeight="1">
      <c r="A964" s="50"/>
      <c r="B964" s="102"/>
      <c r="C964" s="17"/>
      <c r="D964" s="102"/>
      <c r="E964" s="48"/>
      <c r="F964" s="49"/>
      <c r="G964" s="49"/>
      <c r="H964" s="49"/>
      <c r="I964" s="49"/>
      <c r="J964" s="49"/>
      <c r="K964" s="24"/>
      <c r="L964" s="103"/>
    </row>
    <row r="965" spans="1:12" ht="22.5" customHeight="1">
      <c r="A965" s="50"/>
      <c r="B965" s="102"/>
      <c r="C965" s="17"/>
      <c r="D965" s="102"/>
      <c r="E965" s="48"/>
      <c r="F965" s="49"/>
      <c r="G965" s="49"/>
      <c r="H965" s="49"/>
      <c r="I965" s="49"/>
      <c r="J965" s="49"/>
      <c r="K965" s="24"/>
      <c r="L965" s="103"/>
    </row>
    <row r="966" spans="1:12" ht="22.5" customHeight="1">
      <c r="A966" s="50"/>
      <c r="B966" s="102"/>
      <c r="C966" s="17"/>
      <c r="D966" s="102"/>
      <c r="E966" s="48"/>
      <c r="F966" s="49"/>
      <c r="G966" s="49"/>
      <c r="H966" s="49"/>
      <c r="I966" s="49"/>
      <c r="J966" s="49"/>
      <c r="K966" s="24"/>
      <c r="L966" s="103"/>
    </row>
    <row r="967" spans="1:12" ht="22.5" customHeight="1">
      <c r="A967" s="50"/>
      <c r="B967" s="102"/>
      <c r="C967" s="17"/>
      <c r="D967" s="102"/>
      <c r="E967" s="48"/>
      <c r="F967" s="49"/>
      <c r="G967" s="49"/>
      <c r="H967" s="49"/>
      <c r="I967" s="49"/>
      <c r="J967" s="49"/>
      <c r="K967" s="24"/>
      <c r="L967" s="103"/>
    </row>
    <row r="968" spans="1:12" ht="22.5" customHeight="1">
      <c r="A968" s="50"/>
      <c r="B968" s="102"/>
      <c r="C968" s="17"/>
      <c r="D968" s="102"/>
      <c r="E968" s="48"/>
      <c r="F968" s="49"/>
      <c r="G968" s="49"/>
      <c r="H968" s="49"/>
      <c r="I968" s="49"/>
      <c r="J968" s="49"/>
      <c r="K968" s="24"/>
      <c r="L968" s="103"/>
    </row>
    <row r="969" spans="1:12" ht="22.5" customHeight="1">
      <c r="A969" s="50"/>
      <c r="B969" s="102"/>
      <c r="C969" s="17"/>
      <c r="D969" s="102"/>
      <c r="E969" s="48"/>
      <c r="F969" s="49"/>
      <c r="G969" s="49"/>
      <c r="H969" s="49"/>
      <c r="I969" s="49"/>
      <c r="J969" s="49"/>
      <c r="K969" s="24"/>
      <c r="L969" s="103"/>
    </row>
    <row r="970" spans="1:12" ht="22.5" customHeight="1">
      <c r="A970" s="50"/>
      <c r="B970" s="102"/>
      <c r="C970" s="17"/>
      <c r="D970" s="102"/>
      <c r="E970" s="48"/>
      <c r="F970" s="49"/>
      <c r="G970" s="49"/>
      <c r="H970" s="49"/>
      <c r="I970" s="49"/>
      <c r="J970" s="49"/>
      <c r="K970" s="24"/>
      <c r="L970" s="103"/>
    </row>
    <row r="971" spans="1:12" ht="22.5" customHeight="1">
      <c r="A971" s="50"/>
      <c r="B971" s="102"/>
      <c r="C971" s="17"/>
      <c r="D971" s="102"/>
      <c r="E971" s="48"/>
      <c r="F971" s="49"/>
      <c r="G971" s="49"/>
      <c r="H971" s="49"/>
      <c r="I971" s="49"/>
      <c r="J971" s="49"/>
      <c r="K971" s="24"/>
      <c r="L971" s="103"/>
    </row>
    <row r="972" spans="1:12" ht="22.5" customHeight="1">
      <c r="A972" s="50"/>
      <c r="B972" s="102"/>
      <c r="C972" s="17"/>
      <c r="D972" s="102"/>
      <c r="E972" s="48"/>
      <c r="F972" s="49"/>
      <c r="G972" s="49"/>
      <c r="H972" s="49"/>
      <c r="I972" s="49"/>
      <c r="J972" s="49"/>
      <c r="K972" s="24"/>
      <c r="L972" s="103"/>
    </row>
    <row r="973" spans="1:12" ht="22.5" customHeight="1">
      <c r="A973" s="50"/>
      <c r="B973" s="102"/>
      <c r="C973" s="17"/>
      <c r="D973" s="102"/>
      <c r="E973" s="48"/>
      <c r="F973" s="49"/>
      <c r="G973" s="49"/>
      <c r="H973" s="49"/>
      <c r="I973" s="49"/>
      <c r="J973" s="49"/>
      <c r="K973" s="24"/>
      <c r="L973" s="103"/>
    </row>
    <row r="974" spans="1:12" ht="22.5" customHeight="1">
      <c r="A974" s="50"/>
      <c r="B974" s="102"/>
      <c r="C974" s="17"/>
      <c r="D974" s="102"/>
      <c r="E974" s="48"/>
      <c r="F974" s="49"/>
      <c r="G974" s="49"/>
      <c r="H974" s="49"/>
      <c r="I974" s="49"/>
      <c r="J974" s="49"/>
      <c r="K974" s="24"/>
      <c r="L974" s="103"/>
    </row>
    <row r="975" spans="1:12" ht="22.5" customHeight="1">
      <c r="A975" s="50"/>
      <c r="B975" s="102"/>
      <c r="C975" s="17"/>
      <c r="D975" s="102"/>
      <c r="E975" s="48"/>
      <c r="F975" s="49"/>
      <c r="G975" s="49"/>
      <c r="H975" s="49"/>
      <c r="I975" s="49"/>
      <c r="J975" s="49"/>
      <c r="K975" s="24"/>
      <c r="L975" s="103"/>
    </row>
    <row r="976" spans="1:12" ht="22.5" customHeight="1">
      <c r="A976" s="50"/>
      <c r="B976" s="102"/>
      <c r="C976" s="17"/>
      <c r="D976" s="102"/>
      <c r="E976" s="48"/>
      <c r="F976" s="49"/>
      <c r="G976" s="49"/>
      <c r="H976" s="49"/>
      <c r="I976" s="49"/>
      <c r="J976" s="49"/>
      <c r="K976" s="24"/>
      <c r="L976" s="103"/>
    </row>
    <row r="977" spans="1:12" ht="22.5" customHeight="1">
      <c r="A977" s="50"/>
      <c r="B977" s="102"/>
      <c r="C977" s="17"/>
      <c r="D977" s="102"/>
      <c r="E977" s="48"/>
      <c r="F977" s="49"/>
      <c r="G977" s="49"/>
      <c r="H977" s="49"/>
      <c r="I977" s="49"/>
      <c r="J977" s="49"/>
      <c r="K977" s="24"/>
      <c r="L977" s="103"/>
    </row>
    <row r="978" spans="1:12" ht="22.5" customHeight="1">
      <c r="A978" s="50"/>
      <c r="B978" s="102"/>
      <c r="C978" s="17"/>
      <c r="D978" s="102"/>
      <c r="E978" s="48"/>
      <c r="F978" s="49"/>
      <c r="G978" s="49"/>
      <c r="H978" s="49"/>
      <c r="I978" s="49"/>
      <c r="J978" s="49"/>
      <c r="K978" s="24"/>
      <c r="L978" s="103"/>
    </row>
    <row r="979" spans="1:12" ht="22.5" customHeight="1">
      <c r="A979" s="50"/>
      <c r="B979" s="102"/>
      <c r="C979" s="17"/>
      <c r="D979" s="102"/>
      <c r="E979" s="48"/>
      <c r="F979" s="49"/>
      <c r="G979" s="49"/>
      <c r="H979" s="49"/>
      <c r="I979" s="49"/>
      <c r="J979" s="49"/>
      <c r="K979" s="24"/>
      <c r="L979" s="103"/>
    </row>
    <row r="980" spans="1:12" ht="22.5" customHeight="1">
      <c r="A980" s="50"/>
      <c r="B980" s="102"/>
      <c r="C980" s="17"/>
      <c r="D980" s="102"/>
      <c r="E980" s="48"/>
      <c r="F980" s="49"/>
      <c r="G980" s="49"/>
      <c r="H980" s="49"/>
      <c r="I980" s="49"/>
      <c r="J980" s="49"/>
      <c r="K980" s="24"/>
      <c r="L980" s="103"/>
    </row>
    <row r="981" spans="1:12" ht="22.5" customHeight="1">
      <c r="A981" s="50"/>
      <c r="B981" s="102"/>
      <c r="C981" s="17"/>
      <c r="D981" s="102"/>
      <c r="E981" s="48"/>
      <c r="F981" s="49"/>
      <c r="G981" s="49"/>
      <c r="H981" s="49"/>
      <c r="I981" s="49"/>
      <c r="J981" s="49"/>
      <c r="K981" s="24"/>
      <c r="L981" s="103"/>
    </row>
    <row r="982" spans="1:12" ht="22.5" customHeight="1">
      <c r="A982" s="50"/>
      <c r="B982" s="102"/>
      <c r="C982" s="17"/>
      <c r="D982" s="102"/>
      <c r="E982" s="48"/>
      <c r="F982" s="49"/>
      <c r="G982" s="49"/>
      <c r="H982" s="49"/>
      <c r="I982" s="49"/>
      <c r="J982" s="49"/>
      <c r="K982" s="24"/>
      <c r="L982" s="103"/>
    </row>
    <row r="983" spans="1:12" ht="22.5" customHeight="1">
      <c r="A983" s="50"/>
      <c r="B983" s="102"/>
      <c r="C983" s="17"/>
      <c r="D983" s="102"/>
      <c r="E983" s="48"/>
      <c r="F983" s="49"/>
      <c r="G983" s="49"/>
      <c r="H983" s="49"/>
      <c r="I983" s="49"/>
      <c r="J983" s="49"/>
      <c r="K983" s="24"/>
      <c r="L983" s="103"/>
    </row>
    <row r="984" spans="1:12" ht="22.5" customHeight="1">
      <c r="A984" s="50"/>
      <c r="B984" s="102"/>
      <c r="C984" s="17"/>
      <c r="D984" s="102"/>
      <c r="E984" s="48"/>
      <c r="F984" s="49"/>
      <c r="G984" s="49"/>
      <c r="H984" s="49"/>
      <c r="I984" s="49"/>
      <c r="J984" s="49"/>
      <c r="K984" s="24"/>
      <c r="L984" s="103"/>
    </row>
    <row r="985" spans="1:12" ht="22.5" customHeight="1">
      <c r="A985" s="50"/>
      <c r="B985" s="102"/>
      <c r="C985" s="17"/>
      <c r="D985" s="102"/>
      <c r="E985" s="48"/>
      <c r="F985" s="49"/>
      <c r="G985" s="49"/>
      <c r="H985" s="49"/>
      <c r="I985" s="49"/>
      <c r="J985" s="49"/>
      <c r="K985" s="24"/>
      <c r="L985" s="103"/>
    </row>
    <row r="986" spans="1:12" ht="22.5" customHeight="1">
      <c r="A986" s="50"/>
      <c r="B986" s="102"/>
      <c r="C986" s="17"/>
      <c r="D986" s="102"/>
      <c r="E986" s="48"/>
      <c r="F986" s="49"/>
      <c r="G986" s="49"/>
      <c r="H986" s="49"/>
      <c r="I986" s="49"/>
      <c r="J986" s="49"/>
      <c r="K986" s="24"/>
      <c r="L986" s="103"/>
    </row>
    <row r="987" spans="1:12" ht="22.5" customHeight="1">
      <c r="A987" s="50"/>
      <c r="B987" s="102"/>
      <c r="C987" s="17"/>
      <c r="D987" s="102"/>
      <c r="E987" s="48"/>
      <c r="F987" s="49"/>
      <c r="G987" s="49"/>
      <c r="H987" s="49"/>
      <c r="I987" s="49"/>
      <c r="J987" s="49"/>
      <c r="K987" s="24"/>
      <c r="L987" s="103"/>
    </row>
    <row r="988" spans="1:12" ht="22.5" customHeight="1">
      <c r="A988" s="50"/>
      <c r="B988" s="102"/>
      <c r="C988" s="17"/>
      <c r="D988" s="102"/>
      <c r="E988" s="48"/>
      <c r="F988" s="49"/>
      <c r="G988" s="49"/>
      <c r="H988" s="49"/>
      <c r="I988" s="49"/>
      <c r="J988" s="49"/>
      <c r="K988" s="24"/>
      <c r="L988" s="103"/>
    </row>
    <row r="989" spans="1:12" ht="22.5" customHeight="1">
      <c r="A989" s="50"/>
      <c r="B989" s="102"/>
      <c r="C989" s="17"/>
      <c r="D989" s="102"/>
      <c r="E989" s="48"/>
      <c r="F989" s="49"/>
      <c r="G989" s="49"/>
      <c r="H989" s="49"/>
      <c r="I989" s="49"/>
      <c r="J989" s="49"/>
      <c r="K989" s="24"/>
      <c r="L989" s="103"/>
    </row>
    <row r="990" spans="1:12" ht="22.5" customHeight="1">
      <c r="A990" s="50"/>
      <c r="B990" s="102"/>
      <c r="C990" s="17"/>
      <c r="D990" s="102"/>
      <c r="E990" s="48"/>
      <c r="F990" s="49"/>
      <c r="G990" s="49"/>
      <c r="H990" s="49"/>
      <c r="I990" s="49"/>
      <c r="J990" s="49"/>
      <c r="K990" s="24"/>
      <c r="L990" s="103"/>
    </row>
    <row r="991" spans="1:12" ht="22.5" customHeight="1">
      <c r="A991" s="50"/>
      <c r="B991" s="102"/>
      <c r="C991" s="17"/>
      <c r="D991" s="102"/>
      <c r="E991" s="48"/>
      <c r="F991" s="49"/>
      <c r="G991" s="49"/>
      <c r="H991" s="49"/>
      <c r="I991" s="49"/>
      <c r="J991" s="49"/>
      <c r="K991" s="24"/>
      <c r="L991" s="103"/>
    </row>
    <row r="992" spans="1:12" ht="22.5" customHeight="1">
      <c r="A992" s="50"/>
      <c r="B992" s="102"/>
      <c r="C992" s="17"/>
      <c r="D992" s="102"/>
      <c r="E992" s="48"/>
      <c r="F992" s="49"/>
      <c r="G992" s="49"/>
      <c r="H992" s="49"/>
      <c r="I992" s="49"/>
      <c r="J992" s="49"/>
      <c r="K992" s="24"/>
      <c r="L992" s="103"/>
    </row>
    <row r="993" spans="1:12" ht="22.5" customHeight="1">
      <c r="A993" s="50"/>
      <c r="B993" s="102"/>
      <c r="C993" s="17"/>
      <c r="D993" s="102"/>
      <c r="E993" s="48"/>
      <c r="F993" s="49"/>
      <c r="G993" s="49"/>
      <c r="H993" s="49"/>
      <c r="I993" s="49"/>
      <c r="J993" s="49"/>
      <c r="K993" s="24"/>
      <c r="L993" s="103"/>
    </row>
    <row r="994" spans="1:12" ht="22.5" customHeight="1">
      <c r="A994" s="50"/>
      <c r="B994" s="102"/>
      <c r="C994" s="17"/>
      <c r="D994" s="102"/>
      <c r="E994" s="48"/>
      <c r="F994" s="49"/>
      <c r="G994" s="49"/>
      <c r="H994" s="49"/>
      <c r="I994" s="49"/>
      <c r="J994" s="49"/>
      <c r="K994" s="24"/>
      <c r="L994" s="103"/>
    </row>
    <row r="995" spans="1:12" ht="22.5" customHeight="1">
      <c r="A995" s="50"/>
      <c r="B995" s="102"/>
      <c r="C995" s="17"/>
      <c r="D995" s="102"/>
      <c r="E995" s="48"/>
      <c r="F995" s="49"/>
      <c r="G995" s="49"/>
      <c r="H995" s="49"/>
      <c r="I995" s="49"/>
      <c r="J995" s="49"/>
      <c r="K995" s="24"/>
      <c r="L995" s="103"/>
    </row>
  </sheetData>
  <dataValidations count="3">
    <dataValidation type="list" allowBlank="1" sqref="B2:B301" xr:uid="{00000000-0002-0000-0500-000000000000}">
      <formula1>"None,Smooth,Matte,Textured,Decorative"</formula1>
    </dataValidation>
    <dataValidation type="custom" allowBlank="1" showDropDown="1" sqref="G2:K301" xr:uid="{00000000-0002-0000-0500-000001000000}">
      <formula1>AND(ISNUMBER(G2),(NOT(OR(NOT(ISERROR(DATEVALUE(G2))), AND(ISNUMBER(G2), LEFT(CELL("format", G2))="D")))))</formula1>
    </dataValidation>
    <dataValidation allowBlank="1" showDropDown="1" sqref="L2:L301 C2:F301 A2:A301" xr:uid="{00000000-0002-0000-0500-000002000000}"/>
  </dataValidations>
  <hyperlinks>
    <hyperlink ref="L3" r:id="rId1" xr:uid="{00000000-0004-0000-0500-000000000000}"/>
    <hyperlink ref="L4" r:id="rId2" xr:uid="{00000000-0004-0000-0500-000001000000}"/>
  </hyperlinks>
  <pageMargins left="0.7" right="0.7" top="0.75" bottom="0.75" header="0.3" footer="0.3"/>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H994"/>
  <sheetViews>
    <sheetView workbookViewId="0">
      <pane ySplit="1" topLeftCell="A2" activePane="bottomLeft" state="frozen"/>
      <selection pane="bottomLeft"/>
    </sheetView>
  </sheetViews>
  <sheetFormatPr defaultColWidth="12.5703125" defaultRowHeight="22.5" customHeight="1"/>
  <cols>
    <col min="1" max="1" width="5.28515625" style="112" customWidth="1"/>
    <col min="2" max="2" width="32.140625" style="14" customWidth="1"/>
    <col min="3" max="3" width="24.28515625" style="14" customWidth="1"/>
    <col min="4" max="4" width="16.5703125" style="14" customWidth="1"/>
    <col min="5" max="5" width="24.5703125" style="14" customWidth="1"/>
    <col min="6" max="6" width="17.5703125" style="14" customWidth="1"/>
    <col min="7" max="7" width="17" style="14" customWidth="1"/>
    <col min="8" max="8" width="14.85546875" style="14" customWidth="1"/>
    <col min="9" max="9" width="13.28515625" style="14" customWidth="1"/>
    <col min="10" max="10" width="18.42578125" style="14" customWidth="1"/>
    <col min="11" max="12" width="21.28515625" style="14" customWidth="1"/>
    <col min="13" max="13" width="27.28515625" style="14" customWidth="1"/>
    <col min="14" max="14" width="43.5703125" style="14" customWidth="1"/>
    <col min="15" max="16384" width="12.5703125" style="14"/>
  </cols>
  <sheetData>
    <row r="1" spans="1:34" ht="22.5" customHeight="1">
      <c r="A1" s="110" t="s">
        <v>48</v>
      </c>
      <c r="B1" s="91" t="s">
        <v>64</v>
      </c>
      <c r="C1" s="91" t="s">
        <v>67</v>
      </c>
      <c r="D1" s="92" t="s">
        <v>68</v>
      </c>
      <c r="E1" s="91" t="s">
        <v>103</v>
      </c>
      <c r="F1" s="91" t="s">
        <v>104</v>
      </c>
      <c r="G1" s="91" t="s">
        <v>242</v>
      </c>
      <c r="H1" s="93" t="s">
        <v>74</v>
      </c>
      <c r="I1" s="93" t="s">
        <v>75</v>
      </c>
      <c r="J1" s="93" t="s">
        <v>77</v>
      </c>
      <c r="K1" s="91" t="s">
        <v>244</v>
      </c>
      <c r="L1" s="93" t="s">
        <v>78</v>
      </c>
      <c r="M1" s="91" t="s">
        <v>80</v>
      </c>
      <c r="N1" s="94" t="s">
        <v>245</v>
      </c>
      <c r="O1" s="45"/>
      <c r="P1" s="45"/>
      <c r="Q1" s="45"/>
      <c r="R1" s="45"/>
      <c r="S1" s="45"/>
      <c r="T1" s="45"/>
      <c r="U1" s="45"/>
      <c r="V1" s="45"/>
      <c r="W1" s="45"/>
      <c r="X1" s="45"/>
      <c r="Y1" s="45"/>
      <c r="Z1" s="45"/>
      <c r="AA1" s="45"/>
      <c r="AB1" s="45"/>
      <c r="AC1" s="45"/>
      <c r="AD1" s="45"/>
      <c r="AE1" s="45"/>
      <c r="AF1" s="45"/>
      <c r="AG1" s="45"/>
      <c r="AH1" s="45"/>
    </row>
    <row r="2" spans="1:34" ht="22.5" customHeight="1">
      <c r="A2" s="111" t="str">
        <f ca="1">IF(PRINTERS[[#This Row],[PRODUCT]] &lt;&gt; "", IF(ROW() = 2, "000", TEXT(INDIRECT("A" &amp; ROW() - 1) + 1, "000")), "")</f>
        <v>000</v>
      </c>
      <c r="B2" s="95" t="s">
        <v>99</v>
      </c>
      <c r="C2" s="95" t="s">
        <v>99</v>
      </c>
      <c r="D2" s="95" t="s">
        <v>99</v>
      </c>
      <c r="E2" s="104" t="s">
        <v>99</v>
      </c>
      <c r="F2" s="97">
        <v>0</v>
      </c>
      <c r="G2" s="97">
        <v>0</v>
      </c>
      <c r="H2" s="100">
        <v>0</v>
      </c>
      <c r="I2" s="100">
        <f>H2 * salesTaxPct</f>
        <v>0</v>
      </c>
      <c r="J2" s="100">
        <v>0</v>
      </c>
      <c r="K2" s="100">
        <v>0</v>
      </c>
      <c r="L2" s="100">
        <f t="shared" ref="L2:L65" si="0">H2 + I2 + J2 + K2</f>
        <v>0</v>
      </c>
      <c r="M2" s="95"/>
      <c r="N2" s="96" t="str">
        <f ca="1">IF(PRINTERS[[#This Row],[ID]] &lt;&gt; "", IF(A2 = "000", A2 &amp; " | None", A2 &amp; " | " &amp; B2 &amp; " | " &amp; C2), "")</f>
        <v>000 | None</v>
      </c>
    </row>
    <row r="3" spans="1:34" ht="22.5" customHeight="1">
      <c r="A3" s="111" t="str">
        <f ca="1">IF(PRINTERS[[#This Row],[PRODUCT]] &lt;&gt; "", IF(ROW() = 2, "000", TEXT(INDIRECT("A" &amp; ROW() - 1) + 1, "000")), "")</f>
        <v>001</v>
      </c>
      <c r="B3" s="95" t="s">
        <v>250</v>
      </c>
      <c r="C3" s="95" t="s">
        <v>119</v>
      </c>
      <c r="D3" s="95" t="s">
        <v>119</v>
      </c>
      <c r="E3" s="98" t="s">
        <v>128</v>
      </c>
      <c r="F3" s="97">
        <v>10000</v>
      </c>
      <c r="G3" s="97">
        <v>0.11</v>
      </c>
      <c r="H3" s="100">
        <v>1369</v>
      </c>
      <c r="I3" s="100">
        <f>H3 * salesTaxPct</f>
        <v>0</v>
      </c>
      <c r="J3" s="100">
        <v>150</v>
      </c>
      <c r="K3" s="100">
        <v>0</v>
      </c>
      <c r="L3" s="100">
        <f t="shared" si="0"/>
        <v>1519</v>
      </c>
      <c r="M3" s="101" t="s">
        <v>251</v>
      </c>
      <c r="N3" s="96" t="str">
        <f ca="1">IF(PRINTERS[[#This Row],[ID]] &lt;&gt; "", IF(A3 = "000", A3 &amp; " | None", A3 &amp; " | " &amp; B3 &amp; " | " &amp; C3), "")</f>
        <v>001 | Prusa CORE One+ (Gen 2) | Prusa</v>
      </c>
    </row>
    <row r="4" spans="1:34" ht="22.5" customHeight="1">
      <c r="A4" s="111" t="str">
        <f ca="1">IF(PRINTERS[[#This Row],[PRODUCT]] &lt;&gt; "", IF(ROW() = 2, "000", TEXT(INDIRECT("A" &amp; ROW() - 1) + 1, "000")), "")</f>
        <v/>
      </c>
      <c r="B4" s="17"/>
      <c r="C4" s="102"/>
      <c r="D4" s="48"/>
      <c r="E4" s="49"/>
      <c r="F4" s="49"/>
      <c r="G4" s="49"/>
      <c r="H4" s="49"/>
      <c r="I4" s="100">
        <f>H4 * salesTaxPct</f>
        <v>0</v>
      </c>
      <c r="J4" s="49"/>
      <c r="K4" s="24"/>
      <c r="L4" s="100">
        <f t="shared" si="0"/>
        <v>0</v>
      </c>
      <c r="M4" s="103"/>
      <c r="N4" s="96" t="str">
        <f ca="1">IF(PRINTERS[[#This Row],[ID]] &lt;&gt; "", IF(A4 = "000", A4 &amp; " | None", A4 &amp; " | " &amp; B4 &amp; " | " &amp; C4), "")</f>
        <v/>
      </c>
    </row>
    <row r="5" spans="1:34" ht="22.5" customHeight="1">
      <c r="A5" s="111" t="str">
        <f ca="1">IF(PRINTERS[[#This Row],[PRODUCT]] &lt;&gt; "", IF(ROW() = 2, "000", TEXT(INDIRECT("A" &amp; ROW() - 1) + 1, "000")), "")</f>
        <v/>
      </c>
      <c r="B5" s="17"/>
      <c r="C5" s="102"/>
      <c r="D5" s="48"/>
      <c r="E5" s="49"/>
      <c r="F5" s="49"/>
      <c r="G5" s="49"/>
      <c r="H5" s="49"/>
      <c r="I5" s="100">
        <f>H5 * salesTaxPct</f>
        <v>0</v>
      </c>
      <c r="J5" s="49"/>
      <c r="K5" s="24"/>
      <c r="L5" s="100">
        <f t="shared" si="0"/>
        <v>0</v>
      </c>
      <c r="M5" s="103"/>
      <c r="N5" s="96" t="str">
        <f ca="1">IF(PRINTERS[[#This Row],[ID]] &lt;&gt; "", IF(A5 = "000", A5 &amp; " | None", A5 &amp; " | " &amp; B5 &amp; " | " &amp; C5), "")</f>
        <v/>
      </c>
    </row>
    <row r="6" spans="1:34" ht="22.5" customHeight="1">
      <c r="A6" s="111" t="str">
        <f ca="1">IF(PRINTERS[[#This Row],[PRODUCT]] &lt;&gt; "", IF(ROW() = 2, "000", TEXT(INDIRECT("A" &amp; ROW() - 1) + 1, "000")), "")</f>
        <v/>
      </c>
      <c r="B6" s="17"/>
      <c r="C6" s="102"/>
      <c r="D6" s="48"/>
      <c r="E6" s="49"/>
      <c r="F6" s="49"/>
      <c r="G6" s="49"/>
      <c r="H6" s="49"/>
      <c r="I6" s="100">
        <f>H6 * salesTaxPct</f>
        <v>0</v>
      </c>
      <c r="J6" s="49"/>
      <c r="K6" s="24"/>
      <c r="L6" s="100">
        <f t="shared" si="0"/>
        <v>0</v>
      </c>
      <c r="M6" s="103"/>
      <c r="N6" s="96" t="str">
        <f ca="1">IF(PRINTERS[[#This Row],[ID]] &lt;&gt; "", IF(A6 = "000", A6 &amp; " | None", A6 &amp; " | " &amp; B6 &amp; " | " &amp; C6), "")</f>
        <v/>
      </c>
    </row>
    <row r="7" spans="1:34" ht="22.5" customHeight="1">
      <c r="A7" s="111" t="str">
        <f ca="1">IF(PRINTERS[[#This Row],[PRODUCT]] &lt;&gt; "", IF(ROW() = 2, "000", TEXT(INDIRECT("A" &amp; ROW() - 1) + 1, "000")), "")</f>
        <v/>
      </c>
      <c r="B7" s="17"/>
      <c r="C7" s="102"/>
      <c r="D7" s="48"/>
      <c r="E7" s="49"/>
      <c r="F7" s="49"/>
      <c r="G7" s="49"/>
      <c r="H7" s="49"/>
      <c r="I7" s="100">
        <f>H7 * salesTaxPct</f>
        <v>0</v>
      </c>
      <c r="J7" s="49"/>
      <c r="K7" s="24"/>
      <c r="L7" s="100">
        <f t="shared" si="0"/>
        <v>0</v>
      </c>
      <c r="M7" s="103"/>
      <c r="N7" s="96" t="str">
        <f ca="1">IF(PRINTERS[[#This Row],[ID]] &lt;&gt; "", IF(A7 = "000", A7 &amp; " | None", A7 &amp; " | " &amp; B7 &amp; " | " &amp; C7), "")</f>
        <v/>
      </c>
    </row>
    <row r="8" spans="1:34" ht="22.5" customHeight="1">
      <c r="A8" s="111" t="str">
        <f ca="1">IF(PRINTERS[[#This Row],[PRODUCT]] &lt;&gt; "", IF(ROW() = 2, "000", TEXT(INDIRECT("A" &amp; ROW() - 1) + 1, "000")), "")</f>
        <v/>
      </c>
      <c r="B8" s="17"/>
      <c r="C8" s="102"/>
      <c r="D8" s="48"/>
      <c r="E8" s="49"/>
      <c r="F8" s="49"/>
      <c r="G8" s="49"/>
      <c r="H8" s="49"/>
      <c r="I8" s="100">
        <f>H8 * salesTaxPct</f>
        <v>0</v>
      </c>
      <c r="J8" s="49"/>
      <c r="K8" s="24"/>
      <c r="L8" s="100">
        <f t="shared" si="0"/>
        <v>0</v>
      </c>
      <c r="M8" s="103"/>
      <c r="N8" s="96" t="str">
        <f ca="1">IF(PRINTERS[[#This Row],[ID]] &lt;&gt; "", IF(A8 = "000", A8 &amp; " | None", A8 &amp; " | " &amp; B8 &amp; " | " &amp; C8), "")</f>
        <v/>
      </c>
    </row>
    <row r="9" spans="1:34" ht="22.5" customHeight="1">
      <c r="A9" s="111" t="str">
        <f ca="1">IF(PRINTERS[[#This Row],[PRODUCT]] &lt;&gt; "", IF(ROW() = 2, "000", TEXT(INDIRECT("A" &amp; ROW() - 1) + 1, "000")), "")</f>
        <v/>
      </c>
      <c r="B9" s="17"/>
      <c r="C9" s="102"/>
      <c r="D9" s="48"/>
      <c r="E9" s="49"/>
      <c r="F9" s="49"/>
      <c r="G9" s="49"/>
      <c r="H9" s="49"/>
      <c r="I9" s="100">
        <f>H9 * salesTaxPct</f>
        <v>0</v>
      </c>
      <c r="J9" s="49"/>
      <c r="K9" s="24"/>
      <c r="L9" s="100">
        <f t="shared" si="0"/>
        <v>0</v>
      </c>
      <c r="M9" s="103"/>
      <c r="N9" s="96" t="str">
        <f ca="1">IF(PRINTERS[[#This Row],[ID]] &lt;&gt; "", IF(A9 = "000", A9 &amp; " | None", A9 &amp; " | " &amp; B9 &amp; " | " &amp; C9), "")</f>
        <v/>
      </c>
    </row>
    <row r="10" spans="1:34" ht="22.5" customHeight="1">
      <c r="A10" s="111" t="str">
        <f ca="1">IF(PRINTERS[[#This Row],[PRODUCT]] &lt;&gt; "", IF(ROW() = 2, "000", TEXT(INDIRECT("A" &amp; ROW() - 1) + 1, "000")), "")</f>
        <v/>
      </c>
      <c r="B10" s="17"/>
      <c r="C10" s="102"/>
      <c r="D10" s="48"/>
      <c r="E10" s="49"/>
      <c r="F10" s="49"/>
      <c r="G10" s="49"/>
      <c r="H10" s="49"/>
      <c r="I10" s="100">
        <f>H10 * salesTaxPct</f>
        <v>0</v>
      </c>
      <c r="J10" s="49"/>
      <c r="K10" s="24"/>
      <c r="L10" s="100">
        <f t="shared" si="0"/>
        <v>0</v>
      </c>
      <c r="M10" s="103"/>
      <c r="N10" s="96" t="str">
        <f ca="1">IF(PRINTERS[[#This Row],[ID]] &lt;&gt; "", IF(A10 = "000", A10 &amp; " | None", A10 &amp; " | " &amp; B10 &amp; " | " &amp; C10), "")</f>
        <v/>
      </c>
    </row>
    <row r="11" spans="1:34" ht="22.5" customHeight="1">
      <c r="A11" s="111" t="str">
        <f ca="1">IF(PRINTERS[[#This Row],[PRODUCT]] &lt;&gt; "", IF(ROW() = 2, "000", TEXT(INDIRECT("A" &amp; ROW() - 1) + 1, "000")), "")</f>
        <v/>
      </c>
      <c r="B11" s="17"/>
      <c r="C11" s="102"/>
      <c r="D11" s="48"/>
      <c r="E11" s="49"/>
      <c r="F11" s="49"/>
      <c r="G11" s="49"/>
      <c r="H11" s="49"/>
      <c r="I11" s="100">
        <f>H11 * salesTaxPct</f>
        <v>0</v>
      </c>
      <c r="J11" s="49"/>
      <c r="K11" s="24"/>
      <c r="L11" s="100">
        <f t="shared" si="0"/>
        <v>0</v>
      </c>
      <c r="M11" s="103"/>
      <c r="N11" s="96" t="str">
        <f ca="1">IF(PRINTERS[[#This Row],[ID]] &lt;&gt; "", IF(A11 = "000", A11 &amp; " | None", A11 &amp; " | " &amp; B11 &amp; " | " &amp; C11), "")</f>
        <v/>
      </c>
    </row>
    <row r="12" spans="1:34" ht="22.5" customHeight="1">
      <c r="A12" s="111" t="str">
        <f ca="1">IF(PRINTERS[[#This Row],[PRODUCT]] &lt;&gt; "", IF(ROW() = 2, "000", TEXT(INDIRECT("A" &amp; ROW() - 1) + 1, "000")), "")</f>
        <v/>
      </c>
      <c r="B12" s="17"/>
      <c r="C12" s="102"/>
      <c r="D12" s="48"/>
      <c r="E12" s="49"/>
      <c r="F12" s="49"/>
      <c r="G12" s="49"/>
      <c r="H12" s="49"/>
      <c r="I12" s="100">
        <f>H12 * salesTaxPct</f>
        <v>0</v>
      </c>
      <c r="J12" s="49"/>
      <c r="K12" s="24"/>
      <c r="L12" s="100">
        <f t="shared" si="0"/>
        <v>0</v>
      </c>
      <c r="M12" s="103"/>
      <c r="N12" s="96" t="str">
        <f ca="1">IF(PRINTERS[[#This Row],[ID]] &lt;&gt; "", IF(A12 = "000", A12 &amp; " | None", A12 &amp; " | " &amp; B12 &amp; " | " &amp; C12), "")</f>
        <v/>
      </c>
    </row>
    <row r="13" spans="1:34" ht="22.5" customHeight="1">
      <c r="A13" s="111" t="str">
        <f ca="1">IF(PRINTERS[[#This Row],[PRODUCT]] &lt;&gt; "", IF(ROW() = 2, "000", TEXT(INDIRECT("A" &amp; ROW() - 1) + 1, "000")), "")</f>
        <v/>
      </c>
      <c r="B13" s="17"/>
      <c r="C13" s="102"/>
      <c r="D13" s="48"/>
      <c r="E13" s="49"/>
      <c r="F13" s="49"/>
      <c r="G13" s="49"/>
      <c r="H13" s="49"/>
      <c r="I13" s="100">
        <f>H13 * salesTaxPct</f>
        <v>0</v>
      </c>
      <c r="J13" s="49"/>
      <c r="K13" s="24"/>
      <c r="L13" s="100">
        <f t="shared" si="0"/>
        <v>0</v>
      </c>
      <c r="M13" s="103"/>
      <c r="N13" s="96" t="str">
        <f ca="1">IF(PRINTERS[[#This Row],[ID]] &lt;&gt; "", IF(A13 = "000", A13 &amp; " | None", A13 &amp; " | " &amp; B13 &amp; " | " &amp; C13), "")</f>
        <v/>
      </c>
    </row>
    <row r="14" spans="1:34" ht="22.5" customHeight="1">
      <c r="A14" s="111" t="str">
        <f ca="1">IF(PRINTERS[[#This Row],[PRODUCT]] &lt;&gt; "", IF(ROW() = 2, "000", TEXT(INDIRECT("A" &amp; ROW() - 1) + 1, "000")), "")</f>
        <v/>
      </c>
      <c r="B14" s="17"/>
      <c r="C14" s="102"/>
      <c r="D14" s="48"/>
      <c r="E14" s="49"/>
      <c r="F14" s="49"/>
      <c r="G14" s="49"/>
      <c r="H14" s="49"/>
      <c r="I14" s="100">
        <f>H14 * salesTaxPct</f>
        <v>0</v>
      </c>
      <c r="J14" s="49"/>
      <c r="K14" s="24"/>
      <c r="L14" s="100">
        <f t="shared" si="0"/>
        <v>0</v>
      </c>
      <c r="M14" s="103"/>
      <c r="N14" s="96" t="str">
        <f ca="1">IF(PRINTERS[[#This Row],[ID]] &lt;&gt; "", IF(A14 = "000", A14 &amp; " | None", A14 &amp; " | " &amp; B14 &amp; " | " &amp; C14), "")</f>
        <v/>
      </c>
    </row>
    <row r="15" spans="1:34" ht="22.5" customHeight="1">
      <c r="A15" s="111" t="str">
        <f ca="1">IF(PRINTERS[[#This Row],[PRODUCT]] &lt;&gt; "", IF(ROW() = 2, "000", TEXT(INDIRECT("A" &amp; ROW() - 1) + 1, "000")), "")</f>
        <v/>
      </c>
      <c r="B15" s="17"/>
      <c r="C15" s="102"/>
      <c r="D15" s="48"/>
      <c r="E15" s="49"/>
      <c r="F15" s="49"/>
      <c r="G15" s="49"/>
      <c r="H15" s="49"/>
      <c r="I15" s="100">
        <f>H15 * salesTaxPct</f>
        <v>0</v>
      </c>
      <c r="J15" s="49"/>
      <c r="K15" s="24"/>
      <c r="L15" s="100">
        <f t="shared" si="0"/>
        <v>0</v>
      </c>
      <c r="M15" s="103"/>
      <c r="N15" s="96" t="str">
        <f ca="1">IF(PRINTERS[[#This Row],[ID]] &lt;&gt; "", IF(A15 = "000", A15 &amp; " | None", A15 &amp; " | " &amp; B15 &amp; " | " &amp; C15), "")</f>
        <v/>
      </c>
    </row>
    <row r="16" spans="1:34" ht="22.5" customHeight="1">
      <c r="A16" s="111" t="str">
        <f ca="1">IF(PRINTERS[[#This Row],[PRODUCT]] &lt;&gt; "", IF(ROW() = 2, "000", TEXT(INDIRECT("A" &amp; ROW() - 1) + 1, "000")), "")</f>
        <v/>
      </c>
      <c r="B16" s="17"/>
      <c r="C16" s="102"/>
      <c r="D16" s="48"/>
      <c r="E16" s="49"/>
      <c r="F16" s="49"/>
      <c r="G16" s="49"/>
      <c r="H16" s="49"/>
      <c r="I16" s="100">
        <f>H16 * salesTaxPct</f>
        <v>0</v>
      </c>
      <c r="J16" s="49"/>
      <c r="K16" s="24"/>
      <c r="L16" s="100">
        <f t="shared" si="0"/>
        <v>0</v>
      </c>
      <c r="M16" s="103"/>
      <c r="N16" s="96" t="str">
        <f ca="1">IF(PRINTERS[[#This Row],[ID]] &lt;&gt; "", IF(A16 = "000", A16 &amp; " | None", A16 &amp; " | " &amp; B16 &amp; " | " &amp; C16), "")</f>
        <v/>
      </c>
    </row>
    <row r="17" spans="1:14" ht="22.5" customHeight="1">
      <c r="A17" s="111" t="str">
        <f ca="1">IF(PRINTERS[[#This Row],[PRODUCT]] &lt;&gt; "", IF(ROW() = 2, "000", TEXT(INDIRECT("A" &amp; ROW() - 1) + 1, "000")), "")</f>
        <v/>
      </c>
      <c r="B17" s="17"/>
      <c r="C17" s="102"/>
      <c r="D17" s="48"/>
      <c r="E17" s="49"/>
      <c r="F17" s="49"/>
      <c r="G17" s="49"/>
      <c r="H17" s="49"/>
      <c r="I17" s="100">
        <f>H17 * salesTaxPct</f>
        <v>0</v>
      </c>
      <c r="J17" s="49"/>
      <c r="K17" s="24"/>
      <c r="L17" s="100">
        <f t="shared" si="0"/>
        <v>0</v>
      </c>
      <c r="M17" s="103"/>
      <c r="N17" s="96" t="str">
        <f ca="1">IF(PRINTERS[[#This Row],[ID]] &lt;&gt; "", IF(A17 = "000", A17 &amp; " | None", A17 &amp; " | " &amp; B17 &amp; " | " &amp; C17), "")</f>
        <v/>
      </c>
    </row>
    <row r="18" spans="1:14" ht="22.5" customHeight="1">
      <c r="A18" s="111" t="str">
        <f ca="1">IF(PRINTERS[[#This Row],[PRODUCT]] &lt;&gt; "", IF(ROW() = 2, "000", TEXT(INDIRECT("A" &amp; ROW() - 1) + 1, "000")), "")</f>
        <v/>
      </c>
      <c r="B18" s="17"/>
      <c r="C18" s="102"/>
      <c r="D18" s="48"/>
      <c r="E18" s="49"/>
      <c r="F18" s="49"/>
      <c r="G18" s="49"/>
      <c r="H18" s="49"/>
      <c r="I18" s="100">
        <f>H18 * salesTaxPct</f>
        <v>0</v>
      </c>
      <c r="J18" s="49"/>
      <c r="K18" s="24"/>
      <c r="L18" s="100">
        <f t="shared" si="0"/>
        <v>0</v>
      </c>
      <c r="M18" s="103"/>
      <c r="N18" s="96" t="str">
        <f ca="1">IF(PRINTERS[[#This Row],[ID]] &lt;&gt; "", IF(A18 = "000", A18 &amp; " | None", A18 &amp; " | " &amp; B18 &amp; " | " &amp; C18), "")</f>
        <v/>
      </c>
    </row>
    <row r="19" spans="1:14" ht="22.5" customHeight="1">
      <c r="A19" s="111" t="str">
        <f ca="1">IF(PRINTERS[[#This Row],[PRODUCT]] &lt;&gt; "", IF(ROW() = 2, "000", TEXT(INDIRECT("A" &amp; ROW() - 1) + 1, "000")), "")</f>
        <v/>
      </c>
      <c r="B19" s="17"/>
      <c r="C19" s="102"/>
      <c r="D19" s="48"/>
      <c r="E19" s="49"/>
      <c r="F19" s="49"/>
      <c r="G19" s="49"/>
      <c r="H19" s="49"/>
      <c r="I19" s="100">
        <f>H19 * salesTaxPct</f>
        <v>0</v>
      </c>
      <c r="J19" s="49"/>
      <c r="K19" s="24"/>
      <c r="L19" s="100">
        <f t="shared" si="0"/>
        <v>0</v>
      </c>
      <c r="M19" s="103"/>
      <c r="N19" s="96" t="str">
        <f ca="1">IF(PRINTERS[[#This Row],[ID]] &lt;&gt; "", IF(A19 = "000", A19 &amp; " | None", A19 &amp; " | " &amp; B19 &amp; " | " &amp; C19), "")</f>
        <v/>
      </c>
    </row>
    <row r="20" spans="1:14" ht="22.5" customHeight="1">
      <c r="A20" s="111" t="str">
        <f ca="1">IF(PRINTERS[[#This Row],[PRODUCT]] &lt;&gt; "", IF(ROW() = 2, "000", TEXT(INDIRECT("A" &amp; ROW() - 1) + 1, "000")), "")</f>
        <v/>
      </c>
      <c r="B20" s="17"/>
      <c r="C20" s="102"/>
      <c r="D20" s="48"/>
      <c r="E20" s="49"/>
      <c r="F20" s="49"/>
      <c r="G20" s="49"/>
      <c r="H20" s="49"/>
      <c r="I20" s="100">
        <f>H20 * salesTaxPct</f>
        <v>0</v>
      </c>
      <c r="J20" s="49"/>
      <c r="K20" s="24"/>
      <c r="L20" s="100">
        <f t="shared" si="0"/>
        <v>0</v>
      </c>
      <c r="M20" s="103"/>
      <c r="N20" s="96" t="str">
        <f ca="1">IF(PRINTERS[[#This Row],[ID]] &lt;&gt; "", IF(A20 = "000", A20 &amp; " | None", A20 &amp; " | " &amp; B20 &amp; " | " &amp; C20), "")</f>
        <v/>
      </c>
    </row>
    <row r="21" spans="1:14" ht="22.5" customHeight="1">
      <c r="A21" s="111" t="str">
        <f ca="1">IF(PRINTERS[[#This Row],[PRODUCT]] &lt;&gt; "", IF(ROW() = 2, "000", TEXT(INDIRECT("A" &amp; ROW() - 1) + 1, "000")), "")</f>
        <v/>
      </c>
      <c r="B21" s="17"/>
      <c r="C21" s="102"/>
      <c r="D21" s="48"/>
      <c r="E21" s="49"/>
      <c r="F21" s="49"/>
      <c r="G21" s="49"/>
      <c r="H21" s="49"/>
      <c r="I21" s="100">
        <f>H21 * salesTaxPct</f>
        <v>0</v>
      </c>
      <c r="J21" s="49"/>
      <c r="K21" s="24"/>
      <c r="L21" s="100">
        <f t="shared" si="0"/>
        <v>0</v>
      </c>
      <c r="M21" s="103"/>
      <c r="N21" s="96" t="str">
        <f ca="1">IF(PRINTERS[[#This Row],[ID]] &lt;&gt; "", IF(A21 = "000", A21 &amp; " | None", A21 &amp; " | " &amp; B21 &amp; " | " &amp; C21), "")</f>
        <v/>
      </c>
    </row>
    <row r="22" spans="1:14" ht="22.5" customHeight="1">
      <c r="A22" s="111" t="str">
        <f ca="1">IF(PRINTERS[[#This Row],[PRODUCT]] &lt;&gt; "", IF(ROW() = 2, "000", TEXT(INDIRECT("A" &amp; ROW() - 1) + 1, "000")), "")</f>
        <v/>
      </c>
      <c r="B22" s="17"/>
      <c r="C22" s="102"/>
      <c r="D22" s="48"/>
      <c r="E22" s="49"/>
      <c r="F22" s="49"/>
      <c r="G22" s="49"/>
      <c r="H22" s="49"/>
      <c r="I22" s="100">
        <f>H22 * salesTaxPct</f>
        <v>0</v>
      </c>
      <c r="J22" s="49"/>
      <c r="K22" s="24"/>
      <c r="L22" s="100">
        <f t="shared" si="0"/>
        <v>0</v>
      </c>
      <c r="M22" s="103"/>
      <c r="N22" s="96" t="str">
        <f ca="1">IF(PRINTERS[[#This Row],[ID]] &lt;&gt; "", IF(A22 = "000", A22 &amp; " | None", A22 &amp; " | " &amp; B22 &amp; " | " &amp; C22), "")</f>
        <v/>
      </c>
    </row>
    <row r="23" spans="1:14" ht="22.5" customHeight="1">
      <c r="A23" s="111" t="str">
        <f ca="1">IF(PRINTERS[[#This Row],[PRODUCT]] &lt;&gt; "", IF(ROW() = 2, "000", TEXT(INDIRECT("A" &amp; ROW() - 1) + 1, "000")), "")</f>
        <v/>
      </c>
      <c r="B23" s="17"/>
      <c r="C23" s="102"/>
      <c r="D23" s="48"/>
      <c r="E23" s="49"/>
      <c r="F23" s="49"/>
      <c r="G23" s="49"/>
      <c r="H23" s="49"/>
      <c r="I23" s="100">
        <f>H23 * salesTaxPct</f>
        <v>0</v>
      </c>
      <c r="J23" s="49"/>
      <c r="K23" s="24"/>
      <c r="L23" s="100">
        <f t="shared" si="0"/>
        <v>0</v>
      </c>
      <c r="M23" s="103"/>
      <c r="N23" s="96" t="str">
        <f ca="1">IF(PRINTERS[[#This Row],[ID]] &lt;&gt; "", IF(A23 = "000", A23 &amp; " | None", A23 &amp; " | " &amp; B23 &amp; " | " &amp; C23), "")</f>
        <v/>
      </c>
    </row>
    <row r="24" spans="1:14" ht="22.5" customHeight="1">
      <c r="A24" s="111" t="str">
        <f ca="1">IF(PRINTERS[[#This Row],[PRODUCT]] &lt;&gt; "", IF(ROW() = 2, "000", TEXT(INDIRECT("A" &amp; ROW() - 1) + 1, "000")), "")</f>
        <v/>
      </c>
      <c r="B24" s="17"/>
      <c r="C24" s="102"/>
      <c r="D24" s="48"/>
      <c r="E24" s="49"/>
      <c r="F24" s="49"/>
      <c r="G24" s="49"/>
      <c r="H24" s="49"/>
      <c r="I24" s="100">
        <f>H24 * salesTaxPct</f>
        <v>0</v>
      </c>
      <c r="J24" s="49"/>
      <c r="K24" s="24"/>
      <c r="L24" s="100">
        <f t="shared" si="0"/>
        <v>0</v>
      </c>
      <c r="M24" s="103"/>
      <c r="N24" s="96" t="str">
        <f ca="1">IF(PRINTERS[[#This Row],[ID]] &lt;&gt; "", IF(A24 = "000", A24 &amp; " | None", A24 &amp; " | " &amp; B24 &amp; " | " &amp; C24), "")</f>
        <v/>
      </c>
    </row>
    <row r="25" spans="1:14" ht="22.5" customHeight="1">
      <c r="A25" s="111" t="str">
        <f ca="1">IF(PRINTERS[[#This Row],[PRODUCT]] &lt;&gt; "", IF(ROW() = 2, "000", TEXT(INDIRECT("A" &amp; ROW() - 1) + 1, "000")), "")</f>
        <v/>
      </c>
      <c r="B25" s="17"/>
      <c r="C25" s="102"/>
      <c r="D25" s="48"/>
      <c r="E25" s="49"/>
      <c r="F25" s="49"/>
      <c r="G25" s="49"/>
      <c r="H25" s="49"/>
      <c r="I25" s="100">
        <f>H25 * salesTaxPct</f>
        <v>0</v>
      </c>
      <c r="J25" s="49"/>
      <c r="K25" s="24"/>
      <c r="L25" s="100">
        <f t="shared" si="0"/>
        <v>0</v>
      </c>
      <c r="M25" s="103"/>
      <c r="N25" s="96" t="str">
        <f ca="1">IF(PRINTERS[[#This Row],[ID]] &lt;&gt; "", IF(A25 = "000", A25 &amp; " | None", A25 &amp; " | " &amp; B25 &amp; " | " &amp; C25), "")</f>
        <v/>
      </c>
    </row>
    <row r="26" spans="1:14" ht="22.5" customHeight="1">
      <c r="A26" s="111" t="str">
        <f ca="1">IF(PRINTERS[[#This Row],[PRODUCT]] &lt;&gt; "", IF(ROW() = 2, "000", TEXT(INDIRECT("A" &amp; ROW() - 1) + 1, "000")), "")</f>
        <v/>
      </c>
      <c r="B26" s="17"/>
      <c r="C26" s="102"/>
      <c r="D26" s="48"/>
      <c r="E26" s="49"/>
      <c r="F26" s="49"/>
      <c r="G26" s="49"/>
      <c r="H26" s="49"/>
      <c r="I26" s="100">
        <f>H26 * salesTaxPct</f>
        <v>0</v>
      </c>
      <c r="J26" s="49"/>
      <c r="K26" s="24"/>
      <c r="L26" s="100">
        <f t="shared" si="0"/>
        <v>0</v>
      </c>
      <c r="M26" s="103"/>
      <c r="N26" s="96" t="str">
        <f ca="1">IF(PRINTERS[[#This Row],[ID]] &lt;&gt; "", IF(A26 = "000", A26 &amp; " | None", A26 &amp; " | " &amp; B26 &amp; " | " &amp; C26), "")</f>
        <v/>
      </c>
    </row>
    <row r="27" spans="1:14" ht="22.5" customHeight="1">
      <c r="A27" s="111" t="str">
        <f ca="1">IF(PRINTERS[[#This Row],[PRODUCT]] &lt;&gt; "", IF(ROW() = 2, "000", TEXT(INDIRECT("A" &amp; ROW() - 1) + 1, "000")), "")</f>
        <v/>
      </c>
      <c r="B27" s="17"/>
      <c r="C27" s="102"/>
      <c r="D27" s="48"/>
      <c r="E27" s="49"/>
      <c r="F27" s="49"/>
      <c r="G27" s="49"/>
      <c r="H27" s="49"/>
      <c r="I27" s="100">
        <f>H27 * salesTaxPct</f>
        <v>0</v>
      </c>
      <c r="J27" s="49"/>
      <c r="K27" s="24"/>
      <c r="L27" s="100">
        <f t="shared" si="0"/>
        <v>0</v>
      </c>
      <c r="M27" s="103"/>
      <c r="N27" s="96" t="str">
        <f ca="1">IF(PRINTERS[[#This Row],[ID]] &lt;&gt; "", IF(A27 = "000", A27 &amp; " | None", A27 &amp; " | " &amp; B27 &amp; " | " &amp; C27), "")</f>
        <v/>
      </c>
    </row>
    <row r="28" spans="1:14" ht="22.5" customHeight="1">
      <c r="A28" s="111" t="str">
        <f ca="1">IF(PRINTERS[[#This Row],[PRODUCT]] &lt;&gt; "", IF(ROW() = 2, "000", TEXT(INDIRECT("A" &amp; ROW() - 1) + 1, "000")), "")</f>
        <v/>
      </c>
      <c r="B28" s="17"/>
      <c r="C28" s="102"/>
      <c r="D28" s="48"/>
      <c r="E28" s="49"/>
      <c r="F28" s="49"/>
      <c r="G28" s="49"/>
      <c r="H28" s="49"/>
      <c r="I28" s="100">
        <f>H28 * salesTaxPct</f>
        <v>0</v>
      </c>
      <c r="J28" s="49"/>
      <c r="K28" s="24"/>
      <c r="L28" s="100">
        <f t="shared" si="0"/>
        <v>0</v>
      </c>
      <c r="M28" s="103"/>
      <c r="N28" s="96" t="str">
        <f ca="1">IF(PRINTERS[[#This Row],[ID]] &lt;&gt; "", IF(A28 = "000", A28 &amp; " | None", A28 &amp; " | " &amp; B28 &amp; " | " &amp; C28), "")</f>
        <v/>
      </c>
    </row>
    <row r="29" spans="1:14" ht="22.5" customHeight="1">
      <c r="A29" s="111" t="str">
        <f ca="1">IF(PRINTERS[[#This Row],[PRODUCT]] &lt;&gt; "", IF(ROW() = 2, "000", TEXT(INDIRECT("A" &amp; ROW() - 1) + 1, "000")), "")</f>
        <v/>
      </c>
      <c r="B29" s="17"/>
      <c r="C29" s="102"/>
      <c r="D29" s="48"/>
      <c r="E29" s="49"/>
      <c r="F29" s="49"/>
      <c r="G29" s="49"/>
      <c r="H29" s="49"/>
      <c r="I29" s="100">
        <f>H29 * salesTaxPct</f>
        <v>0</v>
      </c>
      <c r="J29" s="49"/>
      <c r="K29" s="24"/>
      <c r="L29" s="100">
        <f t="shared" si="0"/>
        <v>0</v>
      </c>
      <c r="M29" s="103"/>
      <c r="N29" s="96" t="str">
        <f ca="1">IF(PRINTERS[[#This Row],[ID]] &lt;&gt; "", IF(A29 = "000", A29 &amp; " | None", A29 &amp; " | " &amp; B29 &amp; " | " &amp; C29), "")</f>
        <v/>
      </c>
    </row>
    <row r="30" spans="1:14" ht="22.5" customHeight="1">
      <c r="A30" s="111" t="str">
        <f ca="1">IF(PRINTERS[[#This Row],[PRODUCT]] &lt;&gt; "", IF(ROW() = 2, "000", TEXT(INDIRECT("A" &amp; ROW() - 1) + 1, "000")), "")</f>
        <v/>
      </c>
      <c r="B30" s="17"/>
      <c r="C30" s="102"/>
      <c r="D30" s="48"/>
      <c r="E30" s="49"/>
      <c r="F30" s="49"/>
      <c r="G30" s="49"/>
      <c r="H30" s="49"/>
      <c r="I30" s="100">
        <f>H30 * salesTaxPct</f>
        <v>0</v>
      </c>
      <c r="J30" s="49"/>
      <c r="K30" s="24"/>
      <c r="L30" s="100">
        <f t="shared" si="0"/>
        <v>0</v>
      </c>
      <c r="M30" s="103"/>
      <c r="N30" s="96" t="str">
        <f ca="1">IF(PRINTERS[[#This Row],[ID]] &lt;&gt; "", IF(A30 = "000", A30 &amp; " | None", A30 &amp; " | " &amp; B30 &amp; " | " &amp; C30), "")</f>
        <v/>
      </c>
    </row>
    <row r="31" spans="1:14" ht="22.5" customHeight="1">
      <c r="A31" s="111" t="str">
        <f ca="1">IF(PRINTERS[[#This Row],[PRODUCT]] &lt;&gt; "", IF(ROW() = 2, "000", TEXT(INDIRECT("A" &amp; ROW() - 1) + 1, "000")), "")</f>
        <v/>
      </c>
      <c r="B31" s="17"/>
      <c r="C31" s="102"/>
      <c r="D31" s="48"/>
      <c r="E31" s="49"/>
      <c r="F31" s="49"/>
      <c r="G31" s="49"/>
      <c r="H31" s="49"/>
      <c r="I31" s="100">
        <f>H31 * salesTaxPct</f>
        <v>0</v>
      </c>
      <c r="J31" s="49"/>
      <c r="K31" s="24"/>
      <c r="L31" s="100">
        <f t="shared" si="0"/>
        <v>0</v>
      </c>
      <c r="M31" s="103"/>
      <c r="N31" s="96" t="str">
        <f ca="1">IF(PRINTERS[[#This Row],[ID]] &lt;&gt; "", IF(A31 = "000", A31 &amp; " | None", A31 &amp; " | " &amp; B31 &amp; " | " &amp; C31), "")</f>
        <v/>
      </c>
    </row>
    <row r="32" spans="1:14" ht="22.5" customHeight="1">
      <c r="A32" s="111" t="str">
        <f ca="1">IF(PRINTERS[[#This Row],[PRODUCT]] &lt;&gt; "", IF(ROW() = 2, "000", TEXT(INDIRECT("A" &amp; ROW() - 1) + 1, "000")), "")</f>
        <v/>
      </c>
      <c r="B32" s="17"/>
      <c r="C32" s="102"/>
      <c r="D32" s="48"/>
      <c r="E32" s="49"/>
      <c r="F32" s="49"/>
      <c r="G32" s="49"/>
      <c r="H32" s="49"/>
      <c r="I32" s="100">
        <f>H32 * salesTaxPct</f>
        <v>0</v>
      </c>
      <c r="J32" s="49"/>
      <c r="K32" s="24"/>
      <c r="L32" s="100">
        <f t="shared" si="0"/>
        <v>0</v>
      </c>
      <c r="M32" s="103"/>
      <c r="N32" s="96" t="str">
        <f ca="1">IF(PRINTERS[[#This Row],[ID]] &lt;&gt; "", IF(A32 = "000", A32 &amp; " | None", A32 &amp; " | " &amp; B32 &amp; " | " &amp; C32), "")</f>
        <v/>
      </c>
    </row>
    <row r="33" spans="1:14" ht="22.5" customHeight="1">
      <c r="A33" s="111" t="str">
        <f ca="1">IF(PRINTERS[[#This Row],[PRODUCT]] &lt;&gt; "", IF(ROW() = 2, "000", TEXT(INDIRECT("A" &amp; ROW() - 1) + 1, "000")), "")</f>
        <v/>
      </c>
      <c r="B33" s="17"/>
      <c r="C33" s="102"/>
      <c r="D33" s="48"/>
      <c r="E33" s="49"/>
      <c r="F33" s="49"/>
      <c r="G33" s="49"/>
      <c r="H33" s="49"/>
      <c r="I33" s="100">
        <f>H33 * salesTaxPct</f>
        <v>0</v>
      </c>
      <c r="J33" s="49"/>
      <c r="K33" s="24"/>
      <c r="L33" s="100">
        <f t="shared" si="0"/>
        <v>0</v>
      </c>
      <c r="M33" s="103"/>
      <c r="N33" s="96" t="str">
        <f ca="1">IF(PRINTERS[[#This Row],[ID]] &lt;&gt; "", IF(A33 = "000", A33 &amp; " | None", A33 &amp; " | " &amp; B33 &amp; " | " &amp; C33), "")</f>
        <v/>
      </c>
    </row>
    <row r="34" spans="1:14" ht="22.5" customHeight="1">
      <c r="A34" s="111" t="str">
        <f ca="1">IF(PRINTERS[[#This Row],[PRODUCT]] &lt;&gt; "", IF(ROW() = 2, "000", TEXT(INDIRECT("A" &amp; ROW() - 1) + 1, "000")), "")</f>
        <v/>
      </c>
      <c r="B34" s="17"/>
      <c r="C34" s="102"/>
      <c r="D34" s="48"/>
      <c r="E34" s="49"/>
      <c r="F34" s="49"/>
      <c r="G34" s="49"/>
      <c r="H34" s="49"/>
      <c r="I34" s="100">
        <f>H34 * salesTaxPct</f>
        <v>0</v>
      </c>
      <c r="J34" s="49"/>
      <c r="K34" s="24"/>
      <c r="L34" s="100">
        <f t="shared" si="0"/>
        <v>0</v>
      </c>
      <c r="M34" s="103"/>
      <c r="N34" s="96" t="str">
        <f ca="1">IF(PRINTERS[[#This Row],[ID]] &lt;&gt; "", IF(A34 = "000", A34 &amp; " | None", A34 &amp; " | " &amp; B34 &amp; " | " &amp; C34), "")</f>
        <v/>
      </c>
    </row>
    <row r="35" spans="1:14" ht="22.5" customHeight="1">
      <c r="A35" s="111" t="str">
        <f ca="1">IF(PRINTERS[[#This Row],[PRODUCT]] &lt;&gt; "", IF(ROW() = 2, "000", TEXT(INDIRECT("A" &amp; ROW() - 1) + 1, "000")), "")</f>
        <v/>
      </c>
      <c r="B35" s="17"/>
      <c r="C35" s="102"/>
      <c r="D35" s="48"/>
      <c r="E35" s="49"/>
      <c r="F35" s="49"/>
      <c r="G35" s="49"/>
      <c r="H35" s="49"/>
      <c r="I35" s="100">
        <f>H35 * salesTaxPct</f>
        <v>0</v>
      </c>
      <c r="J35" s="49"/>
      <c r="K35" s="24"/>
      <c r="L35" s="100">
        <f t="shared" si="0"/>
        <v>0</v>
      </c>
      <c r="M35" s="103"/>
      <c r="N35" s="96" t="str">
        <f ca="1">IF(PRINTERS[[#This Row],[ID]] &lt;&gt; "", IF(A35 = "000", A35 &amp; " | None", A35 &amp; " | " &amp; B35 &amp; " | " &amp; C35), "")</f>
        <v/>
      </c>
    </row>
    <row r="36" spans="1:14" ht="22.5" customHeight="1">
      <c r="A36" s="111" t="str">
        <f ca="1">IF(PRINTERS[[#This Row],[PRODUCT]] &lt;&gt; "", IF(ROW() = 2, "000", TEXT(INDIRECT("A" &amp; ROW() - 1) + 1, "000")), "")</f>
        <v/>
      </c>
      <c r="B36" s="17"/>
      <c r="C36" s="102"/>
      <c r="D36" s="48"/>
      <c r="E36" s="49"/>
      <c r="F36" s="49"/>
      <c r="G36" s="49"/>
      <c r="H36" s="49"/>
      <c r="I36" s="100">
        <f>H36 * salesTaxPct</f>
        <v>0</v>
      </c>
      <c r="J36" s="49"/>
      <c r="K36" s="24"/>
      <c r="L36" s="100">
        <f t="shared" si="0"/>
        <v>0</v>
      </c>
      <c r="M36" s="103"/>
      <c r="N36" s="96" t="str">
        <f ca="1">IF(PRINTERS[[#This Row],[ID]] &lt;&gt; "", IF(A36 = "000", A36 &amp; " | None", A36 &amp; " | " &amp; B36 &amp; " | " &amp; C36), "")</f>
        <v/>
      </c>
    </row>
    <row r="37" spans="1:14" ht="22.5" customHeight="1">
      <c r="A37" s="111" t="str">
        <f ca="1">IF(PRINTERS[[#This Row],[PRODUCT]] &lt;&gt; "", IF(ROW() = 2, "000", TEXT(INDIRECT("A" &amp; ROW() - 1) + 1, "000")), "")</f>
        <v/>
      </c>
      <c r="B37" s="17"/>
      <c r="C37" s="102"/>
      <c r="D37" s="48"/>
      <c r="E37" s="49"/>
      <c r="F37" s="49"/>
      <c r="G37" s="49"/>
      <c r="H37" s="49"/>
      <c r="I37" s="100">
        <f>H37 * salesTaxPct</f>
        <v>0</v>
      </c>
      <c r="J37" s="49"/>
      <c r="K37" s="24"/>
      <c r="L37" s="100">
        <f t="shared" si="0"/>
        <v>0</v>
      </c>
      <c r="M37" s="103"/>
      <c r="N37" s="96" t="str">
        <f ca="1">IF(PRINTERS[[#This Row],[ID]] &lt;&gt; "", IF(A37 = "000", A37 &amp; " | None", A37 &amp; " | " &amp; B37 &amp; " | " &amp; C37), "")</f>
        <v/>
      </c>
    </row>
    <row r="38" spans="1:14" ht="22.5" customHeight="1">
      <c r="A38" s="111" t="str">
        <f ca="1">IF(PRINTERS[[#This Row],[PRODUCT]] &lt;&gt; "", IF(ROW() = 2, "000", TEXT(INDIRECT("A" &amp; ROW() - 1) + 1, "000")), "")</f>
        <v/>
      </c>
      <c r="B38" s="17"/>
      <c r="C38" s="102"/>
      <c r="D38" s="48"/>
      <c r="E38" s="49"/>
      <c r="F38" s="49"/>
      <c r="G38" s="49"/>
      <c r="H38" s="49"/>
      <c r="I38" s="100">
        <f>H38 * salesTaxPct</f>
        <v>0</v>
      </c>
      <c r="J38" s="49"/>
      <c r="K38" s="24"/>
      <c r="L38" s="100">
        <f t="shared" si="0"/>
        <v>0</v>
      </c>
      <c r="M38" s="103"/>
      <c r="N38" s="96" t="str">
        <f ca="1">IF(PRINTERS[[#This Row],[ID]] &lt;&gt; "", IF(A38 = "000", A38 &amp; " | None", A38 &amp; " | " &amp; B38 &amp; " | " &amp; C38), "")</f>
        <v/>
      </c>
    </row>
    <row r="39" spans="1:14" ht="22.5" customHeight="1">
      <c r="A39" s="111" t="str">
        <f ca="1">IF(PRINTERS[[#This Row],[PRODUCT]] &lt;&gt; "", IF(ROW() = 2, "000", TEXT(INDIRECT("A" &amp; ROW() - 1) + 1, "000")), "")</f>
        <v/>
      </c>
      <c r="B39" s="17"/>
      <c r="C39" s="102"/>
      <c r="D39" s="48"/>
      <c r="E39" s="49"/>
      <c r="F39" s="49"/>
      <c r="G39" s="49"/>
      <c r="H39" s="49"/>
      <c r="I39" s="100">
        <f>H39 * salesTaxPct</f>
        <v>0</v>
      </c>
      <c r="J39" s="49"/>
      <c r="K39" s="24"/>
      <c r="L39" s="100">
        <f t="shared" si="0"/>
        <v>0</v>
      </c>
      <c r="M39" s="103"/>
      <c r="N39" s="96" t="str">
        <f ca="1">IF(PRINTERS[[#This Row],[ID]] &lt;&gt; "", IF(A39 = "000", A39 &amp; " | None", A39 &amp; " | " &amp; B39 &amp; " | " &amp; C39), "")</f>
        <v/>
      </c>
    </row>
    <row r="40" spans="1:14" ht="22.5" customHeight="1">
      <c r="A40" s="111" t="str">
        <f ca="1">IF(PRINTERS[[#This Row],[PRODUCT]] &lt;&gt; "", IF(ROW() = 2, "000", TEXT(INDIRECT("A" &amp; ROW() - 1) + 1, "000")), "")</f>
        <v/>
      </c>
      <c r="B40" s="17"/>
      <c r="C40" s="102"/>
      <c r="D40" s="48"/>
      <c r="E40" s="49"/>
      <c r="F40" s="49"/>
      <c r="G40" s="49"/>
      <c r="H40" s="49"/>
      <c r="I40" s="100">
        <f>H40 * salesTaxPct</f>
        <v>0</v>
      </c>
      <c r="J40" s="49"/>
      <c r="K40" s="24"/>
      <c r="L40" s="100">
        <f t="shared" si="0"/>
        <v>0</v>
      </c>
      <c r="M40" s="103"/>
      <c r="N40" s="96" t="str">
        <f ca="1">IF(PRINTERS[[#This Row],[ID]] &lt;&gt; "", IF(A40 = "000", A40 &amp; " | None", A40 &amp; " | " &amp; B40 &amp; " | " &amp; C40), "")</f>
        <v/>
      </c>
    </row>
    <row r="41" spans="1:14" ht="22.5" customHeight="1">
      <c r="A41" s="111" t="str">
        <f ca="1">IF(PRINTERS[[#This Row],[PRODUCT]] &lt;&gt; "", IF(ROW() = 2, "000", TEXT(INDIRECT("A" &amp; ROW() - 1) + 1, "000")), "")</f>
        <v/>
      </c>
      <c r="B41" s="17"/>
      <c r="C41" s="102"/>
      <c r="D41" s="48"/>
      <c r="E41" s="49"/>
      <c r="F41" s="49"/>
      <c r="G41" s="49"/>
      <c r="H41" s="49"/>
      <c r="I41" s="100">
        <f>H41 * salesTaxPct</f>
        <v>0</v>
      </c>
      <c r="J41" s="49"/>
      <c r="K41" s="24"/>
      <c r="L41" s="100">
        <f t="shared" si="0"/>
        <v>0</v>
      </c>
      <c r="M41" s="103"/>
      <c r="N41" s="96" t="str">
        <f ca="1">IF(PRINTERS[[#This Row],[ID]] &lt;&gt; "", IF(A41 = "000", A41 &amp; " | None", A41 &amp; " | " &amp; B41 &amp; " | " &amp; C41), "")</f>
        <v/>
      </c>
    </row>
    <row r="42" spans="1:14" ht="22.5" customHeight="1">
      <c r="A42" s="111" t="str">
        <f ca="1">IF(PRINTERS[[#This Row],[PRODUCT]] &lt;&gt; "", IF(ROW() = 2, "000", TEXT(INDIRECT("A" &amp; ROW() - 1) + 1, "000")), "")</f>
        <v/>
      </c>
      <c r="B42" s="17"/>
      <c r="C42" s="102"/>
      <c r="D42" s="48"/>
      <c r="E42" s="49"/>
      <c r="F42" s="49"/>
      <c r="G42" s="49"/>
      <c r="H42" s="49"/>
      <c r="I42" s="100">
        <f>H42 * salesTaxPct</f>
        <v>0</v>
      </c>
      <c r="J42" s="49"/>
      <c r="K42" s="24"/>
      <c r="L42" s="100">
        <f t="shared" si="0"/>
        <v>0</v>
      </c>
      <c r="M42" s="103"/>
      <c r="N42" s="96" t="str">
        <f ca="1">IF(PRINTERS[[#This Row],[ID]] &lt;&gt; "", IF(A42 = "000", A42 &amp; " | None", A42 &amp; " | " &amp; B42 &amp; " | " &amp; C42), "")</f>
        <v/>
      </c>
    </row>
    <row r="43" spans="1:14" ht="22.5" customHeight="1">
      <c r="A43" s="111" t="str">
        <f ca="1">IF(PRINTERS[[#This Row],[PRODUCT]] &lt;&gt; "", IF(ROW() = 2, "000", TEXT(INDIRECT("A" &amp; ROW() - 1) + 1, "000")), "")</f>
        <v/>
      </c>
      <c r="B43" s="17"/>
      <c r="C43" s="102"/>
      <c r="D43" s="48"/>
      <c r="E43" s="49"/>
      <c r="F43" s="49"/>
      <c r="G43" s="49"/>
      <c r="H43" s="49"/>
      <c r="I43" s="100">
        <f>H43 * salesTaxPct</f>
        <v>0</v>
      </c>
      <c r="J43" s="49"/>
      <c r="K43" s="24"/>
      <c r="L43" s="100">
        <f t="shared" si="0"/>
        <v>0</v>
      </c>
      <c r="M43" s="103"/>
      <c r="N43" s="96" t="str">
        <f ca="1">IF(PRINTERS[[#This Row],[ID]] &lt;&gt; "", IF(A43 = "000", A43 &amp; " | None", A43 &amp; " | " &amp; B43 &amp; " | " &amp; C43), "")</f>
        <v/>
      </c>
    </row>
    <row r="44" spans="1:14" ht="22.5" customHeight="1">
      <c r="A44" s="111" t="str">
        <f ca="1">IF(PRINTERS[[#This Row],[PRODUCT]] &lt;&gt; "", IF(ROW() = 2, "000", TEXT(INDIRECT("A" &amp; ROW() - 1) + 1, "000")), "")</f>
        <v/>
      </c>
      <c r="B44" s="17"/>
      <c r="C44" s="102"/>
      <c r="D44" s="48"/>
      <c r="E44" s="49"/>
      <c r="F44" s="49"/>
      <c r="G44" s="49"/>
      <c r="H44" s="49"/>
      <c r="I44" s="100">
        <f>H44 * salesTaxPct</f>
        <v>0</v>
      </c>
      <c r="J44" s="49"/>
      <c r="K44" s="24"/>
      <c r="L44" s="100">
        <f t="shared" si="0"/>
        <v>0</v>
      </c>
      <c r="M44" s="103"/>
      <c r="N44" s="96" t="str">
        <f ca="1">IF(PRINTERS[[#This Row],[ID]] &lt;&gt; "", IF(A44 = "000", A44 &amp; " | None", A44 &amp; " | " &amp; B44 &amp; " | " &amp; C44), "")</f>
        <v/>
      </c>
    </row>
    <row r="45" spans="1:14" ht="22.5" customHeight="1">
      <c r="A45" s="111" t="str">
        <f ca="1">IF(PRINTERS[[#This Row],[PRODUCT]] &lt;&gt; "", IF(ROW() = 2, "000", TEXT(INDIRECT("A" &amp; ROW() - 1) + 1, "000")), "")</f>
        <v/>
      </c>
      <c r="B45" s="17"/>
      <c r="C45" s="102"/>
      <c r="D45" s="48"/>
      <c r="E45" s="49"/>
      <c r="F45" s="49"/>
      <c r="G45" s="49"/>
      <c r="H45" s="49"/>
      <c r="I45" s="100">
        <f>H45 * salesTaxPct</f>
        <v>0</v>
      </c>
      <c r="J45" s="49"/>
      <c r="K45" s="24"/>
      <c r="L45" s="100">
        <f t="shared" si="0"/>
        <v>0</v>
      </c>
      <c r="M45" s="103"/>
      <c r="N45" s="96" t="str">
        <f ca="1">IF(PRINTERS[[#This Row],[ID]] &lt;&gt; "", IF(A45 = "000", A45 &amp; " | None", A45 &amp; " | " &amp; B45 &amp; " | " &amp; C45), "")</f>
        <v/>
      </c>
    </row>
    <row r="46" spans="1:14" ht="22.5" customHeight="1">
      <c r="A46" s="111" t="str">
        <f ca="1">IF(PRINTERS[[#This Row],[PRODUCT]] &lt;&gt; "", IF(ROW() = 2, "000", TEXT(INDIRECT("A" &amp; ROW() - 1) + 1, "000")), "")</f>
        <v/>
      </c>
      <c r="B46" s="17"/>
      <c r="C46" s="102"/>
      <c r="D46" s="48"/>
      <c r="E46" s="49"/>
      <c r="F46" s="49"/>
      <c r="G46" s="49"/>
      <c r="H46" s="49"/>
      <c r="I46" s="100">
        <f>H46 * salesTaxPct</f>
        <v>0</v>
      </c>
      <c r="J46" s="49"/>
      <c r="K46" s="24"/>
      <c r="L46" s="100">
        <f t="shared" si="0"/>
        <v>0</v>
      </c>
      <c r="M46" s="103"/>
      <c r="N46" s="96" t="str">
        <f ca="1">IF(PRINTERS[[#This Row],[ID]] &lt;&gt; "", IF(A46 = "000", A46 &amp; " | None", A46 &amp; " | " &amp; B46 &amp; " | " &amp; C46), "")</f>
        <v/>
      </c>
    </row>
    <row r="47" spans="1:14" ht="22.5" customHeight="1">
      <c r="A47" s="111" t="str">
        <f ca="1">IF(PRINTERS[[#This Row],[PRODUCT]] &lt;&gt; "", IF(ROW() = 2, "000", TEXT(INDIRECT("A" &amp; ROW() - 1) + 1, "000")), "")</f>
        <v/>
      </c>
      <c r="B47" s="17"/>
      <c r="C47" s="102"/>
      <c r="D47" s="48"/>
      <c r="E47" s="49"/>
      <c r="F47" s="49"/>
      <c r="G47" s="49"/>
      <c r="H47" s="49"/>
      <c r="I47" s="100">
        <f>H47 * salesTaxPct</f>
        <v>0</v>
      </c>
      <c r="J47" s="49"/>
      <c r="K47" s="24"/>
      <c r="L47" s="100">
        <f t="shared" si="0"/>
        <v>0</v>
      </c>
      <c r="M47" s="103"/>
      <c r="N47" s="96" t="str">
        <f ca="1">IF(PRINTERS[[#This Row],[ID]] &lt;&gt; "", IF(A47 = "000", A47 &amp; " | None", A47 &amp; " | " &amp; B47 &amp; " | " &amp; C47), "")</f>
        <v/>
      </c>
    </row>
    <row r="48" spans="1:14" ht="22.5" customHeight="1">
      <c r="A48" s="111" t="str">
        <f ca="1">IF(PRINTERS[[#This Row],[PRODUCT]] &lt;&gt; "", IF(ROW() = 2, "000", TEXT(INDIRECT("A" &amp; ROW() - 1) + 1, "000")), "")</f>
        <v/>
      </c>
      <c r="B48" s="17"/>
      <c r="C48" s="102"/>
      <c r="D48" s="48"/>
      <c r="E48" s="49"/>
      <c r="F48" s="49"/>
      <c r="G48" s="49"/>
      <c r="H48" s="49"/>
      <c r="I48" s="100">
        <f>H48 * salesTaxPct</f>
        <v>0</v>
      </c>
      <c r="J48" s="49"/>
      <c r="K48" s="24"/>
      <c r="L48" s="100">
        <f t="shared" si="0"/>
        <v>0</v>
      </c>
      <c r="M48" s="103"/>
      <c r="N48" s="96" t="str">
        <f ca="1">IF(PRINTERS[[#This Row],[ID]] &lt;&gt; "", IF(A48 = "000", A48 &amp; " | None", A48 &amp; " | " &amp; B48 &amp; " | " &amp; C48), "")</f>
        <v/>
      </c>
    </row>
    <row r="49" spans="1:14" ht="22.5" customHeight="1">
      <c r="A49" s="111" t="str">
        <f ca="1">IF(PRINTERS[[#This Row],[PRODUCT]] &lt;&gt; "", IF(ROW() = 2, "000", TEXT(INDIRECT("A" &amp; ROW() - 1) + 1, "000")), "")</f>
        <v/>
      </c>
      <c r="B49" s="17"/>
      <c r="C49" s="102"/>
      <c r="D49" s="48"/>
      <c r="E49" s="49"/>
      <c r="F49" s="49"/>
      <c r="G49" s="49"/>
      <c r="H49" s="49"/>
      <c r="I49" s="100">
        <f>H49 * salesTaxPct</f>
        <v>0</v>
      </c>
      <c r="J49" s="49"/>
      <c r="K49" s="24"/>
      <c r="L49" s="100">
        <f t="shared" si="0"/>
        <v>0</v>
      </c>
      <c r="M49" s="103"/>
      <c r="N49" s="96" t="str">
        <f ca="1">IF(PRINTERS[[#This Row],[ID]] &lt;&gt; "", IF(A49 = "000", A49 &amp; " | None", A49 &amp; " | " &amp; B49 &amp; " | " &amp; C49), "")</f>
        <v/>
      </c>
    </row>
    <row r="50" spans="1:14" ht="22.5" customHeight="1">
      <c r="A50" s="111" t="str">
        <f ca="1">IF(PRINTERS[[#This Row],[PRODUCT]] &lt;&gt; "", IF(ROW() = 2, "000", TEXT(INDIRECT("A" &amp; ROW() - 1) + 1, "000")), "")</f>
        <v/>
      </c>
      <c r="B50" s="17"/>
      <c r="C50" s="102"/>
      <c r="D50" s="48"/>
      <c r="E50" s="49"/>
      <c r="F50" s="49"/>
      <c r="G50" s="49"/>
      <c r="H50" s="49"/>
      <c r="I50" s="100">
        <f>H50 * salesTaxPct</f>
        <v>0</v>
      </c>
      <c r="J50" s="49"/>
      <c r="K50" s="24"/>
      <c r="L50" s="100">
        <f t="shared" si="0"/>
        <v>0</v>
      </c>
      <c r="M50" s="103"/>
      <c r="N50" s="96" t="str">
        <f ca="1">IF(PRINTERS[[#This Row],[ID]] &lt;&gt; "", IF(A50 = "000", A50 &amp; " | None", A50 &amp; " | " &amp; B50 &amp; " | " &amp; C50), "")</f>
        <v/>
      </c>
    </row>
    <row r="51" spans="1:14" ht="22.5" customHeight="1">
      <c r="A51" s="111" t="str">
        <f ca="1">IF(PRINTERS[[#This Row],[PRODUCT]] &lt;&gt; "", IF(ROW() = 2, "000", TEXT(INDIRECT("A" &amp; ROW() - 1) + 1, "000")), "")</f>
        <v/>
      </c>
      <c r="B51" s="17"/>
      <c r="C51" s="102"/>
      <c r="D51" s="48"/>
      <c r="E51" s="49"/>
      <c r="F51" s="49"/>
      <c r="G51" s="49"/>
      <c r="H51" s="49"/>
      <c r="I51" s="100">
        <f>H51 * salesTaxPct</f>
        <v>0</v>
      </c>
      <c r="J51" s="49"/>
      <c r="K51" s="24"/>
      <c r="L51" s="100">
        <f t="shared" si="0"/>
        <v>0</v>
      </c>
      <c r="M51" s="103"/>
      <c r="N51" s="96" t="str">
        <f ca="1">IF(PRINTERS[[#This Row],[ID]] &lt;&gt; "", IF(A51 = "000", A51 &amp; " | None", A51 &amp; " | " &amp; B51 &amp; " | " &amp; C51), "")</f>
        <v/>
      </c>
    </row>
    <row r="52" spans="1:14" ht="22.5" customHeight="1">
      <c r="A52" s="111" t="str">
        <f ca="1">IF(PRINTERS[[#This Row],[PRODUCT]] &lt;&gt; "", IF(ROW() = 2, "000", TEXT(INDIRECT("A" &amp; ROW() - 1) + 1, "000")), "")</f>
        <v/>
      </c>
      <c r="B52" s="17"/>
      <c r="C52" s="102"/>
      <c r="D52" s="48"/>
      <c r="E52" s="49"/>
      <c r="F52" s="49"/>
      <c r="G52" s="49"/>
      <c r="H52" s="49"/>
      <c r="I52" s="100">
        <f>H52 * salesTaxPct</f>
        <v>0</v>
      </c>
      <c r="J52" s="49"/>
      <c r="K52" s="24"/>
      <c r="L52" s="100">
        <f t="shared" si="0"/>
        <v>0</v>
      </c>
      <c r="M52" s="103"/>
      <c r="N52" s="96" t="str">
        <f ca="1">IF(PRINTERS[[#This Row],[ID]] &lt;&gt; "", IF(A52 = "000", A52 &amp; " | None", A52 &amp; " | " &amp; B52 &amp; " | " &amp; C52), "")</f>
        <v/>
      </c>
    </row>
    <row r="53" spans="1:14" ht="22.5" customHeight="1">
      <c r="A53" s="111" t="str">
        <f ca="1">IF(PRINTERS[[#This Row],[PRODUCT]] &lt;&gt; "", IF(ROW() = 2, "000", TEXT(INDIRECT("A" &amp; ROW() - 1) + 1, "000")), "")</f>
        <v/>
      </c>
      <c r="B53" s="17"/>
      <c r="C53" s="102"/>
      <c r="D53" s="48"/>
      <c r="E53" s="49"/>
      <c r="F53" s="49"/>
      <c r="G53" s="49"/>
      <c r="H53" s="49"/>
      <c r="I53" s="100">
        <f>H53 * salesTaxPct</f>
        <v>0</v>
      </c>
      <c r="J53" s="49"/>
      <c r="K53" s="24"/>
      <c r="L53" s="100">
        <f t="shared" si="0"/>
        <v>0</v>
      </c>
      <c r="M53" s="103"/>
      <c r="N53" s="96" t="str">
        <f ca="1">IF(PRINTERS[[#This Row],[ID]] &lt;&gt; "", IF(A53 = "000", A53 &amp; " | None", A53 &amp; " | " &amp; B53 &amp; " | " &amp; C53), "")</f>
        <v/>
      </c>
    </row>
    <row r="54" spans="1:14" ht="22.5" customHeight="1">
      <c r="A54" s="111" t="str">
        <f ca="1">IF(PRINTERS[[#This Row],[PRODUCT]] &lt;&gt; "", IF(ROW() = 2, "000", TEXT(INDIRECT("A" &amp; ROW() - 1) + 1, "000")), "")</f>
        <v/>
      </c>
      <c r="B54" s="17"/>
      <c r="C54" s="102"/>
      <c r="D54" s="48"/>
      <c r="E54" s="49"/>
      <c r="F54" s="49"/>
      <c r="G54" s="49"/>
      <c r="H54" s="49"/>
      <c r="I54" s="100">
        <f>H54 * salesTaxPct</f>
        <v>0</v>
      </c>
      <c r="J54" s="49"/>
      <c r="K54" s="24"/>
      <c r="L54" s="100">
        <f t="shared" si="0"/>
        <v>0</v>
      </c>
      <c r="M54" s="103"/>
      <c r="N54" s="96" t="str">
        <f ca="1">IF(PRINTERS[[#This Row],[ID]] &lt;&gt; "", IF(A54 = "000", A54 &amp; " | None", A54 &amp; " | " &amp; B54 &amp; " | " &amp; C54), "")</f>
        <v/>
      </c>
    </row>
    <row r="55" spans="1:14" ht="22.5" customHeight="1">
      <c r="A55" s="111" t="str">
        <f ca="1">IF(PRINTERS[[#This Row],[PRODUCT]] &lt;&gt; "", IF(ROW() = 2, "000", TEXT(INDIRECT("A" &amp; ROW() - 1) + 1, "000")), "")</f>
        <v/>
      </c>
      <c r="B55" s="17"/>
      <c r="C55" s="102"/>
      <c r="D55" s="48"/>
      <c r="E55" s="49"/>
      <c r="F55" s="49"/>
      <c r="G55" s="49"/>
      <c r="H55" s="49"/>
      <c r="I55" s="100">
        <f>H55 * salesTaxPct</f>
        <v>0</v>
      </c>
      <c r="J55" s="49"/>
      <c r="K55" s="24"/>
      <c r="L55" s="100">
        <f t="shared" si="0"/>
        <v>0</v>
      </c>
      <c r="M55" s="103"/>
      <c r="N55" s="96" t="str">
        <f ca="1">IF(PRINTERS[[#This Row],[ID]] &lt;&gt; "", IF(A55 = "000", A55 &amp; " | None", A55 &amp; " | " &amp; B55 &amp; " | " &amp; C55), "")</f>
        <v/>
      </c>
    </row>
    <row r="56" spans="1:14" ht="22.5" customHeight="1">
      <c r="A56" s="111" t="str">
        <f ca="1">IF(PRINTERS[[#This Row],[PRODUCT]] &lt;&gt; "", IF(ROW() = 2, "000", TEXT(INDIRECT("A" &amp; ROW() - 1) + 1, "000")), "")</f>
        <v/>
      </c>
      <c r="B56" s="17"/>
      <c r="C56" s="102"/>
      <c r="D56" s="48"/>
      <c r="E56" s="49"/>
      <c r="F56" s="49"/>
      <c r="G56" s="49"/>
      <c r="H56" s="49"/>
      <c r="I56" s="100">
        <f>H56 * salesTaxPct</f>
        <v>0</v>
      </c>
      <c r="J56" s="49"/>
      <c r="K56" s="24"/>
      <c r="L56" s="100">
        <f t="shared" si="0"/>
        <v>0</v>
      </c>
      <c r="M56" s="103"/>
      <c r="N56" s="96" t="str">
        <f ca="1">IF(PRINTERS[[#This Row],[ID]] &lt;&gt; "", IF(A56 = "000", A56 &amp; " | None", A56 &amp; " | " &amp; B56 &amp; " | " &amp; C56), "")</f>
        <v/>
      </c>
    </row>
    <row r="57" spans="1:14" ht="22.5" customHeight="1">
      <c r="A57" s="111" t="str">
        <f ca="1">IF(PRINTERS[[#This Row],[PRODUCT]] &lt;&gt; "", IF(ROW() = 2, "000", TEXT(INDIRECT("A" &amp; ROW() - 1) + 1, "000")), "")</f>
        <v/>
      </c>
      <c r="B57" s="17"/>
      <c r="C57" s="102"/>
      <c r="D57" s="48"/>
      <c r="E57" s="49"/>
      <c r="F57" s="49"/>
      <c r="G57" s="49"/>
      <c r="H57" s="49"/>
      <c r="I57" s="100">
        <f>H57 * salesTaxPct</f>
        <v>0</v>
      </c>
      <c r="J57" s="49"/>
      <c r="K57" s="24"/>
      <c r="L57" s="100">
        <f t="shared" si="0"/>
        <v>0</v>
      </c>
      <c r="M57" s="103"/>
      <c r="N57" s="96" t="str">
        <f ca="1">IF(PRINTERS[[#This Row],[ID]] &lt;&gt; "", IF(A57 = "000", A57 &amp; " | None", A57 &amp; " | " &amp; B57 &amp; " | " &amp; C57), "")</f>
        <v/>
      </c>
    </row>
    <row r="58" spans="1:14" ht="22.5" customHeight="1">
      <c r="A58" s="111" t="str">
        <f ca="1">IF(PRINTERS[[#This Row],[PRODUCT]] &lt;&gt; "", IF(ROW() = 2, "000", TEXT(INDIRECT("A" &amp; ROW() - 1) + 1, "000")), "")</f>
        <v/>
      </c>
      <c r="B58" s="17"/>
      <c r="C58" s="102"/>
      <c r="D58" s="48"/>
      <c r="E58" s="49"/>
      <c r="F58" s="49"/>
      <c r="G58" s="49"/>
      <c r="H58" s="49"/>
      <c r="I58" s="100">
        <f>H58 * salesTaxPct</f>
        <v>0</v>
      </c>
      <c r="J58" s="49"/>
      <c r="K58" s="24"/>
      <c r="L58" s="100">
        <f t="shared" si="0"/>
        <v>0</v>
      </c>
      <c r="M58" s="103"/>
      <c r="N58" s="96" t="str">
        <f ca="1">IF(PRINTERS[[#This Row],[ID]] &lt;&gt; "", IF(A58 = "000", A58 &amp; " | None", A58 &amp; " | " &amp; B58 &amp; " | " &amp; C58), "")</f>
        <v/>
      </c>
    </row>
    <row r="59" spans="1:14" ht="22.5" customHeight="1">
      <c r="A59" s="111" t="str">
        <f ca="1">IF(PRINTERS[[#This Row],[PRODUCT]] &lt;&gt; "", IF(ROW() = 2, "000", TEXT(INDIRECT("A" &amp; ROW() - 1) + 1, "000")), "")</f>
        <v/>
      </c>
      <c r="B59" s="17"/>
      <c r="C59" s="102"/>
      <c r="D59" s="48"/>
      <c r="E59" s="49"/>
      <c r="F59" s="49"/>
      <c r="G59" s="49"/>
      <c r="H59" s="49"/>
      <c r="I59" s="100">
        <f>H59 * salesTaxPct</f>
        <v>0</v>
      </c>
      <c r="J59" s="49"/>
      <c r="K59" s="24"/>
      <c r="L59" s="100">
        <f t="shared" si="0"/>
        <v>0</v>
      </c>
      <c r="M59" s="103"/>
      <c r="N59" s="96" t="str">
        <f ca="1">IF(PRINTERS[[#This Row],[ID]] &lt;&gt; "", IF(A59 = "000", A59 &amp; " | None", A59 &amp; " | " &amp; B59 &amp; " | " &amp; C59), "")</f>
        <v/>
      </c>
    </row>
    <row r="60" spans="1:14" ht="22.5" customHeight="1">
      <c r="A60" s="111" t="str">
        <f ca="1">IF(PRINTERS[[#This Row],[PRODUCT]] &lt;&gt; "", IF(ROW() = 2, "000", TEXT(INDIRECT("A" &amp; ROW() - 1) + 1, "000")), "")</f>
        <v/>
      </c>
      <c r="B60" s="17"/>
      <c r="C60" s="102"/>
      <c r="D60" s="48"/>
      <c r="E60" s="49"/>
      <c r="F60" s="49"/>
      <c r="G60" s="49"/>
      <c r="H60" s="49"/>
      <c r="I60" s="100">
        <f>H60 * salesTaxPct</f>
        <v>0</v>
      </c>
      <c r="J60" s="49"/>
      <c r="K60" s="24"/>
      <c r="L60" s="100">
        <f t="shared" si="0"/>
        <v>0</v>
      </c>
      <c r="M60" s="103"/>
      <c r="N60" s="96" t="str">
        <f ca="1">IF(PRINTERS[[#This Row],[ID]] &lt;&gt; "", IF(A60 = "000", A60 &amp; " | None", A60 &amp; " | " &amp; B60 &amp; " | " &amp; C60), "")</f>
        <v/>
      </c>
    </row>
    <row r="61" spans="1:14" ht="22.5" customHeight="1">
      <c r="A61" s="111" t="str">
        <f ca="1">IF(PRINTERS[[#This Row],[PRODUCT]] &lt;&gt; "", IF(ROW() = 2, "000", TEXT(INDIRECT("A" &amp; ROW() - 1) + 1, "000")), "")</f>
        <v/>
      </c>
      <c r="B61" s="17"/>
      <c r="C61" s="102"/>
      <c r="D61" s="48"/>
      <c r="E61" s="49"/>
      <c r="F61" s="49"/>
      <c r="G61" s="49"/>
      <c r="H61" s="49"/>
      <c r="I61" s="100">
        <f>H61 * salesTaxPct</f>
        <v>0</v>
      </c>
      <c r="J61" s="49"/>
      <c r="K61" s="24"/>
      <c r="L61" s="100">
        <f t="shared" si="0"/>
        <v>0</v>
      </c>
      <c r="M61" s="103"/>
      <c r="N61" s="96" t="str">
        <f ca="1">IF(PRINTERS[[#This Row],[ID]] &lt;&gt; "", IF(A61 = "000", A61 &amp; " | None", A61 &amp; " | " &amp; B61 &amp; " | " &amp; C61), "")</f>
        <v/>
      </c>
    </row>
    <row r="62" spans="1:14" ht="22.5" customHeight="1">
      <c r="A62" s="111" t="str">
        <f ca="1">IF(PRINTERS[[#This Row],[PRODUCT]] &lt;&gt; "", IF(ROW() = 2, "000", TEXT(INDIRECT("A" &amp; ROW() - 1) + 1, "000")), "")</f>
        <v/>
      </c>
      <c r="B62" s="17"/>
      <c r="C62" s="102"/>
      <c r="D62" s="48"/>
      <c r="E62" s="49"/>
      <c r="F62" s="49"/>
      <c r="G62" s="49"/>
      <c r="H62" s="49"/>
      <c r="I62" s="100">
        <f>H62 * salesTaxPct</f>
        <v>0</v>
      </c>
      <c r="J62" s="49"/>
      <c r="K62" s="24"/>
      <c r="L62" s="100">
        <f t="shared" si="0"/>
        <v>0</v>
      </c>
      <c r="M62" s="103"/>
      <c r="N62" s="96" t="str">
        <f ca="1">IF(PRINTERS[[#This Row],[ID]] &lt;&gt; "", IF(A62 = "000", A62 &amp; " | None", A62 &amp; " | " &amp; B62 &amp; " | " &amp; C62), "")</f>
        <v/>
      </c>
    </row>
    <row r="63" spans="1:14" ht="22.5" customHeight="1">
      <c r="A63" s="111" t="str">
        <f ca="1">IF(PRINTERS[[#This Row],[PRODUCT]] &lt;&gt; "", IF(ROW() = 2, "000", TEXT(INDIRECT("A" &amp; ROW() - 1) + 1, "000")), "")</f>
        <v/>
      </c>
      <c r="B63" s="17"/>
      <c r="C63" s="102"/>
      <c r="D63" s="48"/>
      <c r="E63" s="49"/>
      <c r="F63" s="49"/>
      <c r="G63" s="49"/>
      <c r="H63" s="49"/>
      <c r="I63" s="100">
        <f>H63 * salesTaxPct</f>
        <v>0</v>
      </c>
      <c r="J63" s="49"/>
      <c r="K63" s="24"/>
      <c r="L63" s="100">
        <f t="shared" si="0"/>
        <v>0</v>
      </c>
      <c r="M63" s="103"/>
      <c r="N63" s="96" t="str">
        <f ca="1">IF(PRINTERS[[#This Row],[ID]] &lt;&gt; "", IF(A63 = "000", A63 &amp; " | None", A63 &amp; " | " &amp; B63 &amp; " | " &amp; C63), "")</f>
        <v/>
      </c>
    </row>
    <row r="64" spans="1:14" ht="22.5" customHeight="1">
      <c r="A64" s="111" t="str">
        <f ca="1">IF(PRINTERS[[#This Row],[PRODUCT]] &lt;&gt; "", IF(ROW() = 2, "000", TEXT(INDIRECT("A" &amp; ROW() - 1) + 1, "000")), "")</f>
        <v/>
      </c>
      <c r="B64" s="17"/>
      <c r="C64" s="102"/>
      <c r="D64" s="48"/>
      <c r="E64" s="49"/>
      <c r="F64" s="49"/>
      <c r="G64" s="49"/>
      <c r="H64" s="49"/>
      <c r="I64" s="100">
        <f>H64 * salesTaxPct</f>
        <v>0</v>
      </c>
      <c r="J64" s="49"/>
      <c r="K64" s="24"/>
      <c r="L64" s="100">
        <f t="shared" si="0"/>
        <v>0</v>
      </c>
      <c r="M64" s="103"/>
      <c r="N64" s="96" t="str">
        <f ca="1">IF(PRINTERS[[#This Row],[ID]] &lt;&gt; "", IF(A64 = "000", A64 &amp; " | None", A64 &amp; " | " &amp; B64 &amp; " | " &amp; C64), "")</f>
        <v/>
      </c>
    </row>
    <row r="65" spans="1:14" ht="22.5" customHeight="1">
      <c r="A65" s="111" t="str">
        <f ca="1">IF(PRINTERS[[#This Row],[PRODUCT]] &lt;&gt; "", IF(ROW() = 2, "000", TEXT(INDIRECT("A" &amp; ROW() - 1) + 1, "000")), "")</f>
        <v/>
      </c>
      <c r="B65" s="17"/>
      <c r="C65" s="102"/>
      <c r="D65" s="48"/>
      <c r="E65" s="49"/>
      <c r="F65" s="49"/>
      <c r="G65" s="49"/>
      <c r="H65" s="49"/>
      <c r="I65" s="100">
        <f>H65 * salesTaxPct</f>
        <v>0</v>
      </c>
      <c r="J65" s="49"/>
      <c r="K65" s="24"/>
      <c r="L65" s="100">
        <f t="shared" si="0"/>
        <v>0</v>
      </c>
      <c r="M65" s="103"/>
      <c r="N65" s="96" t="str">
        <f ca="1">IF(PRINTERS[[#This Row],[ID]] &lt;&gt; "", IF(A65 = "000", A65 &amp; " | None", A65 &amp; " | " &amp; B65 &amp; " | " &amp; C65), "")</f>
        <v/>
      </c>
    </row>
    <row r="66" spans="1:14" ht="22.5" customHeight="1">
      <c r="A66" s="111" t="str">
        <f ca="1">IF(PRINTERS[[#This Row],[PRODUCT]] &lt;&gt; "", IF(ROW() = 2, "000", TEXT(INDIRECT("A" &amp; ROW() - 1) + 1, "000")), "")</f>
        <v/>
      </c>
      <c r="B66" s="17"/>
      <c r="C66" s="102"/>
      <c r="D66" s="48"/>
      <c r="E66" s="49"/>
      <c r="F66" s="49"/>
      <c r="G66" s="49"/>
      <c r="H66" s="49"/>
      <c r="I66" s="100">
        <f>H66 * salesTaxPct</f>
        <v>0</v>
      </c>
      <c r="J66" s="49"/>
      <c r="K66" s="24"/>
      <c r="L66" s="100">
        <f t="shared" ref="L66:L129" si="1">H66 + I66 + J66 + K66</f>
        <v>0</v>
      </c>
      <c r="M66" s="103"/>
      <c r="N66" s="96" t="str">
        <f ca="1">IF(PRINTERS[[#This Row],[ID]] &lt;&gt; "", IF(A66 = "000", A66 &amp; " | None", A66 &amp; " | " &amp; B66 &amp; " | " &amp; C66), "")</f>
        <v/>
      </c>
    </row>
    <row r="67" spans="1:14" ht="22.5" customHeight="1">
      <c r="A67" s="111" t="str">
        <f ca="1">IF(PRINTERS[[#This Row],[PRODUCT]] &lt;&gt; "", IF(ROW() = 2, "000", TEXT(INDIRECT("A" &amp; ROW() - 1) + 1, "000")), "")</f>
        <v/>
      </c>
      <c r="B67" s="17"/>
      <c r="C67" s="102"/>
      <c r="D67" s="48"/>
      <c r="E67" s="49"/>
      <c r="F67" s="49"/>
      <c r="G67" s="49"/>
      <c r="H67" s="49"/>
      <c r="I67" s="100">
        <f>H67 * salesTaxPct</f>
        <v>0</v>
      </c>
      <c r="J67" s="49"/>
      <c r="K67" s="24"/>
      <c r="L67" s="100">
        <f t="shared" si="1"/>
        <v>0</v>
      </c>
      <c r="M67" s="103"/>
      <c r="N67" s="96" t="str">
        <f ca="1">IF(PRINTERS[[#This Row],[ID]] &lt;&gt; "", IF(A67 = "000", A67 &amp; " | None", A67 &amp; " | " &amp; B67 &amp; " | " &amp; C67), "")</f>
        <v/>
      </c>
    </row>
    <row r="68" spans="1:14" ht="22.5" customHeight="1">
      <c r="A68" s="111" t="str">
        <f ca="1">IF(PRINTERS[[#This Row],[PRODUCT]] &lt;&gt; "", IF(ROW() = 2, "000", TEXT(INDIRECT("A" &amp; ROW() - 1) + 1, "000")), "")</f>
        <v/>
      </c>
      <c r="B68" s="17"/>
      <c r="C68" s="102"/>
      <c r="D68" s="48"/>
      <c r="E68" s="49"/>
      <c r="F68" s="49"/>
      <c r="G68" s="49"/>
      <c r="H68" s="49"/>
      <c r="I68" s="100">
        <f>H68 * salesTaxPct</f>
        <v>0</v>
      </c>
      <c r="J68" s="49"/>
      <c r="K68" s="24"/>
      <c r="L68" s="100">
        <f t="shared" si="1"/>
        <v>0</v>
      </c>
      <c r="M68" s="103"/>
      <c r="N68" s="96" t="str">
        <f ca="1">IF(PRINTERS[[#This Row],[ID]] &lt;&gt; "", IF(A68 = "000", A68 &amp; " | None", A68 &amp; " | " &amp; B68 &amp; " | " &amp; C68), "")</f>
        <v/>
      </c>
    </row>
    <row r="69" spans="1:14" ht="22.5" customHeight="1">
      <c r="A69" s="111" t="str">
        <f ca="1">IF(PRINTERS[[#This Row],[PRODUCT]] &lt;&gt; "", IF(ROW() = 2, "000", TEXT(INDIRECT("A" &amp; ROW() - 1) + 1, "000")), "")</f>
        <v/>
      </c>
      <c r="B69" s="17"/>
      <c r="C69" s="102"/>
      <c r="D69" s="48"/>
      <c r="E69" s="49"/>
      <c r="F69" s="49"/>
      <c r="G69" s="49"/>
      <c r="H69" s="49"/>
      <c r="I69" s="100">
        <f>H69 * salesTaxPct</f>
        <v>0</v>
      </c>
      <c r="J69" s="49"/>
      <c r="K69" s="24"/>
      <c r="L69" s="100">
        <f t="shared" si="1"/>
        <v>0</v>
      </c>
      <c r="M69" s="103"/>
      <c r="N69" s="96" t="str">
        <f ca="1">IF(PRINTERS[[#This Row],[ID]] &lt;&gt; "", IF(A69 = "000", A69 &amp; " | None", A69 &amp; " | " &amp; B69 &amp; " | " &amp; C69), "")</f>
        <v/>
      </c>
    </row>
    <row r="70" spans="1:14" ht="22.5" customHeight="1">
      <c r="A70" s="111" t="str">
        <f ca="1">IF(PRINTERS[[#This Row],[PRODUCT]] &lt;&gt; "", IF(ROW() = 2, "000", TEXT(INDIRECT("A" &amp; ROW() - 1) + 1, "000")), "")</f>
        <v/>
      </c>
      <c r="B70" s="17"/>
      <c r="C70" s="102"/>
      <c r="D70" s="48"/>
      <c r="E70" s="49"/>
      <c r="F70" s="49"/>
      <c r="G70" s="49"/>
      <c r="H70" s="49"/>
      <c r="I70" s="100">
        <f>H70 * salesTaxPct</f>
        <v>0</v>
      </c>
      <c r="J70" s="49"/>
      <c r="K70" s="24"/>
      <c r="L70" s="100">
        <f t="shared" si="1"/>
        <v>0</v>
      </c>
      <c r="M70" s="103"/>
      <c r="N70" s="96" t="str">
        <f ca="1">IF(PRINTERS[[#This Row],[ID]] &lt;&gt; "", IF(A70 = "000", A70 &amp; " | None", A70 &amp; " | " &amp; B70 &amp; " | " &amp; C70), "")</f>
        <v/>
      </c>
    </row>
    <row r="71" spans="1:14" ht="22.5" customHeight="1">
      <c r="A71" s="111" t="str">
        <f ca="1">IF(PRINTERS[[#This Row],[PRODUCT]] &lt;&gt; "", IF(ROW() = 2, "000", TEXT(INDIRECT("A" &amp; ROW() - 1) + 1, "000")), "")</f>
        <v/>
      </c>
      <c r="B71" s="17"/>
      <c r="C71" s="102"/>
      <c r="D71" s="48"/>
      <c r="E71" s="49"/>
      <c r="F71" s="49"/>
      <c r="G71" s="49"/>
      <c r="H71" s="49"/>
      <c r="I71" s="100">
        <f>H71 * salesTaxPct</f>
        <v>0</v>
      </c>
      <c r="J71" s="49"/>
      <c r="K71" s="24"/>
      <c r="L71" s="100">
        <f t="shared" si="1"/>
        <v>0</v>
      </c>
      <c r="M71" s="103"/>
      <c r="N71" s="96" t="str">
        <f ca="1">IF(PRINTERS[[#This Row],[ID]] &lt;&gt; "", IF(A71 = "000", A71 &amp; " | None", A71 &amp; " | " &amp; B71 &amp; " | " &amp; C71), "")</f>
        <v/>
      </c>
    </row>
    <row r="72" spans="1:14" ht="22.5" customHeight="1">
      <c r="A72" s="111" t="str">
        <f ca="1">IF(PRINTERS[[#This Row],[PRODUCT]] &lt;&gt; "", IF(ROW() = 2, "000", TEXT(INDIRECT("A" &amp; ROW() - 1) + 1, "000")), "")</f>
        <v/>
      </c>
      <c r="B72" s="17"/>
      <c r="C72" s="102"/>
      <c r="D72" s="48"/>
      <c r="E72" s="49"/>
      <c r="F72" s="49"/>
      <c r="G72" s="49"/>
      <c r="H72" s="49"/>
      <c r="I72" s="100">
        <f>H72 * salesTaxPct</f>
        <v>0</v>
      </c>
      <c r="J72" s="49"/>
      <c r="K72" s="24"/>
      <c r="L72" s="100">
        <f t="shared" si="1"/>
        <v>0</v>
      </c>
      <c r="M72" s="103"/>
      <c r="N72" s="96" t="str">
        <f ca="1">IF(PRINTERS[[#This Row],[ID]] &lt;&gt; "", IF(A72 = "000", A72 &amp; " | None", A72 &amp; " | " &amp; B72 &amp; " | " &amp; C72), "")</f>
        <v/>
      </c>
    </row>
    <row r="73" spans="1:14" ht="22.5" customHeight="1">
      <c r="A73" s="111" t="str">
        <f ca="1">IF(PRINTERS[[#This Row],[PRODUCT]] &lt;&gt; "", IF(ROW() = 2, "000", TEXT(INDIRECT("A" &amp; ROW() - 1) + 1, "000")), "")</f>
        <v/>
      </c>
      <c r="B73" s="17"/>
      <c r="C73" s="102"/>
      <c r="D73" s="48"/>
      <c r="E73" s="49"/>
      <c r="F73" s="49"/>
      <c r="G73" s="49"/>
      <c r="H73" s="49"/>
      <c r="I73" s="100">
        <f>H73 * salesTaxPct</f>
        <v>0</v>
      </c>
      <c r="J73" s="49"/>
      <c r="K73" s="24"/>
      <c r="L73" s="100">
        <f t="shared" si="1"/>
        <v>0</v>
      </c>
      <c r="M73" s="103"/>
      <c r="N73" s="96" t="str">
        <f ca="1">IF(PRINTERS[[#This Row],[ID]] &lt;&gt; "", IF(A73 = "000", A73 &amp; " | None", A73 &amp; " | " &amp; B73 &amp; " | " &amp; C73), "")</f>
        <v/>
      </c>
    </row>
    <row r="74" spans="1:14" ht="22.5" customHeight="1">
      <c r="A74" s="111" t="str">
        <f ca="1">IF(PRINTERS[[#This Row],[PRODUCT]] &lt;&gt; "", IF(ROW() = 2, "000", TEXT(INDIRECT("A" &amp; ROW() - 1) + 1, "000")), "")</f>
        <v/>
      </c>
      <c r="B74" s="17"/>
      <c r="C74" s="102"/>
      <c r="D74" s="48"/>
      <c r="E74" s="49"/>
      <c r="F74" s="49"/>
      <c r="G74" s="49"/>
      <c r="H74" s="49"/>
      <c r="I74" s="100">
        <f>H74 * salesTaxPct</f>
        <v>0</v>
      </c>
      <c r="J74" s="49"/>
      <c r="K74" s="24"/>
      <c r="L74" s="100">
        <f t="shared" si="1"/>
        <v>0</v>
      </c>
      <c r="M74" s="103"/>
      <c r="N74" s="96" t="str">
        <f ca="1">IF(PRINTERS[[#This Row],[ID]] &lt;&gt; "", IF(A74 = "000", A74 &amp; " | None", A74 &amp; " | " &amp; B74 &amp; " | " &amp; C74), "")</f>
        <v/>
      </c>
    </row>
    <row r="75" spans="1:14" ht="22.5" customHeight="1">
      <c r="A75" s="111" t="str">
        <f ca="1">IF(PRINTERS[[#This Row],[PRODUCT]] &lt;&gt; "", IF(ROW() = 2, "000", TEXT(INDIRECT("A" &amp; ROW() - 1) + 1, "000")), "")</f>
        <v/>
      </c>
      <c r="B75" s="17"/>
      <c r="C75" s="102"/>
      <c r="D75" s="48"/>
      <c r="E75" s="49"/>
      <c r="F75" s="49"/>
      <c r="G75" s="49"/>
      <c r="H75" s="49"/>
      <c r="I75" s="100">
        <f>H75 * salesTaxPct</f>
        <v>0</v>
      </c>
      <c r="J75" s="49"/>
      <c r="K75" s="24"/>
      <c r="L75" s="100">
        <f t="shared" si="1"/>
        <v>0</v>
      </c>
      <c r="M75" s="103"/>
      <c r="N75" s="96" t="str">
        <f ca="1">IF(PRINTERS[[#This Row],[ID]] &lt;&gt; "", IF(A75 = "000", A75 &amp; " | None", A75 &amp; " | " &amp; B75 &amp; " | " &amp; C75), "")</f>
        <v/>
      </c>
    </row>
    <row r="76" spans="1:14" ht="22.5" customHeight="1">
      <c r="A76" s="111" t="str">
        <f ca="1">IF(PRINTERS[[#This Row],[PRODUCT]] &lt;&gt; "", IF(ROW() = 2, "000", TEXT(INDIRECT("A" &amp; ROW() - 1) + 1, "000")), "")</f>
        <v/>
      </c>
      <c r="B76" s="17"/>
      <c r="C76" s="102"/>
      <c r="D76" s="48"/>
      <c r="E76" s="49"/>
      <c r="F76" s="49"/>
      <c r="G76" s="49"/>
      <c r="H76" s="49"/>
      <c r="I76" s="100">
        <f>H76 * salesTaxPct</f>
        <v>0</v>
      </c>
      <c r="J76" s="49"/>
      <c r="K76" s="24"/>
      <c r="L76" s="100">
        <f t="shared" si="1"/>
        <v>0</v>
      </c>
      <c r="M76" s="103"/>
      <c r="N76" s="96" t="str">
        <f ca="1">IF(PRINTERS[[#This Row],[ID]] &lt;&gt; "", IF(A76 = "000", A76 &amp; " | None", A76 &amp; " | " &amp; B76 &amp; " | " &amp; C76), "")</f>
        <v/>
      </c>
    </row>
    <row r="77" spans="1:14" ht="22.5" customHeight="1">
      <c r="A77" s="111" t="str">
        <f ca="1">IF(PRINTERS[[#This Row],[PRODUCT]] &lt;&gt; "", IF(ROW() = 2, "000", TEXT(INDIRECT("A" &amp; ROW() - 1) + 1, "000")), "")</f>
        <v/>
      </c>
      <c r="B77" s="17"/>
      <c r="C77" s="102"/>
      <c r="D77" s="48"/>
      <c r="E77" s="49"/>
      <c r="F77" s="49"/>
      <c r="G77" s="49"/>
      <c r="H77" s="49"/>
      <c r="I77" s="100">
        <f>H77 * salesTaxPct</f>
        <v>0</v>
      </c>
      <c r="J77" s="49"/>
      <c r="K77" s="24"/>
      <c r="L77" s="100">
        <f t="shared" si="1"/>
        <v>0</v>
      </c>
      <c r="M77" s="103"/>
      <c r="N77" s="96" t="str">
        <f ca="1">IF(PRINTERS[[#This Row],[ID]] &lt;&gt; "", IF(A77 = "000", A77 &amp; " | None", A77 &amp; " | " &amp; B77 &amp; " | " &amp; C77), "")</f>
        <v/>
      </c>
    </row>
    <row r="78" spans="1:14" ht="22.5" customHeight="1">
      <c r="A78" s="111" t="str">
        <f ca="1">IF(PRINTERS[[#This Row],[PRODUCT]] &lt;&gt; "", IF(ROW() = 2, "000", TEXT(INDIRECT("A" &amp; ROW() - 1) + 1, "000")), "")</f>
        <v/>
      </c>
      <c r="B78" s="17"/>
      <c r="C78" s="102"/>
      <c r="D78" s="48"/>
      <c r="E78" s="49"/>
      <c r="F78" s="49"/>
      <c r="G78" s="49"/>
      <c r="H78" s="49"/>
      <c r="I78" s="100">
        <f>H78 * salesTaxPct</f>
        <v>0</v>
      </c>
      <c r="J78" s="49"/>
      <c r="K78" s="24"/>
      <c r="L78" s="100">
        <f t="shared" si="1"/>
        <v>0</v>
      </c>
      <c r="M78" s="103"/>
      <c r="N78" s="96" t="str">
        <f ca="1">IF(PRINTERS[[#This Row],[ID]] &lt;&gt; "", IF(A78 = "000", A78 &amp; " | None", A78 &amp; " | " &amp; B78 &amp; " | " &amp; C78), "")</f>
        <v/>
      </c>
    </row>
    <row r="79" spans="1:14" ht="22.5" customHeight="1">
      <c r="A79" s="111" t="str">
        <f ca="1">IF(PRINTERS[[#This Row],[PRODUCT]] &lt;&gt; "", IF(ROW() = 2, "000", TEXT(INDIRECT("A" &amp; ROW() - 1) + 1, "000")), "")</f>
        <v/>
      </c>
      <c r="B79" s="17"/>
      <c r="C79" s="102"/>
      <c r="D79" s="48"/>
      <c r="E79" s="49"/>
      <c r="F79" s="49"/>
      <c r="G79" s="49"/>
      <c r="H79" s="49"/>
      <c r="I79" s="100">
        <f>H79 * salesTaxPct</f>
        <v>0</v>
      </c>
      <c r="J79" s="49"/>
      <c r="K79" s="24"/>
      <c r="L79" s="100">
        <f t="shared" si="1"/>
        <v>0</v>
      </c>
      <c r="M79" s="103"/>
      <c r="N79" s="96" t="str">
        <f ca="1">IF(PRINTERS[[#This Row],[ID]] &lt;&gt; "", IF(A79 = "000", A79 &amp; " | None", A79 &amp; " | " &amp; B79 &amp; " | " &amp; C79), "")</f>
        <v/>
      </c>
    </row>
    <row r="80" spans="1:14" ht="22.5" customHeight="1">
      <c r="A80" s="111" t="str">
        <f ca="1">IF(PRINTERS[[#This Row],[PRODUCT]] &lt;&gt; "", IF(ROW() = 2, "000", TEXT(INDIRECT("A" &amp; ROW() - 1) + 1, "000")), "")</f>
        <v/>
      </c>
      <c r="B80" s="17"/>
      <c r="C80" s="102"/>
      <c r="D80" s="48"/>
      <c r="E80" s="49"/>
      <c r="F80" s="49"/>
      <c r="G80" s="49"/>
      <c r="H80" s="49"/>
      <c r="I80" s="100">
        <f>H80 * salesTaxPct</f>
        <v>0</v>
      </c>
      <c r="J80" s="49"/>
      <c r="K80" s="24"/>
      <c r="L80" s="100">
        <f t="shared" si="1"/>
        <v>0</v>
      </c>
      <c r="M80" s="103"/>
      <c r="N80" s="96" t="str">
        <f ca="1">IF(PRINTERS[[#This Row],[ID]] &lt;&gt; "", IF(A80 = "000", A80 &amp; " | None", A80 &amp; " | " &amp; B80 &amp; " | " &amp; C80), "")</f>
        <v/>
      </c>
    </row>
    <row r="81" spans="1:14" ht="22.5" customHeight="1">
      <c r="A81" s="111" t="str">
        <f ca="1">IF(PRINTERS[[#This Row],[PRODUCT]] &lt;&gt; "", IF(ROW() = 2, "000", TEXT(INDIRECT("A" &amp; ROW() - 1) + 1, "000")), "")</f>
        <v/>
      </c>
      <c r="B81" s="17"/>
      <c r="C81" s="102"/>
      <c r="D81" s="48"/>
      <c r="E81" s="49"/>
      <c r="F81" s="49"/>
      <c r="G81" s="49"/>
      <c r="H81" s="49"/>
      <c r="I81" s="100">
        <f>H81 * salesTaxPct</f>
        <v>0</v>
      </c>
      <c r="J81" s="49"/>
      <c r="K81" s="24"/>
      <c r="L81" s="100">
        <f t="shared" si="1"/>
        <v>0</v>
      </c>
      <c r="M81" s="103"/>
      <c r="N81" s="96" t="str">
        <f ca="1">IF(PRINTERS[[#This Row],[ID]] &lt;&gt; "", IF(A81 = "000", A81 &amp; " | None", A81 &amp; " | " &amp; B81 &amp; " | " &amp; C81), "")</f>
        <v/>
      </c>
    </row>
    <row r="82" spans="1:14" ht="22.5" customHeight="1">
      <c r="A82" s="111" t="str">
        <f ca="1">IF(PRINTERS[[#This Row],[PRODUCT]] &lt;&gt; "", IF(ROW() = 2, "000", TEXT(INDIRECT("A" &amp; ROW() - 1) + 1, "000")), "")</f>
        <v/>
      </c>
      <c r="B82" s="17"/>
      <c r="C82" s="102"/>
      <c r="D82" s="48"/>
      <c r="E82" s="49"/>
      <c r="F82" s="49"/>
      <c r="G82" s="49"/>
      <c r="H82" s="49"/>
      <c r="I82" s="100">
        <f>H82 * salesTaxPct</f>
        <v>0</v>
      </c>
      <c r="J82" s="49"/>
      <c r="K82" s="24"/>
      <c r="L82" s="100">
        <f t="shared" si="1"/>
        <v>0</v>
      </c>
      <c r="M82" s="103"/>
      <c r="N82" s="96" t="str">
        <f ca="1">IF(PRINTERS[[#This Row],[ID]] &lt;&gt; "", IF(A82 = "000", A82 &amp; " | None", A82 &amp; " | " &amp; B82 &amp; " | " &amp; C82), "")</f>
        <v/>
      </c>
    </row>
    <row r="83" spans="1:14" ht="22.5" customHeight="1">
      <c r="A83" s="111" t="str">
        <f ca="1">IF(PRINTERS[[#This Row],[PRODUCT]] &lt;&gt; "", IF(ROW() = 2, "000", TEXT(INDIRECT("A" &amp; ROW() - 1) + 1, "000")), "")</f>
        <v/>
      </c>
      <c r="B83" s="17"/>
      <c r="C83" s="102"/>
      <c r="D83" s="48"/>
      <c r="E83" s="49"/>
      <c r="F83" s="49"/>
      <c r="G83" s="49"/>
      <c r="H83" s="49"/>
      <c r="I83" s="100">
        <f>H83 * salesTaxPct</f>
        <v>0</v>
      </c>
      <c r="J83" s="49"/>
      <c r="K83" s="24"/>
      <c r="L83" s="100">
        <f t="shared" si="1"/>
        <v>0</v>
      </c>
      <c r="M83" s="103"/>
      <c r="N83" s="96" t="str">
        <f ca="1">IF(PRINTERS[[#This Row],[ID]] &lt;&gt; "", IF(A83 = "000", A83 &amp; " | None", A83 &amp; " | " &amp; B83 &amp; " | " &amp; C83), "")</f>
        <v/>
      </c>
    </row>
    <row r="84" spans="1:14" ht="22.5" customHeight="1">
      <c r="A84" s="111" t="str">
        <f ca="1">IF(PRINTERS[[#This Row],[PRODUCT]] &lt;&gt; "", IF(ROW() = 2, "000", TEXT(INDIRECT("A" &amp; ROW() - 1) + 1, "000")), "")</f>
        <v/>
      </c>
      <c r="B84" s="17"/>
      <c r="C84" s="102"/>
      <c r="D84" s="48"/>
      <c r="E84" s="49"/>
      <c r="F84" s="49"/>
      <c r="G84" s="49"/>
      <c r="H84" s="49"/>
      <c r="I84" s="100">
        <f>H84 * salesTaxPct</f>
        <v>0</v>
      </c>
      <c r="J84" s="49"/>
      <c r="K84" s="24"/>
      <c r="L84" s="100">
        <f t="shared" si="1"/>
        <v>0</v>
      </c>
      <c r="M84" s="103"/>
      <c r="N84" s="96" t="str">
        <f ca="1">IF(PRINTERS[[#This Row],[ID]] &lt;&gt; "", IF(A84 = "000", A84 &amp; " | None", A84 &amp; " | " &amp; B84 &amp; " | " &amp; C84), "")</f>
        <v/>
      </c>
    </row>
    <row r="85" spans="1:14" ht="22.5" customHeight="1">
      <c r="A85" s="111" t="str">
        <f ca="1">IF(PRINTERS[[#This Row],[PRODUCT]] &lt;&gt; "", IF(ROW() = 2, "000", TEXT(INDIRECT("A" &amp; ROW() - 1) + 1, "000")), "")</f>
        <v/>
      </c>
      <c r="B85" s="17"/>
      <c r="C85" s="102"/>
      <c r="D85" s="48"/>
      <c r="E85" s="49"/>
      <c r="F85" s="49"/>
      <c r="G85" s="49"/>
      <c r="H85" s="49"/>
      <c r="I85" s="100">
        <f>H85 * salesTaxPct</f>
        <v>0</v>
      </c>
      <c r="J85" s="49"/>
      <c r="K85" s="24"/>
      <c r="L85" s="100">
        <f t="shared" si="1"/>
        <v>0</v>
      </c>
      <c r="M85" s="103"/>
      <c r="N85" s="96" t="str">
        <f ca="1">IF(PRINTERS[[#This Row],[ID]] &lt;&gt; "", IF(A85 = "000", A85 &amp; " | None", A85 &amp; " | " &amp; B85 &amp; " | " &amp; C85), "")</f>
        <v/>
      </c>
    </row>
    <row r="86" spans="1:14" ht="22.5" customHeight="1">
      <c r="A86" s="111" t="str">
        <f ca="1">IF(PRINTERS[[#This Row],[PRODUCT]] &lt;&gt; "", IF(ROW() = 2, "000", TEXT(INDIRECT("A" &amp; ROW() - 1) + 1, "000")), "")</f>
        <v/>
      </c>
      <c r="B86" s="17"/>
      <c r="C86" s="102"/>
      <c r="D86" s="48"/>
      <c r="E86" s="49"/>
      <c r="F86" s="49"/>
      <c r="G86" s="49"/>
      <c r="H86" s="49"/>
      <c r="I86" s="100">
        <f>H86 * salesTaxPct</f>
        <v>0</v>
      </c>
      <c r="J86" s="49"/>
      <c r="K86" s="24"/>
      <c r="L86" s="100">
        <f t="shared" si="1"/>
        <v>0</v>
      </c>
      <c r="M86" s="103"/>
      <c r="N86" s="96" t="str">
        <f ca="1">IF(PRINTERS[[#This Row],[ID]] &lt;&gt; "", IF(A86 = "000", A86 &amp; " | None", A86 &amp; " | " &amp; B86 &amp; " | " &amp; C86), "")</f>
        <v/>
      </c>
    </row>
    <row r="87" spans="1:14" ht="22.5" customHeight="1">
      <c r="A87" s="111" t="str">
        <f ca="1">IF(PRINTERS[[#This Row],[PRODUCT]] &lt;&gt; "", IF(ROW() = 2, "000", TEXT(INDIRECT("A" &amp; ROW() - 1) + 1, "000")), "")</f>
        <v/>
      </c>
      <c r="B87" s="17"/>
      <c r="C87" s="102"/>
      <c r="D87" s="48"/>
      <c r="E87" s="49"/>
      <c r="F87" s="49"/>
      <c r="G87" s="49"/>
      <c r="H87" s="49"/>
      <c r="I87" s="100">
        <f>H87 * salesTaxPct</f>
        <v>0</v>
      </c>
      <c r="J87" s="49"/>
      <c r="K87" s="24"/>
      <c r="L87" s="100">
        <f t="shared" si="1"/>
        <v>0</v>
      </c>
      <c r="M87" s="103"/>
      <c r="N87" s="96" t="str">
        <f ca="1">IF(PRINTERS[[#This Row],[ID]] &lt;&gt; "", IF(A87 = "000", A87 &amp; " | None", A87 &amp; " | " &amp; B87 &amp; " | " &amp; C87), "")</f>
        <v/>
      </c>
    </row>
    <row r="88" spans="1:14" ht="22.5" customHeight="1">
      <c r="A88" s="111" t="str">
        <f ca="1">IF(PRINTERS[[#This Row],[PRODUCT]] &lt;&gt; "", IF(ROW() = 2, "000", TEXT(INDIRECT("A" &amp; ROW() - 1) + 1, "000")), "")</f>
        <v/>
      </c>
      <c r="B88" s="17"/>
      <c r="C88" s="102"/>
      <c r="D88" s="48"/>
      <c r="E88" s="49"/>
      <c r="F88" s="49"/>
      <c r="G88" s="49"/>
      <c r="H88" s="49"/>
      <c r="I88" s="100">
        <f>H88 * salesTaxPct</f>
        <v>0</v>
      </c>
      <c r="J88" s="49"/>
      <c r="K88" s="24"/>
      <c r="L88" s="100">
        <f t="shared" si="1"/>
        <v>0</v>
      </c>
      <c r="M88" s="103"/>
      <c r="N88" s="96" t="str">
        <f ca="1">IF(PRINTERS[[#This Row],[ID]] &lt;&gt; "", IF(A88 = "000", A88 &amp; " | None", A88 &amp; " | " &amp; B88 &amp; " | " &amp; C88), "")</f>
        <v/>
      </c>
    </row>
    <row r="89" spans="1:14" ht="22.5" customHeight="1">
      <c r="A89" s="111" t="str">
        <f ca="1">IF(PRINTERS[[#This Row],[PRODUCT]] &lt;&gt; "", IF(ROW() = 2, "000", TEXT(INDIRECT("A" &amp; ROW() - 1) + 1, "000")), "")</f>
        <v/>
      </c>
      <c r="B89" s="17"/>
      <c r="C89" s="102"/>
      <c r="D89" s="48"/>
      <c r="E89" s="49"/>
      <c r="F89" s="49"/>
      <c r="G89" s="49"/>
      <c r="H89" s="49"/>
      <c r="I89" s="100">
        <f>H89 * salesTaxPct</f>
        <v>0</v>
      </c>
      <c r="J89" s="49"/>
      <c r="K89" s="24"/>
      <c r="L89" s="100">
        <f t="shared" si="1"/>
        <v>0</v>
      </c>
      <c r="M89" s="103"/>
      <c r="N89" s="96" t="str">
        <f ca="1">IF(PRINTERS[[#This Row],[ID]] &lt;&gt; "", IF(A89 = "000", A89 &amp; " | None", A89 &amp; " | " &amp; B89 &amp; " | " &amp; C89), "")</f>
        <v/>
      </c>
    </row>
    <row r="90" spans="1:14" ht="22.5" customHeight="1">
      <c r="A90" s="111" t="str">
        <f ca="1">IF(PRINTERS[[#This Row],[PRODUCT]] &lt;&gt; "", IF(ROW() = 2, "000", TEXT(INDIRECT("A" &amp; ROW() - 1) + 1, "000")), "")</f>
        <v/>
      </c>
      <c r="B90" s="17"/>
      <c r="C90" s="102"/>
      <c r="D90" s="48"/>
      <c r="E90" s="49"/>
      <c r="F90" s="49"/>
      <c r="G90" s="49"/>
      <c r="H90" s="49"/>
      <c r="I90" s="100">
        <f>H90 * salesTaxPct</f>
        <v>0</v>
      </c>
      <c r="J90" s="49"/>
      <c r="K90" s="24"/>
      <c r="L90" s="100">
        <f t="shared" si="1"/>
        <v>0</v>
      </c>
      <c r="M90" s="103"/>
      <c r="N90" s="96" t="str">
        <f ca="1">IF(PRINTERS[[#This Row],[ID]] &lt;&gt; "", IF(A90 = "000", A90 &amp; " | None", A90 &amp; " | " &amp; B90 &amp; " | " &amp; C90), "")</f>
        <v/>
      </c>
    </row>
    <row r="91" spans="1:14" ht="22.5" customHeight="1">
      <c r="A91" s="111" t="str">
        <f ca="1">IF(PRINTERS[[#This Row],[PRODUCT]] &lt;&gt; "", IF(ROW() = 2, "000", TEXT(INDIRECT("A" &amp; ROW() - 1) + 1, "000")), "")</f>
        <v/>
      </c>
      <c r="B91" s="17"/>
      <c r="C91" s="102"/>
      <c r="D91" s="48"/>
      <c r="E91" s="49"/>
      <c r="F91" s="49"/>
      <c r="G91" s="49"/>
      <c r="H91" s="49"/>
      <c r="I91" s="100">
        <f>H91 * salesTaxPct</f>
        <v>0</v>
      </c>
      <c r="J91" s="49"/>
      <c r="K91" s="24"/>
      <c r="L91" s="100">
        <f t="shared" si="1"/>
        <v>0</v>
      </c>
      <c r="M91" s="103"/>
      <c r="N91" s="96" t="str">
        <f ca="1">IF(PRINTERS[[#This Row],[ID]] &lt;&gt; "", IF(A91 = "000", A91 &amp; " | None", A91 &amp; " | " &amp; B91 &amp; " | " &amp; C91), "")</f>
        <v/>
      </c>
    </row>
    <row r="92" spans="1:14" ht="22.5" customHeight="1">
      <c r="A92" s="111" t="str">
        <f ca="1">IF(PRINTERS[[#This Row],[PRODUCT]] &lt;&gt; "", IF(ROW() = 2, "000", TEXT(INDIRECT("A" &amp; ROW() - 1) + 1, "000")), "")</f>
        <v/>
      </c>
      <c r="B92" s="17"/>
      <c r="C92" s="102"/>
      <c r="D92" s="48"/>
      <c r="E92" s="49"/>
      <c r="F92" s="49"/>
      <c r="G92" s="49"/>
      <c r="H92" s="49"/>
      <c r="I92" s="100">
        <f>H92 * salesTaxPct</f>
        <v>0</v>
      </c>
      <c r="J92" s="49"/>
      <c r="K92" s="24"/>
      <c r="L92" s="100">
        <f t="shared" si="1"/>
        <v>0</v>
      </c>
      <c r="M92" s="103"/>
      <c r="N92" s="96" t="str">
        <f ca="1">IF(PRINTERS[[#This Row],[ID]] &lt;&gt; "", IF(A92 = "000", A92 &amp; " | None", A92 &amp; " | " &amp; B92 &amp; " | " &amp; C92), "")</f>
        <v/>
      </c>
    </row>
    <row r="93" spans="1:14" ht="22.5" customHeight="1">
      <c r="A93" s="111" t="str">
        <f ca="1">IF(PRINTERS[[#This Row],[PRODUCT]] &lt;&gt; "", IF(ROW() = 2, "000", TEXT(INDIRECT("A" &amp; ROW() - 1) + 1, "000")), "")</f>
        <v/>
      </c>
      <c r="B93" s="17"/>
      <c r="C93" s="102"/>
      <c r="D93" s="48"/>
      <c r="E93" s="49"/>
      <c r="F93" s="49"/>
      <c r="G93" s="49"/>
      <c r="H93" s="49"/>
      <c r="I93" s="100">
        <f>H93 * salesTaxPct</f>
        <v>0</v>
      </c>
      <c r="J93" s="49"/>
      <c r="K93" s="24"/>
      <c r="L93" s="100">
        <f t="shared" si="1"/>
        <v>0</v>
      </c>
      <c r="M93" s="103"/>
      <c r="N93" s="96" t="str">
        <f ca="1">IF(PRINTERS[[#This Row],[ID]] &lt;&gt; "", IF(A93 = "000", A93 &amp; " | None", A93 &amp; " | " &amp; B93 &amp; " | " &amp; C93), "")</f>
        <v/>
      </c>
    </row>
    <row r="94" spans="1:14" ht="22.5" customHeight="1">
      <c r="A94" s="111" t="str">
        <f ca="1">IF(PRINTERS[[#This Row],[PRODUCT]] &lt;&gt; "", IF(ROW() = 2, "000", TEXT(INDIRECT("A" &amp; ROW() - 1) + 1, "000")), "")</f>
        <v/>
      </c>
      <c r="B94" s="17"/>
      <c r="C94" s="102"/>
      <c r="D94" s="48"/>
      <c r="E94" s="49"/>
      <c r="F94" s="49"/>
      <c r="G94" s="49"/>
      <c r="H94" s="49"/>
      <c r="I94" s="100">
        <f>H94 * salesTaxPct</f>
        <v>0</v>
      </c>
      <c r="J94" s="49"/>
      <c r="K94" s="24"/>
      <c r="L94" s="100">
        <f t="shared" si="1"/>
        <v>0</v>
      </c>
      <c r="M94" s="103"/>
      <c r="N94" s="96" t="str">
        <f ca="1">IF(PRINTERS[[#This Row],[ID]] &lt;&gt; "", IF(A94 = "000", A94 &amp; " | None", A94 &amp; " | " &amp; B94 &amp; " | " &amp; C94), "")</f>
        <v/>
      </c>
    </row>
    <row r="95" spans="1:14" ht="22.5" customHeight="1">
      <c r="A95" s="111" t="str">
        <f ca="1">IF(PRINTERS[[#This Row],[PRODUCT]] &lt;&gt; "", IF(ROW() = 2, "000", TEXT(INDIRECT("A" &amp; ROW() - 1) + 1, "000")), "")</f>
        <v/>
      </c>
      <c r="B95" s="17"/>
      <c r="C95" s="102"/>
      <c r="D95" s="48"/>
      <c r="E95" s="49"/>
      <c r="F95" s="49"/>
      <c r="G95" s="49"/>
      <c r="H95" s="49"/>
      <c r="I95" s="100">
        <f>H95 * salesTaxPct</f>
        <v>0</v>
      </c>
      <c r="J95" s="49"/>
      <c r="K95" s="24"/>
      <c r="L95" s="100">
        <f t="shared" si="1"/>
        <v>0</v>
      </c>
      <c r="M95" s="103"/>
      <c r="N95" s="96" t="str">
        <f ca="1">IF(PRINTERS[[#This Row],[ID]] &lt;&gt; "", IF(A95 = "000", A95 &amp; " | None", A95 &amp; " | " &amp; B95 &amp; " | " &amp; C95), "")</f>
        <v/>
      </c>
    </row>
    <row r="96" spans="1:14" ht="22.5" customHeight="1">
      <c r="A96" s="111" t="str">
        <f ca="1">IF(PRINTERS[[#This Row],[PRODUCT]] &lt;&gt; "", IF(ROW() = 2, "000", TEXT(INDIRECT("A" &amp; ROW() - 1) + 1, "000")), "")</f>
        <v/>
      </c>
      <c r="B96" s="17"/>
      <c r="C96" s="102"/>
      <c r="D96" s="48"/>
      <c r="E96" s="49"/>
      <c r="F96" s="49"/>
      <c r="G96" s="49"/>
      <c r="H96" s="49"/>
      <c r="I96" s="100">
        <f>H96 * salesTaxPct</f>
        <v>0</v>
      </c>
      <c r="J96" s="49"/>
      <c r="K96" s="24"/>
      <c r="L96" s="100">
        <f t="shared" si="1"/>
        <v>0</v>
      </c>
      <c r="M96" s="103"/>
      <c r="N96" s="96" t="str">
        <f ca="1">IF(PRINTERS[[#This Row],[ID]] &lt;&gt; "", IF(A96 = "000", A96 &amp; " | None", A96 &amp; " | " &amp; B96 &amp; " | " &amp; C96), "")</f>
        <v/>
      </c>
    </row>
    <row r="97" spans="1:14" ht="22.5" customHeight="1">
      <c r="A97" s="111" t="str">
        <f ca="1">IF(PRINTERS[[#This Row],[PRODUCT]] &lt;&gt; "", IF(ROW() = 2, "000", TEXT(INDIRECT("A" &amp; ROW() - 1) + 1, "000")), "")</f>
        <v/>
      </c>
      <c r="B97" s="17"/>
      <c r="C97" s="102"/>
      <c r="D97" s="48"/>
      <c r="E97" s="49"/>
      <c r="F97" s="49"/>
      <c r="G97" s="49"/>
      <c r="H97" s="49"/>
      <c r="I97" s="100">
        <f>H97 * salesTaxPct</f>
        <v>0</v>
      </c>
      <c r="J97" s="49"/>
      <c r="K97" s="24"/>
      <c r="L97" s="100">
        <f t="shared" si="1"/>
        <v>0</v>
      </c>
      <c r="M97" s="103"/>
      <c r="N97" s="96" t="str">
        <f ca="1">IF(PRINTERS[[#This Row],[ID]] &lt;&gt; "", IF(A97 = "000", A97 &amp; " | None", A97 &amp; " | " &amp; B97 &amp; " | " &amp; C97), "")</f>
        <v/>
      </c>
    </row>
    <row r="98" spans="1:14" ht="22.5" customHeight="1">
      <c r="A98" s="111" t="str">
        <f ca="1">IF(PRINTERS[[#This Row],[PRODUCT]] &lt;&gt; "", IF(ROW() = 2, "000", TEXT(INDIRECT("A" &amp; ROW() - 1) + 1, "000")), "")</f>
        <v/>
      </c>
      <c r="B98" s="17"/>
      <c r="C98" s="102"/>
      <c r="D98" s="48"/>
      <c r="E98" s="49"/>
      <c r="F98" s="49"/>
      <c r="G98" s="49"/>
      <c r="H98" s="49"/>
      <c r="I98" s="100">
        <f>H98 * salesTaxPct</f>
        <v>0</v>
      </c>
      <c r="J98" s="49"/>
      <c r="K98" s="24"/>
      <c r="L98" s="100">
        <f t="shared" si="1"/>
        <v>0</v>
      </c>
      <c r="M98" s="103"/>
      <c r="N98" s="96" t="str">
        <f ca="1">IF(PRINTERS[[#This Row],[ID]] &lt;&gt; "", IF(A98 = "000", A98 &amp; " | None", A98 &amp; " | " &amp; B98 &amp; " | " &amp; C98), "")</f>
        <v/>
      </c>
    </row>
    <row r="99" spans="1:14" ht="22.5" customHeight="1">
      <c r="A99" s="111" t="str">
        <f ca="1">IF(PRINTERS[[#This Row],[PRODUCT]] &lt;&gt; "", IF(ROW() = 2, "000", TEXT(INDIRECT("A" &amp; ROW() - 1) + 1, "000")), "")</f>
        <v/>
      </c>
      <c r="B99" s="17"/>
      <c r="C99" s="102"/>
      <c r="D99" s="48"/>
      <c r="E99" s="49"/>
      <c r="F99" s="49"/>
      <c r="G99" s="49"/>
      <c r="H99" s="49"/>
      <c r="I99" s="100">
        <f>H99 * salesTaxPct</f>
        <v>0</v>
      </c>
      <c r="J99" s="49"/>
      <c r="K99" s="24"/>
      <c r="L99" s="100">
        <f t="shared" si="1"/>
        <v>0</v>
      </c>
      <c r="M99" s="103"/>
      <c r="N99" s="96" t="str">
        <f ca="1">IF(PRINTERS[[#This Row],[ID]] &lt;&gt; "", IF(A99 = "000", A99 &amp; " | None", A99 &amp; " | " &amp; B99 &amp; " | " &amp; C99), "")</f>
        <v/>
      </c>
    </row>
    <row r="100" spans="1:14" ht="22.5" customHeight="1">
      <c r="A100" s="111" t="str">
        <f ca="1">IF(PRINTERS[[#This Row],[PRODUCT]] &lt;&gt; "", IF(ROW() = 2, "000", TEXT(INDIRECT("A" &amp; ROW() - 1) + 1, "000")), "")</f>
        <v/>
      </c>
      <c r="B100" s="17"/>
      <c r="C100" s="102"/>
      <c r="D100" s="48"/>
      <c r="E100" s="49"/>
      <c r="F100" s="49"/>
      <c r="G100" s="49"/>
      <c r="H100" s="49"/>
      <c r="I100" s="100">
        <f>H100 * salesTaxPct</f>
        <v>0</v>
      </c>
      <c r="J100" s="49"/>
      <c r="K100" s="24"/>
      <c r="L100" s="100">
        <f t="shared" si="1"/>
        <v>0</v>
      </c>
      <c r="M100" s="103"/>
      <c r="N100" s="96" t="str">
        <f ca="1">IF(PRINTERS[[#This Row],[ID]] &lt;&gt; "", IF(A100 = "000", A100 &amp; " | None", A100 &amp; " | " &amp; B100 &amp; " | " &amp; C100), "")</f>
        <v/>
      </c>
    </row>
    <row r="101" spans="1:14" ht="22.5" customHeight="1">
      <c r="A101" s="111" t="str">
        <f ca="1">IF(PRINTERS[[#This Row],[PRODUCT]] &lt;&gt; "", IF(ROW() = 2, "000", TEXT(INDIRECT("A" &amp; ROW() - 1) + 1, "000")), "")</f>
        <v/>
      </c>
      <c r="B101" s="17"/>
      <c r="C101" s="102"/>
      <c r="D101" s="48"/>
      <c r="E101" s="49"/>
      <c r="F101" s="49"/>
      <c r="G101" s="49"/>
      <c r="H101" s="49"/>
      <c r="I101" s="100">
        <f>H101 * salesTaxPct</f>
        <v>0</v>
      </c>
      <c r="J101" s="49"/>
      <c r="K101" s="24"/>
      <c r="L101" s="100">
        <f t="shared" si="1"/>
        <v>0</v>
      </c>
      <c r="M101" s="103"/>
      <c r="N101" s="96" t="str">
        <f ca="1">IF(PRINTERS[[#This Row],[ID]] &lt;&gt; "", IF(A101 = "000", A101 &amp; " | None", A101 &amp; " | " &amp; B101 &amp; " | " &amp; C101), "")</f>
        <v/>
      </c>
    </row>
    <row r="102" spans="1:14" ht="22.5" customHeight="1">
      <c r="A102" s="111" t="str">
        <f ca="1">IF(PRINTERS[[#This Row],[PRODUCT]] &lt;&gt; "", IF(ROW() = 2, "000", TEXT(INDIRECT("A" &amp; ROW() - 1) + 1, "000")), "")</f>
        <v/>
      </c>
      <c r="B102" s="17"/>
      <c r="C102" s="102"/>
      <c r="D102" s="48"/>
      <c r="E102" s="49"/>
      <c r="F102" s="49"/>
      <c r="G102" s="49"/>
      <c r="H102" s="49"/>
      <c r="I102" s="100">
        <f>H102 * salesTaxPct</f>
        <v>0</v>
      </c>
      <c r="J102" s="49"/>
      <c r="K102" s="24"/>
      <c r="L102" s="100">
        <f t="shared" si="1"/>
        <v>0</v>
      </c>
      <c r="M102" s="103"/>
      <c r="N102" s="96" t="str">
        <f ca="1">IF(PRINTERS[[#This Row],[ID]] &lt;&gt; "", IF(A102 = "000", A102 &amp; " | None", A102 &amp; " | " &amp; B102 &amp; " | " &amp; C102), "")</f>
        <v/>
      </c>
    </row>
    <row r="103" spans="1:14" ht="22.5" customHeight="1">
      <c r="A103" s="111" t="str">
        <f ca="1">IF(PRINTERS[[#This Row],[PRODUCT]] &lt;&gt; "", IF(ROW() = 2, "000", TEXT(INDIRECT("A" &amp; ROW() - 1) + 1, "000")), "")</f>
        <v/>
      </c>
      <c r="B103" s="17"/>
      <c r="C103" s="102"/>
      <c r="D103" s="48"/>
      <c r="E103" s="49"/>
      <c r="F103" s="49"/>
      <c r="G103" s="49"/>
      <c r="H103" s="49"/>
      <c r="I103" s="100">
        <f>H103 * salesTaxPct</f>
        <v>0</v>
      </c>
      <c r="J103" s="49"/>
      <c r="K103" s="24"/>
      <c r="L103" s="100">
        <f t="shared" si="1"/>
        <v>0</v>
      </c>
      <c r="M103" s="103"/>
      <c r="N103" s="96" t="str">
        <f ca="1">IF(PRINTERS[[#This Row],[ID]] &lt;&gt; "", IF(A103 = "000", A103 &amp; " | None", A103 &amp; " | " &amp; B103 &amp; " | " &amp; C103), "")</f>
        <v/>
      </c>
    </row>
    <row r="104" spans="1:14" ht="22.5" customHeight="1">
      <c r="A104" s="111" t="str">
        <f ca="1">IF(PRINTERS[[#This Row],[PRODUCT]] &lt;&gt; "", IF(ROW() = 2, "000", TEXT(INDIRECT("A" &amp; ROW() - 1) + 1, "000")), "")</f>
        <v/>
      </c>
      <c r="B104" s="17"/>
      <c r="C104" s="102"/>
      <c r="D104" s="48"/>
      <c r="E104" s="49"/>
      <c r="F104" s="49"/>
      <c r="G104" s="49"/>
      <c r="H104" s="49"/>
      <c r="I104" s="100">
        <f>H104 * salesTaxPct</f>
        <v>0</v>
      </c>
      <c r="J104" s="49"/>
      <c r="K104" s="24"/>
      <c r="L104" s="100">
        <f t="shared" si="1"/>
        <v>0</v>
      </c>
      <c r="M104" s="103"/>
      <c r="N104" s="96" t="str">
        <f ca="1">IF(PRINTERS[[#This Row],[ID]] &lt;&gt; "", IF(A104 = "000", A104 &amp; " | None", A104 &amp; " | " &amp; B104 &amp; " | " &amp; C104), "")</f>
        <v/>
      </c>
    </row>
    <row r="105" spans="1:14" ht="22.5" customHeight="1">
      <c r="A105" s="111" t="str">
        <f ca="1">IF(PRINTERS[[#This Row],[PRODUCT]] &lt;&gt; "", IF(ROW() = 2, "000", TEXT(INDIRECT("A" &amp; ROW() - 1) + 1, "000")), "")</f>
        <v/>
      </c>
      <c r="B105" s="17"/>
      <c r="C105" s="102"/>
      <c r="D105" s="48"/>
      <c r="E105" s="49"/>
      <c r="F105" s="49"/>
      <c r="G105" s="49"/>
      <c r="H105" s="49"/>
      <c r="I105" s="100">
        <f>H105 * salesTaxPct</f>
        <v>0</v>
      </c>
      <c r="J105" s="49"/>
      <c r="K105" s="24"/>
      <c r="L105" s="100">
        <f t="shared" si="1"/>
        <v>0</v>
      </c>
      <c r="M105" s="103"/>
      <c r="N105" s="96" t="str">
        <f ca="1">IF(PRINTERS[[#This Row],[ID]] &lt;&gt; "", IF(A105 = "000", A105 &amp; " | None", A105 &amp; " | " &amp; B105 &amp; " | " &amp; C105), "")</f>
        <v/>
      </c>
    </row>
    <row r="106" spans="1:14" ht="22.5" customHeight="1">
      <c r="A106" s="111" t="str">
        <f ca="1">IF(PRINTERS[[#This Row],[PRODUCT]] &lt;&gt; "", IF(ROW() = 2, "000", TEXT(INDIRECT("A" &amp; ROW() - 1) + 1, "000")), "")</f>
        <v/>
      </c>
      <c r="B106" s="17"/>
      <c r="C106" s="102"/>
      <c r="D106" s="48"/>
      <c r="E106" s="49"/>
      <c r="F106" s="49"/>
      <c r="G106" s="49"/>
      <c r="H106" s="49"/>
      <c r="I106" s="100">
        <f>H106 * salesTaxPct</f>
        <v>0</v>
      </c>
      <c r="J106" s="49"/>
      <c r="K106" s="24"/>
      <c r="L106" s="100">
        <f t="shared" si="1"/>
        <v>0</v>
      </c>
      <c r="M106" s="103"/>
      <c r="N106" s="96" t="str">
        <f ca="1">IF(PRINTERS[[#This Row],[ID]] &lt;&gt; "", IF(A106 = "000", A106 &amp; " | None", A106 &amp; " | " &amp; B106 &amp; " | " &amp; C106), "")</f>
        <v/>
      </c>
    </row>
    <row r="107" spans="1:14" ht="22.5" customHeight="1">
      <c r="A107" s="111" t="str">
        <f ca="1">IF(PRINTERS[[#This Row],[PRODUCT]] &lt;&gt; "", IF(ROW() = 2, "000", TEXT(INDIRECT("A" &amp; ROW() - 1) + 1, "000")), "")</f>
        <v/>
      </c>
      <c r="B107" s="17"/>
      <c r="C107" s="102"/>
      <c r="D107" s="48"/>
      <c r="E107" s="49"/>
      <c r="F107" s="49"/>
      <c r="G107" s="49"/>
      <c r="H107" s="49"/>
      <c r="I107" s="100">
        <f>H107 * salesTaxPct</f>
        <v>0</v>
      </c>
      <c r="J107" s="49"/>
      <c r="K107" s="24"/>
      <c r="L107" s="100">
        <f t="shared" si="1"/>
        <v>0</v>
      </c>
      <c r="M107" s="103"/>
      <c r="N107" s="96" t="str">
        <f ca="1">IF(PRINTERS[[#This Row],[ID]] &lt;&gt; "", IF(A107 = "000", A107 &amp; " | None", A107 &amp; " | " &amp; B107 &amp; " | " &amp; C107), "")</f>
        <v/>
      </c>
    </row>
    <row r="108" spans="1:14" ht="22.5" customHeight="1">
      <c r="A108" s="111" t="str">
        <f ca="1">IF(PRINTERS[[#This Row],[PRODUCT]] &lt;&gt; "", IF(ROW() = 2, "000", TEXT(INDIRECT("A" &amp; ROW() - 1) + 1, "000")), "")</f>
        <v/>
      </c>
      <c r="B108" s="17"/>
      <c r="C108" s="102"/>
      <c r="D108" s="48"/>
      <c r="E108" s="49"/>
      <c r="F108" s="49"/>
      <c r="G108" s="49"/>
      <c r="H108" s="49"/>
      <c r="I108" s="100">
        <f>H108 * salesTaxPct</f>
        <v>0</v>
      </c>
      <c r="J108" s="49"/>
      <c r="K108" s="24"/>
      <c r="L108" s="100">
        <f t="shared" si="1"/>
        <v>0</v>
      </c>
      <c r="M108" s="103"/>
      <c r="N108" s="96" t="str">
        <f ca="1">IF(PRINTERS[[#This Row],[ID]] &lt;&gt; "", IF(A108 = "000", A108 &amp; " | None", A108 &amp; " | " &amp; B108 &amp; " | " &amp; C108), "")</f>
        <v/>
      </c>
    </row>
    <row r="109" spans="1:14" ht="22.5" customHeight="1">
      <c r="A109" s="111" t="str">
        <f ca="1">IF(PRINTERS[[#This Row],[PRODUCT]] &lt;&gt; "", IF(ROW() = 2, "000", TEXT(INDIRECT("A" &amp; ROW() - 1) + 1, "000")), "")</f>
        <v/>
      </c>
      <c r="B109" s="17"/>
      <c r="C109" s="102"/>
      <c r="D109" s="48"/>
      <c r="E109" s="49"/>
      <c r="F109" s="49"/>
      <c r="G109" s="49"/>
      <c r="H109" s="49"/>
      <c r="I109" s="100">
        <f>H109 * salesTaxPct</f>
        <v>0</v>
      </c>
      <c r="J109" s="49"/>
      <c r="K109" s="24"/>
      <c r="L109" s="100">
        <f t="shared" si="1"/>
        <v>0</v>
      </c>
      <c r="M109" s="103"/>
      <c r="N109" s="96" t="str">
        <f ca="1">IF(PRINTERS[[#This Row],[ID]] &lt;&gt; "", IF(A109 = "000", A109 &amp; " | None", A109 &amp; " | " &amp; B109 &amp; " | " &amp; C109), "")</f>
        <v/>
      </c>
    </row>
    <row r="110" spans="1:14" ht="22.5" customHeight="1">
      <c r="A110" s="111" t="str">
        <f ca="1">IF(PRINTERS[[#This Row],[PRODUCT]] &lt;&gt; "", IF(ROW() = 2, "000", TEXT(INDIRECT("A" &amp; ROW() - 1) + 1, "000")), "")</f>
        <v/>
      </c>
      <c r="B110" s="17"/>
      <c r="C110" s="102"/>
      <c r="D110" s="48"/>
      <c r="E110" s="49"/>
      <c r="F110" s="49"/>
      <c r="G110" s="49"/>
      <c r="H110" s="49"/>
      <c r="I110" s="100">
        <f>H110 * salesTaxPct</f>
        <v>0</v>
      </c>
      <c r="J110" s="49"/>
      <c r="K110" s="24"/>
      <c r="L110" s="100">
        <f t="shared" si="1"/>
        <v>0</v>
      </c>
      <c r="M110" s="103"/>
      <c r="N110" s="96" t="str">
        <f ca="1">IF(PRINTERS[[#This Row],[ID]] &lt;&gt; "", IF(A110 = "000", A110 &amp; " | None", A110 &amp; " | " &amp; B110 &amp; " | " &amp; C110), "")</f>
        <v/>
      </c>
    </row>
    <row r="111" spans="1:14" ht="22.5" customHeight="1">
      <c r="A111" s="111" t="str">
        <f ca="1">IF(PRINTERS[[#This Row],[PRODUCT]] &lt;&gt; "", IF(ROW() = 2, "000", TEXT(INDIRECT("A" &amp; ROW() - 1) + 1, "000")), "")</f>
        <v/>
      </c>
      <c r="B111" s="17"/>
      <c r="C111" s="102"/>
      <c r="D111" s="48"/>
      <c r="E111" s="49"/>
      <c r="F111" s="49"/>
      <c r="G111" s="49"/>
      <c r="H111" s="49"/>
      <c r="I111" s="100">
        <f>H111 * salesTaxPct</f>
        <v>0</v>
      </c>
      <c r="J111" s="49"/>
      <c r="K111" s="24"/>
      <c r="L111" s="100">
        <f t="shared" si="1"/>
        <v>0</v>
      </c>
      <c r="M111" s="103"/>
      <c r="N111" s="96" t="str">
        <f ca="1">IF(PRINTERS[[#This Row],[ID]] &lt;&gt; "", IF(A111 = "000", A111 &amp; " | None", A111 &amp; " | " &amp; B111 &amp; " | " &amp; C111), "")</f>
        <v/>
      </c>
    </row>
    <row r="112" spans="1:14" ht="22.5" customHeight="1">
      <c r="A112" s="111" t="str">
        <f ca="1">IF(PRINTERS[[#This Row],[PRODUCT]] &lt;&gt; "", IF(ROW() = 2, "000", TEXT(INDIRECT("A" &amp; ROW() - 1) + 1, "000")), "")</f>
        <v/>
      </c>
      <c r="B112" s="17"/>
      <c r="C112" s="102"/>
      <c r="D112" s="48"/>
      <c r="E112" s="49"/>
      <c r="F112" s="49"/>
      <c r="G112" s="49"/>
      <c r="H112" s="49"/>
      <c r="I112" s="100">
        <f>H112 * salesTaxPct</f>
        <v>0</v>
      </c>
      <c r="J112" s="49"/>
      <c r="K112" s="24"/>
      <c r="L112" s="100">
        <f t="shared" si="1"/>
        <v>0</v>
      </c>
      <c r="M112" s="103"/>
      <c r="N112" s="96" t="str">
        <f ca="1">IF(PRINTERS[[#This Row],[ID]] &lt;&gt; "", IF(A112 = "000", A112 &amp; " | None", A112 &amp; " | " &amp; B112 &amp; " | " &amp; C112), "")</f>
        <v/>
      </c>
    </row>
    <row r="113" spans="1:14" ht="22.5" customHeight="1">
      <c r="A113" s="111" t="str">
        <f ca="1">IF(PRINTERS[[#This Row],[PRODUCT]] &lt;&gt; "", IF(ROW() = 2, "000", TEXT(INDIRECT("A" &amp; ROW() - 1) + 1, "000")), "")</f>
        <v/>
      </c>
      <c r="B113" s="17"/>
      <c r="C113" s="102"/>
      <c r="D113" s="48"/>
      <c r="E113" s="49"/>
      <c r="F113" s="49"/>
      <c r="G113" s="49"/>
      <c r="H113" s="49"/>
      <c r="I113" s="100">
        <f>H113 * salesTaxPct</f>
        <v>0</v>
      </c>
      <c r="J113" s="49"/>
      <c r="K113" s="24"/>
      <c r="L113" s="100">
        <f t="shared" si="1"/>
        <v>0</v>
      </c>
      <c r="M113" s="103"/>
      <c r="N113" s="96" t="str">
        <f ca="1">IF(PRINTERS[[#This Row],[ID]] &lt;&gt; "", IF(A113 = "000", A113 &amp; " | None", A113 &amp; " | " &amp; B113 &amp; " | " &amp; C113), "")</f>
        <v/>
      </c>
    </row>
    <row r="114" spans="1:14" ht="22.5" customHeight="1">
      <c r="A114" s="111" t="str">
        <f ca="1">IF(PRINTERS[[#This Row],[PRODUCT]] &lt;&gt; "", IF(ROW() = 2, "000", TEXT(INDIRECT("A" &amp; ROW() - 1) + 1, "000")), "")</f>
        <v/>
      </c>
      <c r="B114" s="17"/>
      <c r="C114" s="102"/>
      <c r="D114" s="48"/>
      <c r="E114" s="49"/>
      <c r="F114" s="49"/>
      <c r="G114" s="49"/>
      <c r="H114" s="49"/>
      <c r="I114" s="100">
        <f>H114 * salesTaxPct</f>
        <v>0</v>
      </c>
      <c r="J114" s="49"/>
      <c r="K114" s="24"/>
      <c r="L114" s="100">
        <f t="shared" si="1"/>
        <v>0</v>
      </c>
      <c r="M114" s="103"/>
      <c r="N114" s="96" t="str">
        <f ca="1">IF(PRINTERS[[#This Row],[ID]] &lt;&gt; "", IF(A114 = "000", A114 &amp; " | None", A114 &amp; " | " &amp; B114 &amp; " | " &amp; C114), "")</f>
        <v/>
      </c>
    </row>
    <row r="115" spans="1:14" ht="22.5" customHeight="1">
      <c r="A115" s="111" t="str">
        <f ca="1">IF(PRINTERS[[#This Row],[PRODUCT]] &lt;&gt; "", IF(ROW() = 2, "000", TEXT(INDIRECT("A" &amp; ROW() - 1) + 1, "000")), "")</f>
        <v/>
      </c>
      <c r="B115" s="17"/>
      <c r="C115" s="102"/>
      <c r="D115" s="48"/>
      <c r="E115" s="49"/>
      <c r="F115" s="49"/>
      <c r="G115" s="49"/>
      <c r="H115" s="49"/>
      <c r="I115" s="100">
        <f>H115 * salesTaxPct</f>
        <v>0</v>
      </c>
      <c r="J115" s="49"/>
      <c r="K115" s="24"/>
      <c r="L115" s="100">
        <f t="shared" si="1"/>
        <v>0</v>
      </c>
      <c r="M115" s="103"/>
      <c r="N115" s="96" t="str">
        <f ca="1">IF(PRINTERS[[#This Row],[ID]] &lt;&gt; "", IF(A115 = "000", A115 &amp; " | None", A115 &amp; " | " &amp; B115 &amp; " | " &amp; C115), "")</f>
        <v/>
      </c>
    </row>
    <row r="116" spans="1:14" ht="22.5" customHeight="1">
      <c r="A116" s="111" t="str">
        <f ca="1">IF(PRINTERS[[#This Row],[PRODUCT]] &lt;&gt; "", IF(ROW() = 2, "000", TEXT(INDIRECT("A" &amp; ROW() - 1) + 1, "000")), "")</f>
        <v/>
      </c>
      <c r="B116" s="17"/>
      <c r="C116" s="102"/>
      <c r="D116" s="48"/>
      <c r="E116" s="49"/>
      <c r="F116" s="49"/>
      <c r="G116" s="49"/>
      <c r="H116" s="49"/>
      <c r="I116" s="100">
        <f>H116 * salesTaxPct</f>
        <v>0</v>
      </c>
      <c r="J116" s="49"/>
      <c r="K116" s="24"/>
      <c r="L116" s="100">
        <f t="shared" si="1"/>
        <v>0</v>
      </c>
      <c r="M116" s="103"/>
      <c r="N116" s="96" t="str">
        <f ca="1">IF(PRINTERS[[#This Row],[ID]] &lt;&gt; "", IF(A116 = "000", A116 &amp; " | None", A116 &amp; " | " &amp; B116 &amp; " | " &amp; C116), "")</f>
        <v/>
      </c>
    </row>
    <row r="117" spans="1:14" ht="22.5" customHeight="1">
      <c r="A117" s="111" t="str">
        <f ca="1">IF(PRINTERS[[#This Row],[PRODUCT]] &lt;&gt; "", IF(ROW() = 2, "000", TEXT(INDIRECT("A" &amp; ROW() - 1) + 1, "000")), "")</f>
        <v/>
      </c>
      <c r="B117" s="17"/>
      <c r="C117" s="102"/>
      <c r="D117" s="48"/>
      <c r="E117" s="49"/>
      <c r="F117" s="49"/>
      <c r="G117" s="49"/>
      <c r="H117" s="49"/>
      <c r="I117" s="100">
        <f>H117 * salesTaxPct</f>
        <v>0</v>
      </c>
      <c r="J117" s="49"/>
      <c r="K117" s="24"/>
      <c r="L117" s="100">
        <f t="shared" si="1"/>
        <v>0</v>
      </c>
      <c r="M117" s="103"/>
      <c r="N117" s="96" t="str">
        <f ca="1">IF(PRINTERS[[#This Row],[ID]] &lt;&gt; "", IF(A117 = "000", A117 &amp; " | None", A117 &amp; " | " &amp; B117 &amp; " | " &amp; C117), "")</f>
        <v/>
      </c>
    </row>
    <row r="118" spans="1:14" ht="22.5" customHeight="1">
      <c r="A118" s="111" t="str">
        <f ca="1">IF(PRINTERS[[#This Row],[PRODUCT]] &lt;&gt; "", IF(ROW() = 2, "000", TEXT(INDIRECT("A" &amp; ROW() - 1) + 1, "000")), "")</f>
        <v/>
      </c>
      <c r="B118" s="17"/>
      <c r="C118" s="102"/>
      <c r="D118" s="48"/>
      <c r="E118" s="49"/>
      <c r="F118" s="49"/>
      <c r="G118" s="49"/>
      <c r="H118" s="49"/>
      <c r="I118" s="100">
        <f>H118 * salesTaxPct</f>
        <v>0</v>
      </c>
      <c r="J118" s="49"/>
      <c r="K118" s="24"/>
      <c r="L118" s="100">
        <f t="shared" si="1"/>
        <v>0</v>
      </c>
      <c r="M118" s="103"/>
      <c r="N118" s="96" t="str">
        <f ca="1">IF(PRINTERS[[#This Row],[ID]] &lt;&gt; "", IF(A118 = "000", A118 &amp; " | None", A118 &amp; " | " &amp; B118 &amp; " | " &amp; C118), "")</f>
        <v/>
      </c>
    </row>
    <row r="119" spans="1:14" ht="22.5" customHeight="1">
      <c r="A119" s="111" t="str">
        <f ca="1">IF(PRINTERS[[#This Row],[PRODUCT]] &lt;&gt; "", IF(ROW() = 2, "000", TEXT(INDIRECT("A" &amp; ROW() - 1) + 1, "000")), "")</f>
        <v/>
      </c>
      <c r="B119" s="17"/>
      <c r="C119" s="102"/>
      <c r="D119" s="48"/>
      <c r="E119" s="49"/>
      <c r="F119" s="49"/>
      <c r="G119" s="49"/>
      <c r="H119" s="49"/>
      <c r="I119" s="100">
        <f>H119 * salesTaxPct</f>
        <v>0</v>
      </c>
      <c r="J119" s="49"/>
      <c r="K119" s="24"/>
      <c r="L119" s="100">
        <f t="shared" si="1"/>
        <v>0</v>
      </c>
      <c r="M119" s="103"/>
      <c r="N119" s="96" t="str">
        <f ca="1">IF(PRINTERS[[#This Row],[ID]] &lt;&gt; "", IF(A119 = "000", A119 &amp; " | None", A119 &amp; " | " &amp; B119 &amp; " | " &amp; C119), "")</f>
        <v/>
      </c>
    </row>
    <row r="120" spans="1:14" ht="22.5" customHeight="1">
      <c r="A120" s="111" t="str">
        <f ca="1">IF(PRINTERS[[#This Row],[PRODUCT]] &lt;&gt; "", IF(ROW() = 2, "000", TEXT(INDIRECT("A" &amp; ROW() - 1) + 1, "000")), "")</f>
        <v/>
      </c>
      <c r="B120" s="17"/>
      <c r="C120" s="102"/>
      <c r="D120" s="48"/>
      <c r="E120" s="49"/>
      <c r="F120" s="49"/>
      <c r="G120" s="49"/>
      <c r="H120" s="49"/>
      <c r="I120" s="100">
        <f>H120 * salesTaxPct</f>
        <v>0</v>
      </c>
      <c r="J120" s="49"/>
      <c r="K120" s="24"/>
      <c r="L120" s="100">
        <f t="shared" si="1"/>
        <v>0</v>
      </c>
      <c r="M120" s="103"/>
      <c r="N120" s="96" t="str">
        <f ca="1">IF(PRINTERS[[#This Row],[ID]] &lt;&gt; "", IF(A120 = "000", A120 &amp; " | None", A120 &amp; " | " &amp; B120 &amp; " | " &amp; C120), "")</f>
        <v/>
      </c>
    </row>
    <row r="121" spans="1:14" ht="22.5" customHeight="1">
      <c r="A121" s="111" t="str">
        <f ca="1">IF(PRINTERS[[#This Row],[PRODUCT]] &lt;&gt; "", IF(ROW() = 2, "000", TEXT(INDIRECT("A" &amp; ROW() - 1) + 1, "000")), "")</f>
        <v/>
      </c>
      <c r="B121" s="17"/>
      <c r="C121" s="102"/>
      <c r="D121" s="48"/>
      <c r="E121" s="49"/>
      <c r="F121" s="49"/>
      <c r="G121" s="49"/>
      <c r="H121" s="49"/>
      <c r="I121" s="100">
        <f>H121 * salesTaxPct</f>
        <v>0</v>
      </c>
      <c r="J121" s="49"/>
      <c r="K121" s="24"/>
      <c r="L121" s="100">
        <f t="shared" si="1"/>
        <v>0</v>
      </c>
      <c r="M121" s="103"/>
      <c r="N121" s="96" t="str">
        <f ca="1">IF(PRINTERS[[#This Row],[ID]] &lt;&gt; "", IF(A121 = "000", A121 &amp; " | None", A121 &amp; " | " &amp; B121 &amp; " | " &amp; C121), "")</f>
        <v/>
      </c>
    </row>
    <row r="122" spans="1:14" ht="22.5" customHeight="1">
      <c r="A122" s="111" t="str">
        <f ca="1">IF(PRINTERS[[#This Row],[PRODUCT]] &lt;&gt; "", IF(ROW() = 2, "000", TEXT(INDIRECT("A" &amp; ROW() - 1) + 1, "000")), "")</f>
        <v/>
      </c>
      <c r="B122" s="17"/>
      <c r="C122" s="102"/>
      <c r="D122" s="48"/>
      <c r="E122" s="49"/>
      <c r="F122" s="49"/>
      <c r="G122" s="49"/>
      <c r="H122" s="49"/>
      <c r="I122" s="100">
        <f>H122 * salesTaxPct</f>
        <v>0</v>
      </c>
      <c r="J122" s="49"/>
      <c r="K122" s="24"/>
      <c r="L122" s="100">
        <f t="shared" si="1"/>
        <v>0</v>
      </c>
      <c r="M122" s="103"/>
      <c r="N122" s="96" t="str">
        <f ca="1">IF(PRINTERS[[#This Row],[ID]] &lt;&gt; "", IF(A122 = "000", A122 &amp; " | None", A122 &amp; " | " &amp; B122 &amp; " | " &amp; C122), "")</f>
        <v/>
      </c>
    </row>
    <row r="123" spans="1:14" ht="22.5" customHeight="1">
      <c r="A123" s="111" t="str">
        <f ca="1">IF(PRINTERS[[#This Row],[PRODUCT]] &lt;&gt; "", IF(ROW() = 2, "000", TEXT(INDIRECT("A" &amp; ROW() - 1) + 1, "000")), "")</f>
        <v/>
      </c>
      <c r="B123" s="17"/>
      <c r="C123" s="102"/>
      <c r="D123" s="48"/>
      <c r="E123" s="49"/>
      <c r="F123" s="49"/>
      <c r="G123" s="49"/>
      <c r="H123" s="49"/>
      <c r="I123" s="100">
        <f>H123 * salesTaxPct</f>
        <v>0</v>
      </c>
      <c r="J123" s="49"/>
      <c r="K123" s="24"/>
      <c r="L123" s="100">
        <f t="shared" si="1"/>
        <v>0</v>
      </c>
      <c r="M123" s="103"/>
      <c r="N123" s="96" t="str">
        <f ca="1">IF(PRINTERS[[#This Row],[ID]] &lt;&gt; "", IF(A123 = "000", A123 &amp; " | None", A123 &amp; " | " &amp; B123 &amp; " | " &amp; C123), "")</f>
        <v/>
      </c>
    </row>
    <row r="124" spans="1:14" ht="22.5" customHeight="1">
      <c r="A124" s="111" t="str">
        <f ca="1">IF(PRINTERS[[#This Row],[PRODUCT]] &lt;&gt; "", IF(ROW() = 2, "000", TEXT(INDIRECT("A" &amp; ROW() - 1) + 1, "000")), "")</f>
        <v/>
      </c>
      <c r="B124" s="17"/>
      <c r="C124" s="102"/>
      <c r="D124" s="48"/>
      <c r="E124" s="49"/>
      <c r="F124" s="49"/>
      <c r="G124" s="49"/>
      <c r="H124" s="49"/>
      <c r="I124" s="100">
        <f>H124 * salesTaxPct</f>
        <v>0</v>
      </c>
      <c r="J124" s="49"/>
      <c r="K124" s="24"/>
      <c r="L124" s="100">
        <f t="shared" si="1"/>
        <v>0</v>
      </c>
      <c r="M124" s="103"/>
      <c r="N124" s="96" t="str">
        <f ca="1">IF(PRINTERS[[#This Row],[ID]] &lt;&gt; "", IF(A124 = "000", A124 &amp; " | None", A124 &amp; " | " &amp; B124 &amp; " | " &amp; C124), "")</f>
        <v/>
      </c>
    </row>
    <row r="125" spans="1:14" ht="22.5" customHeight="1">
      <c r="A125" s="111" t="str">
        <f ca="1">IF(PRINTERS[[#This Row],[PRODUCT]] &lt;&gt; "", IF(ROW() = 2, "000", TEXT(INDIRECT("A" &amp; ROW() - 1) + 1, "000")), "")</f>
        <v/>
      </c>
      <c r="B125" s="17"/>
      <c r="C125" s="102"/>
      <c r="D125" s="48"/>
      <c r="E125" s="49"/>
      <c r="F125" s="49"/>
      <c r="G125" s="49"/>
      <c r="H125" s="49"/>
      <c r="I125" s="100">
        <f>H125 * salesTaxPct</f>
        <v>0</v>
      </c>
      <c r="J125" s="49"/>
      <c r="K125" s="24"/>
      <c r="L125" s="100">
        <f t="shared" si="1"/>
        <v>0</v>
      </c>
      <c r="M125" s="103"/>
      <c r="N125" s="96" t="str">
        <f ca="1">IF(PRINTERS[[#This Row],[ID]] &lt;&gt; "", IF(A125 = "000", A125 &amp; " | None", A125 &amp; " | " &amp; B125 &amp; " | " &amp; C125), "")</f>
        <v/>
      </c>
    </row>
    <row r="126" spans="1:14" ht="22.5" customHeight="1">
      <c r="A126" s="111" t="str">
        <f ca="1">IF(PRINTERS[[#This Row],[PRODUCT]] &lt;&gt; "", IF(ROW() = 2, "000", TEXT(INDIRECT("A" &amp; ROW() - 1) + 1, "000")), "")</f>
        <v/>
      </c>
      <c r="B126" s="17"/>
      <c r="C126" s="102"/>
      <c r="D126" s="48"/>
      <c r="E126" s="49"/>
      <c r="F126" s="49"/>
      <c r="G126" s="49"/>
      <c r="H126" s="49"/>
      <c r="I126" s="100">
        <f>H126 * salesTaxPct</f>
        <v>0</v>
      </c>
      <c r="J126" s="49"/>
      <c r="K126" s="24"/>
      <c r="L126" s="100">
        <f t="shared" si="1"/>
        <v>0</v>
      </c>
      <c r="M126" s="103"/>
      <c r="N126" s="96" t="str">
        <f ca="1">IF(PRINTERS[[#This Row],[ID]] &lt;&gt; "", IF(A126 = "000", A126 &amp; " | None", A126 &amp; " | " &amp; B126 &amp; " | " &amp; C126), "")</f>
        <v/>
      </c>
    </row>
    <row r="127" spans="1:14" ht="22.5" customHeight="1">
      <c r="A127" s="111" t="str">
        <f ca="1">IF(PRINTERS[[#This Row],[PRODUCT]] &lt;&gt; "", IF(ROW() = 2, "000", TEXT(INDIRECT("A" &amp; ROW() - 1) + 1, "000")), "")</f>
        <v/>
      </c>
      <c r="B127" s="17"/>
      <c r="C127" s="102"/>
      <c r="D127" s="48"/>
      <c r="E127" s="49"/>
      <c r="F127" s="49"/>
      <c r="G127" s="49"/>
      <c r="H127" s="49"/>
      <c r="I127" s="100">
        <f>H127 * salesTaxPct</f>
        <v>0</v>
      </c>
      <c r="J127" s="49"/>
      <c r="K127" s="24"/>
      <c r="L127" s="100">
        <f t="shared" si="1"/>
        <v>0</v>
      </c>
      <c r="M127" s="103"/>
      <c r="N127" s="96" t="str">
        <f ca="1">IF(PRINTERS[[#This Row],[ID]] &lt;&gt; "", IF(A127 = "000", A127 &amp; " | None", A127 &amp; " | " &amp; B127 &amp; " | " &amp; C127), "")</f>
        <v/>
      </c>
    </row>
    <row r="128" spans="1:14" ht="22.5" customHeight="1">
      <c r="A128" s="111" t="str">
        <f ca="1">IF(PRINTERS[[#This Row],[PRODUCT]] &lt;&gt; "", IF(ROW() = 2, "000", TEXT(INDIRECT("A" &amp; ROW() - 1) + 1, "000")), "")</f>
        <v/>
      </c>
      <c r="B128" s="17"/>
      <c r="C128" s="102"/>
      <c r="D128" s="48"/>
      <c r="E128" s="49"/>
      <c r="F128" s="49"/>
      <c r="G128" s="49"/>
      <c r="H128" s="49"/>
      <c r="I128" s="100">
        <f>H128 * salesTaxPct</f>
        <v>0</v>
      </c>
      <c r="J128" s="49"/>
      <c r="K128" s="24"/>
      <c r="L128" s="100">
        <f t="shared" si="1"/>
        <v>0</v>
      </c>
      <c r="M128" s="103"/>
      <c r="N128" s="96" t="str">
        <f ca="1">IF(PRINTERS[[#This Row],[ID]] &lt;&gt; "", IF(A128 = "000", A128 &amp; " | None", A128 &amp; " | " &amp; B128 &amp; " | " &amp; C128), "")</f>
        <v/>
      </c>
    </row>
    <row r="129" spans="1:14" ht="22.5" customHeight="1">
      <c r="A129" s="111" t="str">
        <f ca="1">IF(PRINTERS[[#This Row],[PRODUCT]] &lt;&gt; "", IF(ROW() = 2, "000", TEXT(INDIRECT("A" &amp; ROW() - 1) + 1, "000")), "")</f>
        <v/>
      </c>
      <c r="B129" s="17"/>
      <c r="C129" s="102"/>
      <c r="D129" s="48"/>
      <c r="E129" s="49"/>
      <c r="F129" s="49"/>
      <c r="G129" s="49"/>
      <c r="H129" s="49"/>
      <c r="I129" s="100">
        <f>H129 * salesTaxPct</f>
        <v>0</v>
      </c>
      <c r="J129" s="49"/>
      <c r="K129" s="24"/>
      <c r="L129" s="100">
        <f t="shared" si="1"/>
        <v>0</v>
      </c>
      <c r="M129" s="103"/>
      <c r="N129" s="96" t="str">
        <f ca="1">IF(PRINTERS[[#This Row],[ID]] &lt;&gt; "", IF(A129 = "000", A129 &amp; " | None", A129 &amp; " | " &amp; B129 &amp; " | " &amp; C129), "")</f>
        <v/>
      </c>
    </row>
    <row r="130" spans="1:14" ht="22.5" customHeight="1">
      <c r="A130" s="111" t="str">
        <f ca="1">IF(PRINTERS[[#This Row],[PRODUCT]] &lt;&gt; "", IF(ROW() = 2, "000", TEXT(INDIRECT("A" &amp; ROW() - 1) + 1, "000")), "")</f>
        <v/>
      </c>
      <c r="B130" s="17"/>
      <c r="C130" s="102"/>
      <c r="D130" s="48"/>
      <c r="E130" s="49"/>
      <c r="F130" s="49"/>
      <c r="G130" s="49"/>
      <c r="H130" s="49"/>
      <c r="I130" s="100">
        <f>H130 * salesTaxPct</f>
        <v>0</v>
      </c>
      <c r="J130" s="49"/>
      <c r="K130" s="24"/>
      <c r="L130" s="100">
        <f t="shared" ref="L130:L193" si="2">H130 + I130 + J130 + K130</f>
        <v>0</v>
      </c>
      <c r="M130" s="103"/>
      <c r="N130" s="96" t="str">
        <f ca="1">IF(PRINTERS[[#This Row],[ID]] &lt;&gt; "", IF(A130 = "000", A130 &amp; " | None", A130 &amp; " | " &amp; B130 &amp; " | " &amp; C130), "")</f>
        <v/>
      </c>
    </row>
    <row r="131" spans="1:14" ht="22.5" customHeight="1">
      <c r="A131" s="111" t="str">
        <f ca="1">IF(PRINTERS[[#This Row],[PRODUCT]] &lt;&gt; "", IF(ROW() = 2, "000", TEXT(INDIRECT("A" &amp; ROW() - 1) + 1, "000")), "")</f>
        <v/>
      </c>
      <c r="B131" s="17"/>
      <c r="C131" s="102"/>
      <c r="D131" s="48"/>
      <c r="E131" s="49"/>
      <c r="F131" s="49"/>
      <c r="G131" s="49"/>
      <c r="H131" s="49"/>
      <c r="I131" s="100">
        <f>H131 * salesTaxPct</f>
        <v>0</v>
      </c>
      <c r="J131" s="49"/>
      <c r="K131" s="24"/>
      <c r="L131" s="100">
        <f t="shared" si="2"/>
        <v>0</v>
      </c>
      <c r="M131" s="103"/>
      <c r="N131" s="96" t="str">
        <f ca="1">IF(PRINTERS[[#This Row],[ID]] &lt;&gt; "", IF(A131 = "000", A131 &amp; " | None", A131 &amp; " | " &amp; B131 &amp; " | " &amp; C131), "")</f>
        <v/>
      </c>
    </row>
    <row r="132" spans="1:14" ht="22.5" customHeight="1">
      <c r="A132" s="111" t="str">
        <f ca="1">IF(PRINTERS[[#This Row],[PRODUCT]] &lt;&gt; "", IF(ROW() = 2, "000", TEXT(INDIRECT("A" &amp; ROW() - 1) + 1, "000")), "")</f>
        <v/>
      </c>
      <c r="B132" s="17"/>
      <c r="C132" s="102"/>
      <c r="D132" s="48"/>
      <c r="E132" s="49"/>
      <c r="F132" s="49"/>
      <c r="G132" s="49"/>
      <c r="H132" s="49"/>
      <c r="I132" s="100">
        <f>H132 * salesTaxPct</f>
        <v>0</v>
      </c>
      <c r="J132" s="49"/>
      <c r="K132" s="24"/>
      <c r="L132" s="100">
        <f t="shared" si="2"/>
        <v>0</v>
      </c>
      <c r="M132" s="103"/>
      <c r="N132" s="96" t="str">
        <f ca="1">IF(PRINTERS[[#This Row],[ID]] &lt;&gt; "", IF(A132 = "000", A132 &amp; " | None", A132 &amp; " | " &amp; B132 &amp; " | " &amp; C132), "")</f>
        <v/>
      </c>
    </row>
    <row r="133" spans="1:14" ht="22.5" customHeight="1">
      <c r="A133" s="111" t="str">
        <f ca="1">IF(PRINTERS[[#This Row],[PRODUCT]] &lt;&gt; "", IF(ROW() = 2, "000", TEXT(INDIRECT("A" &amp; ROW() - 1) + 1, "000")), "")</f>
        <v/>
      </c>
      <c r="B133" s="17"/>
      <c r="C133" s="102"/>
      <c r="D133" s="48"/>
      <c r="E133" s="49"/>
      <c r="F133" s="49"/>
      <c r="G133" s="49"/>
      <c r="H133" s="49"/>
      <c r="I133" s="100">
        <f>H133 * salesTaxPct</f>
        <v>0</v>
      </c>
      <c r="J133" s="49"/>
      <c r="K133" s="24"/>
      <c r="L133" s="100">
        <f t="shared" si="2"/>
        <v>0</v>
      </c>
      <c r="M133" s="103"/>
      <c r="N133" s="96" t="str">
        <f ca="1">IF(PRINTERS[[#This Row],[ID]] &lt;&gt; "", IF(A133 = "000", A133 &amp; " | None", A133 &amp; " | " &amp; B133 &amp; " | " &amp; C133), "")</f>
        <v/>
      </c>
    </row>
    <row r="134" spans="1:14" ht="22.5" customHeight="1">
      <c r="A134" s="111" t="str">
        <f ca="1">IF(PRINTERS[[#This Row],[PRODUCT]] &lt;&gt; "", IF(ROW() = 2, "000", TEXT(INDIRECT("A" &amp; ROW() - 1) + 1, "000")), "")</f>
        <v/>
      </c>
      <c r="B134" s="17"/>
      <c r="C134" s="102"/>
      <c r="D134" s="48"/>
      <c r="E134" s="49"/>
      <c r="F134" s="49"/>
      <c r="G134" s="49"/>
      <c r="H134" s="49"/>
      <c r="I134" s="100">
        <f>H134 * salesTaxPct</f>
        <v>0</v>
      </c>
      <c r="J134" s="49"/>
      <c r="K134" s="24"/>
      <c r="L134" s="100">
        <f t="shared" si="2"/>
        <v>0</v>
      </c>
      <c r="M134" s="103"/>
      <c r="N134" s="96" t="str">
        <f ca="1">IF(PRINTERS[[#This Row],[ID]] &lt;&gt; "", IF(A134 = "000", A134 &amp; " | None", A134 &amp; " | " &amp; B134 &amp; " | " &amp; C134), "")</f>
        <v/>
      </c>
    </row>
    <row r="135" spans="1:14" ht="22.5" customHeight="1">
      <c r="A135" s="111" t="str">
        <f ca="1">IF(PRINTERS[[#This Row],[PRODUCT]] &lt;&gt; "", IF(ROW() = 2, "000", TEXT(INDIRECT("A" &amp; ROW() - 1) + 1, "000")), "")</f>
        <v/>
      </c>
      <c r="B135" s="17"/>
      <c r="C135" s="102"/>
      <c r="D135" s="48"/>
      <c r="E135" s="49"/>
      <c r="F135" s="49"/>
      <c r="G135" s="49"/>
      <c r="H135" s="49"/>
      <c r="I135" s="100">
        <f>H135 * salesTaxPct</f>
        <v>0</v>
      </c>
      <c r="J135" s="49"/>
      <c r="K135" s="24"/>
      <c r="L135" s="100">
        <f t="shared" si="2"/>
        <v>0</v>
      </c>
      <c r="M135" s="103"/>
      <c r="N135" s="96" t="str">
        <f ca="1">IF(PRINTERS[[#This Row],[ID]] &lt;&gt; "", IF(A135 = "000", A135 &amp; " | None", A135 &amp; " | " &amp; B135 &amp; " | " &amp; C135), "")</f>
        <v/>
      </c>
    </row>
    <row r="136" spans="1:14" ht="22.5" customHeight="1">
      <c r="A136" s="111" t="str">
        <f ca="1">IF(PRINTERS[[#This Row],[PRODUCT]] &lt;&gt; "", IF(ROW() = 2, "000", TEXT(INDIRECT("A" &amp; ROW() - 1) + 1, "000")), "")</f>
        <v/>
      </c>
      <c r="B136" s="17"/>
      <c r="C136" s="102"/>
      <c r="D136" s="48"/>
      <c r="E136" s="49"/>
      <c r="F136" s="49"/>
      <c r="G136" s="49"/>
      <c r="H136" s="49"/>
      <c r="I136" s="100">
        <f>H136 * salesTaxPct</f>
        <v>0</v>
      </c>
      <c r="J136" s="49"/>
      <c r="K136" s="24"/>
      <c r="L136" s="100">
        <f t="shared" si="2"/>
        <v>0</v>
      </c>
      <c r="M136" s="103"/>
      <c r="N136" s="96" t="str">
        <f ca="1">IF(PRINTERS[[#This Row],[ID]] &lt;&gt; "", IF(A136 = "000", A136 &amp; " | None", A136 &amp; " | " &amp; B136 &amp; " | " &amp; C136), "")</f>
        <v/>
      </c>
    </row>
    <row r="137" spans="1:14" ht="22.5" customHeight="1">
      <c r="A137" s="111" t="str">
        <f ca="1">IF(PRINTERS[[#This Row],[PRODUCT]] &lt;&gt; "", IF(ROW() = 2, "000", TEXT(INDIRECT("A" &amp; ROW() - 1) + 1, "000")), "")</f>
        <v/>
      </c>
      <c r="B137" s="17"/>
      <c r="C137" s="102"/>
      <c r="D137" s="48"/>
      <c r="E137" s="49"/>
      <c r="F137" s="49"/>
      <c r="G137" s="49"/>
      <c r="H137" s="49"/>
      <c r="I137" s="100">
        <f>H137 * salesTaxPct</f>
        <v>0</v>
      </c>
      <c r="J137" s="49"/>
      <c r="K137" s="24"/>
      <c r="L137" s="100">
        <f t="shared" si="2"/>
        <v>0</v>
      </c>
      <c r="M137" s="103"/>
      <c r="N137" s="96" t="str">
        <f ca="1">IF(PRINTERS[[#This Row],[ID]] &lt;&gt; "", IF(A137 = "000", A137 &amp; " | None", A137 &amp; " | " &amp; B137 &amp; " | " &amp; C137), "")</f>
        <v/>
      </c>
    </row>
    <row r="138" spans="1:14" ht="22.5" customHeight="1">
      <c r="A138" s="111" t="str">
        <f ca="1">IF(PRINTERS[[#This Row],[PRODUCT]] &lt;&gt; "", IF(ROW() = 2, "000", TEXT(INDIRECT("A" &amp; ROW() - 1) + 1, "000")), "")</f>
        <v/>
      </c>
      <c r="B138" s="17"/>
      <c r="C138" s="102"/>
      <c r="D138" s="48"/>
      <c r="E138" s="49"/>
      <c r="F138" s="49"/>
      <c r="G138" s="49"/>
      <c r="H138" s="49"/>
      <c r="I138" s="100">
        <f>H138 * salesTaxPct</f>
        <v>0</v>
      </c>
      <c r="J138" s="49"/>
      <c r="K138" s="24"/>
      <c r="L138" s="100">
        <f t="shared" si="2"/>
        <v>0</v>
      </c>
      <c r="M138" s="103"/>
      <c r="N138" s="96" t="str">
        <f ca="1">IF(PRINTERS[[#This Row],[ID]] &lt;&gt; "", IF(A138 = "000", A138 &amp; " | None", A138 &amp; " | " &amp; B138 &amp; " | " &amp; C138), "")</f>
        <v/>
      </c>
    </row>
    <row r="139" spans="1:14" ht="22.5" customHeight="1">
      <c r="A139" s="111" t="str">
        <f ca="1">IF(PRINTERS[[#This Row],[PRODUCT]] &lt;&gt; "", IF(ROW() = 2, "000", TEXT(INDIRECT("A" &amp; ROW() - 1) + 1, "000")), "")</f>
        <v/>
      </c>
      <c r="B139" s="17"/>
      <c r="C139" s="102"/>
      <c r="D139" s="48"/>
      <c r="E139" s="49"/>
      <c r="F139" s="49"/>
      <c r="G139" s="49"/>
      <c r="H139" s="49"/>
      <c r="I139" s="100">
        <f>H139 * salesTaxPct</f>
        <v>0</v>
      </c>
      <c r="J139" s="49"/>
      <c r="K139" s="24"/>
      <c r="L139" s="100">
        <f t="shared" si="2"/>
        <v>0</v>
      </c>
      <c r="M139" s="103"/>
      <c r="N139" s="96" t="str">
        <f ca="1">IF(PRINTERS[[#This Row],[ID]] &lt;&gt; "", IF(A139 = "000", A139 &amp; " | None", A139 &amp; " | " &amp; B139 &amp; " | " &amp; C139), "")</f>
        <v/>
      </c>
    </row>
    <row r="140" spans="1:14" ht="22.5" customHeight="1">
      <c r="A140" s="111" t="str">
        <f ca="1">IF(PRINTERS[[#This Row],[PRODUCT]] &lt;&gt; "", IF(ROW() = 2, "000", TEXT(INDIRECT("A" &amp; ROW() - 1) + 1, "000")), "")</f>
        <v/>
      </c>
      <c r="B140" s="17"/>
      <c r="C140" s="102"/>
      <c r="D140" s="48"/>
      <c r="E140" s="49"/>
      <c r="F140" s="49"/>
      <c r="G140" s="49"/>
      <c r="H140" s="49"/>
      <c r="I140" s="100">
        <f>H140 * salesTaxPct</f>
        <v>0</v>
      </c>
      <c r="J140" s="49"/>
      <c r="K140" s="24"/>
      <c r="L140" s="100">
        <f t="shared" si="2"/>
        <v>0</v>
      </c>
      <c r="M140" s="103"/>
      <c r="N140" s="96" t="str">
        <f ca="1">IF(PRINTERS[[#This Row],[ID]] &lt;&gt; "", IF(A140 = "000", A140 &amp; " | None", A140 &amp; " | " &amp; B140 &amp; " | " &amp; C140), "")</f>
        <v/>
      </c>
    </row>
    <row r="141" spans="1:14" ht="22.5" customHeight="1">
      <c r="A141" s="111" t="str">
        <f ca="1">IF(PRINTERS[[#This Row],[PRODUCT]] &lt;&gt; "", IF(ROW() = 2, "000", TEXT(INDIRECT("A" &amp; ROW() - 1) + 1, "000")), "")</f>
        <v/>
      </c>
      <c r="B141" s="17"/>
      <c r="C141" s="102"/>
      <c r="D141" s="48"/>
      <c r="E141" s="49"/>
      <c r="F141" s="49"/>
      <c r="G141" s="49"/>
      <c r="H141" s="49"/>
      <c r="I141" s="100">
        <f>H141 * salesTaxPct</f>
        <v>0</v>
      </c>
      <c r="J141" s="49"/>
      <c r="K141" s="24"/>
      <c r="L141" s="100">
        <f t="shared" si="2"/>
        <v>0</v>
      </c>
      <c r="M141" s="103"/>
      <c r="N141" s="96" t="str">
        <f ca="1">IF(PRINTERS[[#This Row],[ID]] &lt;&gt; "", IF(A141 = "000", A141 &amp; " | None", A141 &amp; " | " &amp; B141 &amp; " | " &amp; C141), "")</f>
        <v/>
      </c>
    </row>
    <row r="142" spans="1:14" ht="22.5" customHeight="1">
      <c r="A142" s="111" t="str">
        <f ca="1">IF(PRINTERS[[#This Row],[PRODUCT]] &lt;&gt; "", IF(ROW() = 2, "000", TEXT(INDIRECT("A" &amp; ROW() - 1) + 1, "000")), "")</f>
        <v/>
      </c>
      <c r="B142" s="17"/>
      <c r="C142" s="102"/>
      <c r="D142" s="48"/>
      <c r="E142" s="49"/>
      <c r="F142" s="49"/>
      <c r="G142" s="49"/>
      <c r="H142" s="49"/>
      <c r="I142" s="100">
        <f>H142 * salesTaxPct</f>
        <v>0</v>
      </c>
      <c r="J142" s="49"/>
      <c r="K142" s="24"/>
      <c r="L142" s="100">
        <f t="shared" si="2"/>
        <v>0</v>
      </c>
      <c r="M142" s="103"/>
      <c r="N142" s="96" t="str">
        <f ca="1">IF(PRINTERS[[#This Row],[ID]] &lt;&gt; "", IF(A142 = "000", A142 &amp; " | None", A142 &amp; " | " &amp; B142 &amp; " | " &amp; C142), "")</f>
        <v/>
      </c>
    </row>
    <row r="143" spans="1:14" ht="22.5" customHeight="1">
      <c r="A143" s="111" t="str">
        <f ca="1">IF(PRINTERS[[#This Row],[PRODUCT]] &lt;&gt; "", IF(ROW() = 2, "000", TEXT(INDIRECT("A" &amp; ROW() - 1) + 1, "000")), "")</f>
        <v/>
      </c>
      <c r="B143" s="17"/>
      <c r="C143" s="102"/>
      <c r="D143" s="48"/>
      <c r="E143" s="49"/>
      <c r="F143" s="49"/>
      <c r="G143" s="49"/>
      <c r="H143" s="49"/>
      <c r="I143" s="100">
        <f>H143 * salesTaxPct</f>
        <v>0</v>
      </c>
      <c r="J143" s="49"/>
      <c r="K143" s="24"/>
      <c r="L143" s="100">
        <f t="shared" si="2"/>
        <v>0</v>
      </c>
      <c r="M143" s="103"/>
      <c r="N143" s="96" t="str">
        <f ca="1">IF(PRINTERS[[#This Row],[ID]] &lt;&gt; "", IF(A143 = "000", A143 &amp; " | None", A143 &amp; " | " &amp; B143 &amp; " | " &amp; C143), "")</f>
        <v/>
      </c>
    </row>
    <row r="144" spans="1:14" ht="22.5" customHeight="1">
      <c r="A144" s="111" t="str">
        <f ca="1">IF(PRINTERS[[#This Row],[PRODUCT]] &lt;&gt; "", IF(ROW() = 2, "000", TEXT(INDIRECT("A" &amp; ROW() - 1) + 1, "000")), "")</f>
        <v/>
      </c>
      <c r="B144" s="17"/>
      <c r="C144" s="102"/>
      <c r="D144" s="48"/>
      <c r="E144" s="49"/>
      <c r="F144" s="49"/>
      <c r="G144" s="49"/>
      <c r="H144" s="49"/>
      <c r="I144" s="100">
        <f>H144 * salesTaxPct</f>
        <v>0</v>
      </c>
      <c r="J144" s="49"/>
      <c r="K144" s="24"/>
      <c r="L144" s="100">
        <f t="shared" si="2"/>
        <v>0</v>
      </c>
      <c r="M144" s="103"/>
      <c r="N144" s="96" t="str">
        <f ca="1">IF(PRINTERS[[#This Row],[ID]] &lt;&gt; "", IF(A144 = "000", A144 &amp; " | None", A144 &amp; " | " &amp; B144 &amp; " | " &amp; C144), "")</f>
        <v/>
      </c>
    </row>
    <row r="145" spans="1:14" ht="22.5" customHeight="1">
      <c r="A145" s="111" t="str">
        <f ca="1">IF(PRINTERS[[#This Row],[PRODUCT]] &lt;&gt; "", IF(ROW() = 2, "000", TEXT(INDIRECT("A" &amp; ROW() - 1) + 1, "000")), "")</f>
        <v/>
      </c>
      <c r="B145" s="17"/>
      <c r="C145" s="102"/>
      <c r="D145" s="48"/>
      <c r="E145" s="49"/>
      <c r="F145" s="49"/>
      <c r="G145" s="49"/>
      <c r="H145" s="49"/>
      <c r="I145" s="100">
        <f>H145 * salesTaxPct</f>
        <v>0</v>
      </c>
      <c r="J145" s="49"/>
      <c r="K145" s="24"/>
      <c r="L145" s="100">
        <f t="shared" si="2"/>
        <v>0</v>
      </c>
      <c r="M145" s="103"/>
      <c r="N145" s="96" t="str">
        <f ca="1">IF(PRINTERS[[#This Row],[ID]] &lt;&gt; "", IF(A145 = "000", A145 &amp; " | None", A145 &amp; " | " &amp; B145 &amp; " | " &amp; C145), "")</f>
        <v/>
      </c>
    </row>
    <row r="146" spans="1:14" ht="22.5" customHeight="1">
      <c r="A146" s="111" t="str">
        <f ca="1">IF(PRINTERS[[#This Row],[PRODUCT]] &lt;&gt; "", IF(ROW() = 2, "000", TEXT(INDIRECT("A" &amp; ROW() - 1) + 1, "000")), "")</f>
        <v/>
      </c>
      <c r="B146" s="17"/>
      <c r="C146" s="102"/>
      <c r="D146" s="48"/>
      <c r="E146" s="49"/>
      <c r="F146" s="49"/>
      <c r="G146" s="49"/>
      <c r="H146" s="49"/>
      <c r="I146" s="100">
        <f>H146 * salesTaxPct</f>
        <v>0</v>
      </c>
      <c r="J146" s="49"/>
      <c r="K146" s="24"/>
      <c r="L146" s="100">
        <f t="shared" si="2"/>
        <v>0</v>
      </c>
      <c r="M146" s="103"/>
      <c r="N146" s="96" t="str">
        <f ca="1">IF(PRINTERS[[#This Row],[ID]] &lt;&gt; "", IF(A146 = "000", A146 &amp; " | None", A146 &amp; " | " &amp; B146 &amp; " | " &amp; C146), "")</f>
        <v/>
      </c>
    </row>
    <row r="147" spans="1:14" ht="22.5" customHeight="1">
      <c r="A147" s="111" t="str">
        <f ca="1">IF(PRINTERS[[#This Row],[PRODUCT]] &lt;&gt; "", IF(ROW() = 2, "000", TEXT(INDIRECT("A" &amp; ROW() - 1) + 1, "000")), "")</f>
        <v/>
      </c>
      <c r="B147" s="17"/>
      <c r="C147" s="102"/>
      <c r="D147" s="48"/>
      <c r="E147" s="49"/>
      <c r="F147" s="49"/>
      <c r="G147" s="49"/>
      <c r="H147" s="49"/>
      <c r="I147" s="100">
        <f>H147 * salesTaxPct</f>
        <v>0</v>
      </c>
      <c r="J147" s="49"/>
      <c r="K147" s="24"/>
      <c r="L147" s="100">
        <f t="shared" si="2"/>
        <v>0</v>
      </c>
      <c r="M147" s="103"/>
      <c r="N147" s="96" t="str">
        <f ca="1">IF(PRINTERS[[#This Row],[ID]] &lt;&gt; "", IF(A147 = "000", A147 &amp; " | None", A147 &amp; " | " &amp; B147 &amp; " | " &amp; C147), "")</f>
        <v/>
      </c>
    </row>
    <row r="148" spans="1:14" ht="22.5" customHeight="1">
      <c r="A148" s="111" t="str">
        <f ca="1">IF(PRINTERS[[#This Row],[PRODUCT]] &lt;&gt; "", IF(ROW() = 2, "000", TEXT(INDIRECT("A" &amp; ROW() - 1) + 1, "000")), "")</f>
        <v/>
      </c>
      <c r="B148" s="17"/>
      <c r="C148" s="102"/>
      <c r="D148" s="48"/>
      <c r="E148" s="49"/>
      <c r="F148" s="49"/>
      <c r="G148" s="49"/>
      <c r="H148" s="49"/>
      <c r="I148" s="100">
        <f>H148 * salesTaxPct</f>
        <v>0</v>
      </c>
      <c r="J148" s="49"/>
      <c r="K148" s="24"/>
      <c r="L148" s="100">
        <f t="shared" si="2"/>
        <v>0</v>
      </c>
      <c r="M148" s="103"/>
      <c r="N148" s="96" t="str">
        <f ca="1">IF(PRINTERS[[#This Row],[ID]] &lt;&gt; "", IF(A148 = "000", A148 &amp; " | None", A148 &amp; " | " &amp; B148 &amp; " | " &amp; C148), "")</f>
        <v/>
      </c>
    </row>
    <row r="149" spans="1:14" ht="22.5" customHeight="1">
      <c r="A149" s="111" t="str">
        <f ca="1">IF(PRINTERS[[#This Row],[PRODUCT]] &lt;&gt; "", IF(ROW() = 2, "000", TEXT(INDIRECT("A" &amp; ROW() - 1) + 1, "000")), "")</f>
        <v/>
      </c>
      <c r="B149" s="17"/>
      <c r="C149" s="102"/>
      <c r="D149" s="48"/>
      <c r="E149" s="49"/>
      <c r="F149" s="49"/>
      <c r="G149" s="49"/>
      <c r="H149" s="49"/>
      <c r="I149" s="100">
        <f>H149 * salesTaxPct</f>
        <v>0</v>
      </c>
      <c r="J149" s="49"/>
      <c r="K149" s="24"/>
      <c r="L149" s="100">
        <f t="shared" si="2"/>
        <v>0</v>
      </c>
      <c r="M149" s="103"/>
      <c r="N149" s="96" t="str">
        <f ca="1">IF(PRINTERS[[#This Row],[ID]] &lt;&gt; "", IF(A149 = "000", A149 &amp; " | None", A149 &amp; " | " &amp; B149 &amp; " | " &amp; C149), "")</f>
        <v/>
      </c>
    </row>
    <row r="150" spans="1:14" ht="22.5" customHeight="1">
      <c r="A150" s="111" t="str">
        <f ca="1">IF(PRINTERS[[#This Row],[PRODUCT]] &lt;&gt; "", IF(ROW() = 2, "000", TEXT(INDIRECT("A" &amp; ROW() - 1) + 1, "000")), "")</f>
        <v/>
      </c>
      <c r="B150" s="17"/>
      <c r="C150" s="102"/>
      <c r="D150" s="48"/>
      <c r="E150" s="49"/>
      <c r="F150" s="49"/>
      <c r="G150" s="49"/>
      <c r="H150" s="49"/>
      <c r="I150" s="100">
        <f>H150 * salesTaxPct</f>
        <v>0</v>
      </c>
      <c r="J150" s="49"/>
      <c r="K150" s="24"/>
      <c r="L150" s="100">
        <f t="shared" si="2"/>
        <v>0</v>
      </c>
      <c r="M150" s="103"/>
      <c r="N150" s="96" t="str">
        <f ca="1">IF(PRINTERS[[#This Row],[ID]] &lt;&gt; "", IF(A150 = "000", A150 &amp; " | None", A150 &amp; " | " &amp; B150 &amp; " | " &amp; C150), "")</f>
        <v/>
      </c>
    </row>
    <row r="151" spans="1:14" ht="22.5" customHeight="1">
      <c r="A151" s="111" t="str">
        <f ca="1">IF(PRINTERS[[#This Row],[PRODUCT]] &lt;&gt; "", IF(ROW() = 2, "000", TEXT(INDIRECT("A" &amp; ROW() - 1) + 1, "000")), "")</f>
        <v/>
      </c>
      <c r="B151" s="17"/>
      <c r="C151" s="102"/>
      <c r="D151" s="48"/>
      <c r="E151" s="49"/>
      <c r="F151" s="49"/>
      <c r="G151" s="49"/>
      <c r="H151" s="49"/>
      <c r="I151" s="100">
        <f>H151 * salesTaxPct</f>
        <v>0</v>
      </c>
      <c r="J151" s="49"/>
      <c r="K151" s="24"/>
      <c r="L151" s="100">
        <f t="shared" si="2"/>
        <v>0</v>
      </c>
      <c r="M151" s="103"/>
      <c r="N151" s="96" t="str">
        <f ca="1">IF(PRINTERS[[#This Row],[ID]] &lt;&gt; "", IF(A151 = "000", A151 &amp; " | None", A151 &amp; " | " &amp; B151 &amp; " | " &amp; C151), "")</f>
        <v/>
      </c>
    </row>
    <row r="152" spans="1:14" ht="22.5" customHeight="1">
      <c r="A152" s="111" t="str">
        <f ca="1">IF(PRINTERS[[#This Row],[PRODUCT]] &lt;&gt; "", IF(ROW() = 2, "000", TEXT(INDIRECT("A" &amp; ROW() - 1) + 1, "000")), "")</f>
        <v/>
      </c>
      <c r="B152" s="17"/>
      <c r="C152" s="102"/>
      <c r="D152" s="48"/>
      <c r="E152" s="49"/>
      <c r="F152" s="49"/>
      <c r="G152" s="49"/>
      <c r="H152" s="49"/>
      <c r="I152" s="100">
        <f>H152 * salesTaxPct</f>
        <v>0</v>
      </c>
      <c r="J152" s="49"/>
      <c r="K152" s="24"/>
      <c r="L152" s="100">
        <f t="shared" si="2"/>
        <v>0</v>
      </c>
      <c r="M152" s="103"/>
      <c r="N152" s="96" t="str">
        <f ca="1">IF(PRINTERS[[#This Row],[ID]] &lt;&gt; "", IF(A152 = "000", A152 &amp; " | None", A152 &amp; " | " &amp; B152 &amp; " | " &amp; C152), "")</f>
        <v/>
      </c>
    </row>
    <row r="153" spans="1:14" ht="22.5" customHeight="1">
      <c r="A153" s="111" t="str">
        <f ca="1">IF(PRINTERS[[#This Row],[PRODUCT]] &lt;&gt; "", IF(ROW() = 2, "000", TEXT(INDIRECT("A" &amp; ROW() - 1) + 1, "000")), "")</f>
        <v/>
      </c>
      <c r="B153" s="17"/>
      <c r="C153" s="102"/>
      <c r="D153" s="48"/>
      <c r="E153" s="49"/>
      <c r="F153" s="49"/>
      <c r="G153" s="49"/>
      <c r="H153" s="49"/>
      <c r="I153" s="100">
        <f>H153 * salesTaxPct</f>
        <v>0</v>
      </c>
      <c r="J153" s="49"/>
      <c r="K153" s="24"/>
      <c r="L153" s="100">
        <f t="shared" si="2"/>
        <v>0</v>
      </c>
      <c r="M153" s="103"/>
      <c r="N153" s="96" t="str">
        <f ca="1">IF(PRINTERS[[#This Row],[ID]] &lt;&gt; "", IF(A153 = "000", A153 &amp; " | None", A153 &amp; " | " &amp; B153 &amp; " | " &amp; C153), "")</f>
        <v/>
      </c>
    </row>
    <row r="154" spans="1:14" ht="22.5" customHeight="1">
      <c r="A154" s="111" t="str">
        <f ca="1">IF(PRINTERS[[#This Row],[PRODUCT]] &lt;&gt; "", IF(ROW() = 2, "000", TEXT(INDIRECT("A" &amp; ROW() - 1) + 1, "000")), "")</f>
        <v/>
      </c>
      <c r="B154" s="17"/>
      <c r="C154" s="102"/>
      <c r="D154" s="48"/>
      <c r="E154" s="49"/>
      <c r="F154" s="49"/>
      <c r="G154" s="49"/>
      <c r="H154" s="49"/>
      <c r="I154" s="100">
        <f>H154 * salesTaxPct</f>
        <v>0</v>
      </c>
      <c r="J154" s="49"/>
      <c r="K154" s="24"/>
      <c r="L154" s="100">
        <f t="shared" si="2"/>
        <v>0</v>
      </c>
      <c r="M154" s="103"/>
      <c r="N154" s="96" t="str">
        <f ca="1">IF(PRINTERS[[#This Row],[ID]] &lt;&gt; "", IF(A154 = "000", A154 &amp; " | None", A154 &amp; " | " &amp; B154 &amp; " | " &amp; C154), "")</f>
        <v/>
      </c>
    </row>
    <row r="155" spans="1:14" ht="22.5" customHeight="1">
      <c r="A155" s="111" t="str">
        <f ca="1">IF(PRINTERS[[#This Row],[PRODUCT]] &lt;&gt; "", IF(ROW() = 2, "000", TEXT(INDIRECT("A" &amp; ROW() - 1) + 1, "000")), "")</f>
        <v/>
      </c>
      <c r="B155" s="17"/>
      <c r="C155" s="102"/>
      <c r="D155" s="48"/>
      <c r="E155" s="49"/>
      <c r="F155" s="49"/>
      <c r="G155" s="49"/>
      <c r="H155" s="49"/>
      <c r="I155" s="100">
        <f>H155 * salesTaxPct</f>
        <v>0</v>
      </c>
      <c r="J155" s="49"/>
      <c r="K155" s="24"/>
      <c r="L155" s="100">
        <f t="shared" si="2"/>
        <v>0</v>
      </c>
      <c r="M155" s="103"/>
      <c r="N155" s="96" t="str">
        <f ca="1">IF(PRINTERS[[#This Row],[ID]] &lt;&gt; "", IF(A155 = "000", A155 &amp; " | None", A155 &amp; " | " &amp; B155 &amp; " | " &amp; C155), "")</f>
        <v/>
      </c>
    </row>
    <row r="156" spans="1:14" ht="22.5" customHeight="1">
      <c r="A156" s="111" t="str">
        <f ca="1">IF(PRINTERS[[#This Row],[PRODUCT]] &lt;&gt; "", IF(ROW() = 2, "000", TEXT(INDIRECT("A" &amp; ROW() - 1) + 1, "000")), "")</f>
        <v/>
      </c>
      <c r="B156" s="17"/>
      <c r="C156" s="102"/>
      <c r="D156" s="48"/>
      <c r="E156" s="49"/>
      <c r="F156" s="49"/>
      <c r="G156" s="49"/>
      <c r="H156" s="49"/>
      <c r="I156" s="100">
        <f>H156 * salesTaxPct</f>
        <v>0</v>
      </c>
      <c r="J156" s="49"/>
      <c r="K156" s="24"/>
      <c r="L156" s="100">
        <f t="shared" si="2"/>
        <v>0</v>
      </c>
      <c r="M156" s="103"/>
      <c r="N156" s="96" t="str">
        <f ca="1">IF(PRINTERS[[#This Row],[ID]] &lt;&gt; "", IF(A156 = "000", A156 &amp; " | None", A156 &amp; " | " &amp; B156 &amp; " | " &amp; C156), "")</f>
        <v/>
      </c>
    </row>
    <row r="157" spans="1:14" ht="22.5" customHeight="1">
      <c r="A157" s="111" t="str">
        <f ca="1">IF(PRINTERS[[#This Row],[PRODUCT]] &lt;&gt; "", IF(ROW() = 2, "000", TEXT(INDIRECT("A" &amp; ROW() - 1) + 1, "000")), "")</f>
        <v/>
      </c>
      <c r="B157" s="17"/>
      <c r="C157" s="102"/>
      <c r="D157" s="48"/>
      <c r="E157" s="49"/>
      <c r="F157" s="49"/>
      <c r="G157" s="49"/>
      <c r="H157" s="49"/>
      <c r="I157" s="100">
        <f>H157 * salesTaxPct</f>
        <v>0</v>
      </c>
      <c r="J157" s="49"/>
      <c r="K157" s="24"/>
      <c r="L157" s="100">
        <f t="shared" si="2"/>
        <v>0</v>
      </c>
      <c r="M157" s="103"/>
      <c r="N157" s="96" t="str">
        <f ca="1">IF(PRINTERS[[#This Row],[ID]] &lt;&gt; "", IF(A157 = "000", A157 &amp; " | None", A157 &amp; " | " &amp; B157 &amp; " | " &amp; C157), "")</f>
        <v/>
      </c>
    </row>
    <row r="158" spans="1:14" ht="22.5" customHeight="1">
      <c r="A158" s="111" t="str">
        <f ca="1">IF(PRINTERS[[#This Row],[PRODUCT]] &lt;&gt; "", IF(ROW() = 2, "000", TEXT(INDIRECT("A" &amp; ROW() - 1) + 1, "000")), "")</f>
        <v/>
      </c>
      <c r="B158" s="17"/>
      <c r="C158" s="102"/>
      <c r="D158" s="48"/>
      <c r="E158" s="49"/>
      <c r="F158" s="49"/>
      <c r="G158" s="49"/>
      <c r="H158" s="49"/>
      <c r="I158" s="100">
        <f>H158 * salesTaxPct</f>
        <v>0</v>
      </c>
      <c r="J158" s="49"/>
      <c r="K158" s="24"/>
      <c r="L158" s="100">
        <f t="shared" si="2"/>
        <v>0</v>
      </c>
      <c r="M158" s="103"/>
      <c r="N158" s="96" t="str">
        <f ca="1">IF(PRINTERS[[#This Row],[ID]] &lt;&gt; "", IF(A158 = "000", A158 &amp; " | None", A158 &amp; " | " &amp; B158 &amp; " | " &amp; C158), "")</f>
        <v/>
      </c>
    </row>
    <row r="159" spans="1:14" ht="22.5" customHeight="1">
      <c r="A159" s="111" t="str">
        <f ca="1">IF(PRINTERS[[#This Row],[PRODUCT]] &lt;&gt; "", IF(ROW() = 2, "000", TEXT(INDIRECT("A" &amp; ROW() - 1) + 1, "000")), "")</f>
        <v/>
      </c>
      <c r="B159" s="17"/>
      <c r="C159" s="102"/>
      <c r="D159" s="48"/>
      <c r="E159" s="49"/>
      <c r="F159" s="49"/>
      <c r="G159" s="49"/>
      <c r="H159" s="49"/>
      <c r="I159" s="100">
        <f>H159 * salesTaxPct</f>
        <v>0</v>
      </c>
      <c r="J159" s="49"/>
      <c r="K159" s="24"/>
      <c r="L159" s="100">
        <f t="shared" si="2"/>
        <v>0</v>
      </c>
      <c r="M159" s="103"/>
      <c r="N159" s="96" t="str">
        <f ca="1">IF(PRINTERS[[#This Row],[ID]] &lt;&gt; "", IF(A159 = "000", A159 &amp; " | None", A159 &amp; " | " &amp; B159 &amp; " | " &amp; C159), "")</f>
        <v/>
      </c>
    </row>
    <row r="160" spans="1:14" ht="22.5" customHeight="1">
      <c r="A160" s="111" t="str">
        <f ca="1">IF(PRINTERS[[#This Row],[PRODUCT]] &lt;&gt; "", IF(ROW() = 2, "000", TEXT(INDIRECT("A" &amp; ROW() - 1) + 1, "000")), "")</f>
        <v/>
      </c>
      <c r="B160" s="17"/>
      <c r="C160" s="102"/>
      <c r="D160" s="48"/>
      <c r="E160" s="49"/>
      <c r="F160" s="49"/>
      <c r="G160" s="49"/>
      <c r="H160" s="49"/>
      <c r="I160" s="100">
        <f>H160 * salesTaxPct</f>
        <v>0</v>
      </c>
      <c r="J160" s="49"/>
      <c r="K160" s="24"/>
      <c r="L160" s="100">
        <f t="shared" si="2"/>
        <v>0</v>
      </c>
      <c r="M160" s="103"/>
      <c r="N160" s="96" t="str">
        <f ca="1">IF(PRINTERS[[#This Row],[ID]] &lt;&gt; "", IF(A160 = "000", A160 &amp; " | None", A160 &amp; " | " &amp; B160 &amp; " | " &amp; C160), "")</f>
        <v/>
      </c>
    </row>
    <row r="161" spans="1:14" ht="22.5" customHeight="1">
      <c r="A161" s="111" t="str">
        <f ca="1">IF(PRINTERS[[#This Row],[PRODUCT]] &lt;&gt; "", IF(ROW() = 2, "000", TEXT(INDIRECT("A" &amp; ROW() - 1) + 1, "000")), "")</f>
        <v/>
      </c>
      <c r="B161" s="17"/>
      <c r="C161" s="102"/>
      <c r="D161" s="48"/>
      <c r="E161" s="49"/>
      <c r="F161" s="49"/>
      <c r="G161" s="49"/>
      <c r="H161" s="49"/>
      <c r="I161" s="100">
        <f>H161 * salesTaxPct</f>
        <v>0</v>
      </c>
      <c r="J161" s="49"/>
      <c r="K161" s="24"/>
      <c r="L161" s="100">
        <f t="shared" si="2"/>
        <v>0</v>
      </c>
      <c r="M161" s="103"/>
      <c r="N161" s="96" t="str">
        <f ca="1">IF(PRINTERS[[#This Row],[ID]] &lt;&gt; "", IF(A161 = "000", A161 &amp; " | None", A161 &amp; " | " &amp; B161 &amp; " | " &amp; C161), "")</f>
        <v/>
      </c>
    </row>
    <row r="162" spans="1:14" ht="22.5" customHeight="1">
      <c r="A162" s="111" t="str">
        <f ca="1">IF(PRINTERS[[#This Row],[PRODUCT]] &lt;&gt; "", IF(ROW() = 2, "000", TEXT(INDIRECT("A" &amp; ROW() - 1) + 1, "000")), "")</f>
        <v/>
      </c>
      <c r="B162" s="17"/>
      <c r="C162" s="102"/>
      <c r="D162" s="48"/>
      <c r="E162" s="49"/>
      <c r="F162" s="49"/>
      <c r="G162" s="49"/>
      <c r="H162" s="49"/>
      <c r="I162" s="100">
        <f>H162 * salesTaxPct</f>
        <v>0</v>
      </c>
      <c r="J162" s="49"/>
      <c r="K162" s="24"/>
      <c r="L162" s="100">
        <f t="shared" si="2"/>
        <v>0</v>
      </c>
      <c r="M162" s="103"/>
      <c r="N162" s="96" t="str">
        <f ca="1">IF(PRINTERS[[#This Row],[ID]] &lt;&gt; "", IF(A162 = "000", A162 &amp; " | None", A162 &amp; " | " &amp; B162 &amp; " | " &amp; C162), "")</f>
        <v/>
      </c>
    </row>
    <row r="163" spans="1:14" ht="22.5" customHeight="1">
      <c r="A163" s="111" t="str">
        <f ca="1">IF(PRINTERS[[#This Row],[PRODUCT]] &lt;&gt; "", IF(ROW() = 2, "000", TEXT(INDIRECT("A" &amp; ROW() - 1) + 1, "000")), "")</f>
        <v/>
      </c>
      <c r="B163" s="17"/>
      <c r="C163" s="102"/>
      <c r="D163" s="48"/>
      <c r="E163" s="49"/>
      <c r="F163" s="49"/>
      <c r="G163" s="49"/>
      <c r="H163" s="49"/>
      <c r="I163" s="100">
        <f>H163 * salesTaxPct</f>
        <v>0</v>
      </c>
      <c r="J163" s="49"/>
      <c r="K163" s="24"/>
      <c r="L163" s="100">
        <f t="shared" si="2"/>
        <v>0</v>
      </c>
      <c r="M163" s="103"/>
      <c r="N163" s="96" t="str">
        <f ca="1">IF(PRINTERS[[#This Row],[ID]] &lt;&gt; "", IF(A163 = "000", A163 &amp; " | None", A163 &amp; " | " &amp; B163 &amp; " | " &amp; C163), "")</f>
        <v/>
      </c>
    </row>
    <row r="164" spans="1:14" ht="22.5" customHeight="1">
      <c r="A164" s="111" t="str">
        <f ca="1">IF(PRINTERS[[#This Row],[PRODUCT]] &lt;&gt; "", IF(ROW() = 2, "000", TEXT(INDIRECT("A" &amp; ROW() - 1) + 1, "000")), "")</f>
        <v/>
      </c>
      <c r="B164" s="17"/>
      <c r="C164" s="102"/>
      <c r="D164" s="48"/>
      <c r="E164" s="49"/>
      <c r="F164" s="49"/>
      <c r="G164" s="49"/>
      <c r="H164" s="49"/>
      <c r="I164" s="100">
        <f>H164 * salesTaxPct</f>
        <v>0</v>
      </c>
      <c r="J164" s="49"/>
      <c r="K164" s="24"/>
      <c r="L164" s="100">
        <f t="shared" si="2"/>
        <v>0</v>
      </c>
      <c r="M164" s="103"/>
      <c r="N164" s="96" t="str">
        <f ca="1">IF(PRINTERS[[#This Row],[ID]] &lt;&gt; "", IF(A164 = "000", A164 &amp; " | None", A164 &amp; " | " &amp; B164 &amp; " | " &amp; C164), "")</f>
        <v/>
      </c>
    </row>
    <row r="165" spans="1:14" ht="22.5" customHeight="1">
      <c r="A165" s="111" t="str">
        <f ca="1">IF(PRINTERS[[#This Row],[PRODUCT]] &lt;&gt; "", IF(ROW() = 2, "000", TEXT(INDIRECT("A" &amp; ROW() - 1) + 1, "000")), "")</f>
        <v/>
      </c>
      <c r="B165" s="17"/>
      <c r="C165" s="102"/>
      <c r="D165" s="48"/>
      <c r="E165" s="49"/>
      <c r="F165" s="49"/>
      <c r="G165" s="49"/>
      <c r="H165" s="49"/>
      <c r="I165" s="100">
        <f>H165 * salesTaxPct</f>
        <v>0</v>
      </c>
      <c r="J165" s="49"/>
      <c r="K165" s="24"/>
      <c r="L165" s="100">
        <f t="shared" si="2"/>
        <v>0</v>
      </c>
      <c r="M165" s="103"/>
      <c r="N165" s="96" t="str">
        <f ca="1">IF(PRINTERS[[#This Row],[ID]] &lt;&gt; "", IF(A165 = "000", A165 &amp; " | None", A165 &amp; " | " &amp; B165 &amp; " | " &amp; C165), "")</f>
        <v/>
      </c>
    </row>
    <row r="166" spans="1:14" ht="22.5" customHeight="1">
      <c r="A166" s="111" t="str">
        <f ca="1">IF(PRINTERS[[#This Row],[PRODUCT]] &lt;&gt; "", IF(ROW() = 2, "000", TEXT(INDIRECT("A" &amp; ROW() - 1) + 1, "000")), "")</f>
        <v/>
      </c>
      <c r="B166" s="17"/>
      <c r="C166" s="102"/>
      <c r="D166" s="48"/>
      <c r="E166" s="49"/>
      <c r="F166" s="49"/>
      <c r="G166" s="49"/>
      <c r="H166" s="49"/>
      <c r="I166" s="100">
        <f>H166 * salesTaxPct</f>
        <v>0</v>
      </c>
      <c r="J166" s="49"/>
      <c r="K166" s="24"/>
      <c r="L166" s="100">
        <f t="shared" si="2"/>
        <v>0</v>
      </c>
      <c r="M166" s="103"/>
      <c r="N166" s="96" t="str">
        <f ca="1">IF(PRINTERS[[#This Row],[ID]] &lt;&gt; "", IF(A166 = "000", A166 &amp; " | None", A166 &amp; " | " &amp; B166 &amp; " | " &amp; C166), "")</f>
        <v/>
      </c>
    </row>
    <row r="167" spans="1:14" ht="22.5" customHeight="1">
      <c r="A167" s="111" t="str">
        <f ca="1">IF(PRINTERS[[#This Row],[PRODUCT]] &lt;&gt; "", IF(ROW() = 2, "000", TEXT(INDIRECT("A" &amp; ROW() - 1) + 1, "000")), "")</f>
        <v/>
      </c>
      <c r="B167" s="17"/>
      <c r="C167" s="102"/>
      <c r="D167" s="48"/>
      <c r="E167" s="49"/>
      <c r="F167" s="49"/>
      <c r="G167" s="49"/>
      <c r="H167" s="49"/>
      <c r="I167" s="100">
        <f>H167 * salesTaxPct</f>
        <v>0</v>
      </c>
      <c r="J167" s="49"/>
      <c r="K167" s="24"/>
      <c r="L167" s="100">
        <f t="shared" si="2"/>
        <v>0</v>
      </c>
      <c r="M167" s="103"/>
      <c r="N167" s="96" t="str">
        <f ca="1">IF(PRINTERS[[#This Row],[ID]] &lt;&gt; "", IF(A167 = "000", A167 &amp; " | None", A167 &amp; " | " &amp; B167 &amp; " | " &amp; C167), "")</f>
        <v/>
      </c>
    </row>
    <row r="168" spans="1:14" ht="22.5" customHeight="1">
      <c r="A168" s="111" t="str">
        <f ca="1">IF(PRINTERS[[#This Row],[PRODUCT]] &lt;&gt; "", IF(ROW() = 2, "000", TEXT(INDIRECT("A" &amp; ROW() - 1) + 1, "000")), "")</f>
        <v/>
      </c>
      <c r="B168" s="17"/>
      <c r="C168" s="102"/>
      <c r="D168" s="48"/>
      <c r="E168" s="49"/>
      <c r="F168" s="49"/>
      <c r="G168" s="49"/>
      <c r="H168" s="49"/>
      <c r="I168" s="100">
        <f>H168 * salesTaxPct</f>
        <v>0</v>
      </c>
      <c r="J168" s="49"/>
      <c r="K168" s="24"/>
      <c r="L168" s="100">
        <f t="shared" si="2"/>
        <v>0</v>
      </c>
      <c r="M168" s="103"/>
      <c r="N168" s="96" t="str">
        <f ca="1">IF(PRINTERS[[#This Row],[ID]] &lt;&gt; "", IF(A168 = "000", A168 &amp; " | None", A168 &amp; " | " &amp; B168 &amp; " | " &amp; C168), "")</f>
        <v/>
      </c>
    </row>
    <row r="169" spans="1:14" ht="22.5" customHeight="1">
      <c r="A169" s="111" t="str">
        <f ca="1">IF(PRINTERS[[#This Row],[PRODUCT]] &lt;&gt; "", IF(ROW() = 2, "000", TEXT(INDIRECT("A" &amp; ROW() - 1) + 1, "000")), "")</f>
        <v/>
      </c>
      <c r="B169" s="17"/>
      <c r="C169" s="102"/>
      <c r="D169" s="48"/>
      <c r="E169" s="49"/>
      <c r="F169" s="49"/>
      <c r="G169" s="49"/>
      <c r="H169" s="49"/>
      <c r="I169" s="100">
        <f>H169 * salesTaxPct</f>
        <v>0</v>
      </c>
      <c r="J169" s="49"/>
      <c r="K169" s="24"/>
      <c r="L169" s="100">
        <f t="shared" si="2"/>
        <v>0</v>
      </c>
      <c r="M169" s="103"/>
      <c r="N169" s="96" t="str">
        <f ca="1">IF(PRINTERS[[#This Row],[ID]] &lt;&gt; "", IF(A169 = "000", A169 &amp; " | None", A169 &amp; " | " &amp; B169 &amp; " | " &amp; C169), "")</f>
        <v/>
      </c>
    </row>
    <row r="170" spans="1:14" ht="22.5" customHeight="1">
      <c r="A170" s="111" t="str">
        <f ca="1">IF(PRINTERS[[#This Row],[PRODUCT]] &lt;&gt; "", IF(ROW() = 2, "000", TEXT(INDIRECT("A" &amp; ROW() - 1) + 1, "000")), "")</f>
        <v/>
      </c>
      <c r="B170" s="17"/>
      <c r="C170" s="102"/>
      <c r="D170" s="48"/>
      <c r="E170" s="49"/>
      <c r="F170" s="49"/>
      <c r="G170" s="49"/>
      <c r="H170" s="49"/>
      <c r="I170" s="100">
        <f>H170 * salesTaxPct</f>
        <v>0</v>
      </c>
      <c r="J170" s="49"/>
      <c r="K170" s="24"/>
      <c r="L170" s="100">
        <f t="shared" si="2"/>
        <v>0</v>
      </c>
      <c r="M170" s="103"/>
      <c r="N170" s="96" t="str">
        <f ca="1">IF(PRINTERS[[#This Row],[ID]] &lt;&gt; "", IF(A170 = "000", A170 &amp; " | None", A170 &amp; " | " &amp; B170 &amp; " | " &amp; C170), "")</f>
        <v/>
      </c>
    </row>
    <row r="171" spans="1:14" ht="22.5" customHeight="1">
      <c r="A171" s="111" t="str">
        <f ca="1">IF(PRINTERS[[#This Row],[PRODUCT]] &lt;&gt; "", IF(ROW() = 2, "000", TEXT(INDIRECT("A" &amp; ROW() - 1) + 1, "000")), "")</f>
        <v/>
      </c>
      <c r="B171" s="17"/>
      <c r="C171" s="102"/>
      <c r="D171" s="48"/>
      <c r="E171" s="49"/>
      <c r="F171" s="49"/>
      <c r="G171" s="49"/>
      <c r="H171" s="49"/>
      <c r="I171" s="100">
        <f>H171 * salesTaxPct</f>
        <v>0</v>
      </c>
      <c r="J171" s="49"/>
      <c r="K171" s="24"/>
      <c r="L171" s="100">
        <f t="shared" si="2"/>
        <v>0</v>
      </c>
      <c r="M171" s="103"/>
      <c r="N171" s="96" t="str">
        <f ca="1">IF(PRINTERS[[#This Row],[ID]] &lt;&gt; "", IF(A171 = "000", A171 &amp; " | None", A171 &amp; " | " &amp; B171 &amp; " | " &amp; C171), "")</f>
        <v/>
      </c>
    </row>
    <row r="172" spans="1:14" ht="22.5" customHeight="1">
      <c r="A172" s="111" t="str">
        <f ca="1">IF(PRINTERS[[#This Row],[PRODUCT]] &lt;&gt; "", IF(ROW() = 2, "000", TEXT(INDIRECT("A" &amp; ROW() - 1) + 1, "000")), "")</f>
        <v/>
      </c>
      <c r="B172" s="17"/>
      <c r="C172" s="102"/>
      <c r="D172" s="48"/>
      <c r="E172" s="49"/>
      <c r="F172" s="49"/>
      <c r="G172" s="49"/>
      <c r="H172" s="49"/>
      <c r="I172" s="100">
        <f>H172 * salesTaxPct</f>
        <v>0</v>
      </c>
      <c r="J172" s="49"/>
      <c r="K172" s="24"/>
      <c r="L172" s="100">
        <f t="shared" si="2"/>
        <v>0</v>
      </c>
      <c r="M172" s="103"/>
      <c r="N172" s="96" t="str">
        <f ca="1">IF(PRINTERS[[#This Row],[ID]] &lt;&gt; "", IF(A172 = "000", A172 &amp; " | None", A172 &amp; " | " &amp; B172 &amp; " | " &amp; C172), "")</f>
        <v/>
      </c>
    </row>
    <row r="173" spans="1:14" ht="22.5" customHeight="1">
      <c r="A173" s="111" t="str">
        <f ca="1">IF(PRINTERS[[#This Row],[PRODUCT]] &lt;&gt; "", IF(ROW() = 2, "000", TEXT(INDIRECT("A" &amp; ROW() - 1) + 1, "000")), "")</f>
        <v/>
      </c>
      <c r="B173" s="17"/>
      <c r="C173" s="102"/>
      <c r="D173" s="48"/>
      <c r="E173" s="49"/>
      <c r="F173" s="49"/>
      <c r="G173" s="49"/>
      <c r="H173" s="49"/>
      <c r="I173" s="100">
        <f>H173 * salesTaxPct</f>
        <v>0</v>
      </c>
      <c r="J173" s="49"/>
      <c r="K173" s="24"/>
      <c r="L173" s="100">
        <f t="shared" si="2"/>
        <v>0</v>
      </c>
      <c r="M173" s="103"/>
      <c r="N173" s="96" t="str">
        <f ca="1">IF(PRINTERS[[#This Row],[ID]] &lt;&gt; "", IF(A173 = "000", A173 &amp; " | None", A173 &amp; " | " &amp; B173 &amp; " | " &amp; C173), "")</f>
        <v/>
      </c>
    </row>
    <row r="174" spans="1:14" ht="22.5" customHeight="1">
      <c r="A174" s="111" t="str">
        <f ca="1">IF(PRINTERS[[#This Row],[PRODUCT]] &lt;&gt; "", IF(ROW() = 2, "000", TEXT(INDIRECT("A" &amp; ROW() - 1) + 1, "000")), "")</f>
        <v/>
      </c>
      <c r="B174" s="17"/>
      <c r="C174" s="102"/>
      <c r="D174" s="48"/>
      <c r="E174" s="49"/>
      <c r="F174" s="49"/>
      <c r="G174" s="49"/>
      <c r="H174" s="49"/>
      <c r="I174" s="100">
        <f>H174 * salesTaxPct</f>
        <v>0</v>
      </c>
      <c r="J174" s="49"/>
      <c r="K174" s="24"/>
      <c r="L174" s="100">
        <f t="shared" si="2"/>
        <v>0</v>
      </c>
      <c r="M174" s="103"/>
      <c r="N174" s="96" t="str">
        <f ca="1">IF(PRINTERS[[#This Row],[ID]] &lt;&gt; "", IF(A174 = "000", A174 &amp; " | None", A174 &amp; " | " &amp; B174 &amp; " | " &amp; C174), "")</f>
        <v/>
      </c>
    </row>
    <row r="175" spans="1:14" ht="22.5" customHeight="1">
      <c r="A175" s="111" t="str">
        <f ca="1">IF(PRINTERS[[#This Row],[PRODUCT]] &lt;&gt; "", IF(ROW() = 2, "000", TEXT(INDIRECT("A" &amp; ROW() - 1) + 1, "000")), "")</f>
        <v/>
      </c>
      <c r="B175" s="17"/>
      <c r="C175" s="102"/>
      <c r="D175" s="48"/>
      <c r="E175" s="49"/>
      <c r="F175" s="49"/>
      <c r="G175" s="49"/>
      <c r="H175" s="49"/>
      <c r="I175" s="100">
        <f>H175 * salesTaxPct</f>
        <v>0</v>
      </c>
      <c r="J175" s="49"/>
      <c r="K175" s="24"/>
      <c r="L175" s="100">
        <f t="shared" si="2"/>
        <v>0</v>
      </c>
      <c r="M175" s="103"/>
      <c r="N175" s="96" t="str">
        <f ca="1">IF(PRINTERS[[#This Row],[ID]] &lt;&gt; "", IF(A175 = "000", A175 &amp; " | None", A175 &amp; " | " &amp; B175 &amp; " | " &amp; C175), "")</f>
        <v/>
      </c>
    </row>
    <row r="176" spans="1:14" ht="22.5" customHeight="1">
      <c r="A176" s="111" t="str">
        <f ca="1">IF(PRINTERS[[#This Row],[PRODUCT]] &lt;&gt; "", IF(ROW() = 2, "000", TEXT(INDIRECT("A" &amp; ROW() - 1) + 1, "000")), "")</f>
        <v/>
      </c>
      <c r="B176" s="17"/>
      <c r="C176" s="102"/>
      <c r="D176" s="48"/>
      <c r="E176" s="49"/>
      <c r="F176" s="49"/>
      <c r="G176" s="49"/>
      <c r="H176" s="49"/>
      <c r="I176" s="100">
        <f>H176 * salesTaxPct</f>
        <v>0</v>
      </c>
      <c r="J176" s="49"/>
      <c r="K176" s="24"/>
      <c r="L176" s="100">
        <f t="shared" si="2"/>
        <v>0</v>
      </c>
      <c r="M176" s="103"/>
      <c r="N176" s="96" t="str">
        <f ca="1">IF(PRINTERS[[#This Row],[ID]] &lt;&gt; "", IF(A176 = "000", A176 &amp; " | None", A176 &amp; " | " &amp; B176 &amp; " | " &amp; C176), "")</f>
        <v/>
      </c>
    </row>
    <row r="177" spans="1:14" ht="22.5" customHeight="1">
      <c r="A177" s="111" t="str">
        <f ca="1">IF(PRINTERS[[#This Row],[PRODUCT]] &lt;&gt; "", IF(ROW() = 2, "000", TEXT(INDIRECT("A" &amp; ROW() - 1) + 1, "000")), "")</f>
        <v/>
      </c>
      <c r="B177" s="17"/>
      <c r="C177" s="102"/>
      <c r="D177" s="48"/>
      <c r="E177" s="49"/>
      <c r="F177" s="49"/>
      <c r="G177" s="49"/>
      <c r="H177" s="49"/>
      <c r="I177" s="100">
        <f>H177 * salesTaxPct</f>
        <v>0</v>
      </c>
      <c r="J177" s="49"/>
      <c r="K177" s="24"/>
      <c r="L177" s="100">
        <f t="shared" si="2"/>
        <v>0</v>
      </c>
      <c r="M177" s="103"/>
      <c r="N177" s="96" t="str">
        <f ca="1">IF(PRINTERS[[#This Row],[ID]] &lt;&gt; "", IF(A177 = "000", A177 &amp; " | None", A177 &amp; " | " &amp; B177 &amp; " | " &amp; C177), "")</f>
        <v/>
      </c>
    </row>
    <row r="178" spans="1:14" ht="22.5" customHeight="1">
      <c r="A178" s="111" t="str">
        <f ca="1">IF(PRINTERS[[#This Row],[PRODUCT]] &lt;&gt; "", IF(ROW() = 2, "000", TEXT(INDIRECT("A" &amp; ROW() - 1) + 1, "000")), "")</f>
        <v/>
      </c>
      <c r="B178" s="17"/>
      <c r="C178" s="102"/>
      <c r="D178" s="48"/>
      <c r="E178" s="49"/>
      <c r="F178" s="49"/>
      <c r="G178" s="49"/>
      <c r="H178" s="49"/>
      <c r="I178" s="100">
        <f>H178 * salesTaxPct</f>
        <v>0</v>
      </c>
      <c r="J178" s="49"/>
      <c r="K178" s="24"/>
      <c r="L178" s="100">
        <f t="shared" si="2"/>
        <v>0</v>
      </c>
      <c r="M178" s="103"/>
      <c r="N178" s="96" t="str">
        <f ca="1">IF(PRINTERS[[#This Row],[ID]] &lt;&gt; "", IF(A178 = "000", A178 &amp; " | None", A178 &amp; " | " &amp; B178 &amp; " | " &amp; C178), "")</f>
        <v/>
      </c>
    </row>
    <row r="179" spans="1:14" ht="22.5" customHeight="1">
      <c r="A179" s="111" t="str">
        <f ca="1">IF(PRINTERS[[#This Row],[PRODUCT]] &lt;&gt; "", IF(ROW() = 2, "000", TEXT(INDIRECT("A" &amp; ROW() - 1) + 1, "000")), "")</f>
        <v/>
      </c>
      <c r="B179" s="17"/>
      <c r="C179" s="102"/>
      <c r="D179" s="48"/>
      <c r="E179" s="49"/>
      <c r="F179" s="49"/>
      <c r="G179" s="49"/>
      <c r="H179" s="49"/>
      <c r="I179" s="100">
        <f>H179 * salesTaxPct</f>
        <v>0</v>
      </c>
      <c r="J179" s="49"/>
      <c r="K179" s="24"/>
      <c r="L179" s="100">
        <f t="shared" si="2"/>
        <v>0</v>
      </c>
      <c r="M179" s="103"/>
      <c r="N179" s="96" t="str">
        <f ca="1">IF(PRINTERS[[#This Row],[ID]] &lt;&gt; "", IF(A179 = "000", A179 &amp; " | None", A179 &amp; " | " &amp; B179 &amp; " | " &amp; C179), "")</f>
        <v/>
      </c>
    </row>
    <row r="180" spans="1:14" ht="22.5" customHeight="1">
      <c r="A180" s="111" t="str">
        <f ca="1">IF(PRINTERS[[#This Row],[PRODUCT]] &lt;&gt; "", IF(ROW() = 2, "000", TEXT(INDIRECT("A" &amp; ROW() - 1) + 1, "000")), "")</f>
        <v/>
      </c>
      <c r="B180" s="17"/>
      <c r="C180" s="102"/>
      <c r="D180" s="48"/>
      <c r="E180" s="49"/>
      <c r="F180" s="49"/>
      <c r="G180" s="49"/>
      <c r="H180" s="49"/>
      <c r="I180" s="100">
        <f>H180 * salesTaxPct</f>
        <v>0</v>
      </c>
      <c r="J180" s="49"/>
      <c r="K180" s="24"/>
      <c r="L180" s="100">
        <f t="shared" si="2"/>
        <v>0</v>
      </c>
      <c r="M180" s="103"/>
      <c r="N180" s="96" t="str">
        <f ca="1">IF(PRINTERS[[#This Row],[ID]] &lt;&gt; "", IF(A180 = "000", A180 &amp; " | None", A180 &amp; " | " &amp; B180 &amp; " | " &amp; C180), "")</f>
        <v/>
      </c>
    </row>
    <row r="181" spans="1:14" ht="22.5" customHeight="1">
      <c r="A181" s="111" t="str">
        <f ca="1">IF(PRINTERS[[#This Row],[PRODUCT]] &lt;&gt; "", IF(ROW() = 2, "000", TEXT(INDIRECT("A" &amp; ROW() - 1) + 1, "000")), "")</f>
        <v/>
      </c>
      <c r="B181" s="17"/>
      <c r="C181" s="102"/>
      <c r="D181" s="48"/>
      <c r="E181" s="49"/>
      <c r="F181" s="49"/>
      <c r="G181" s="49"/>
      <c r="H181" s="49"/>
      <c r="I181" s="100">
        <f>H181 * salesTaxPct</f>
        <v>0</v>
      </c>
      <c r="J181" s="49"/>
      <c r="K181" s="24"/>
      <c r="L181" s="100">
        <f t="shared" si="2"/>
        <v>0</v>
      </c>
      <c r="M181" s="103"/>
      <c r="N181" s="96" t="str">
        <f ca="1">IF(PRINTERS[[#This Row],[ID]] &lt;&gt; "", IF(A181 = "000", A181 &amp; " | None", A181 &amp; " | " &amp; B181 &amp; " | " &amp; C181), "")</f>
        <v/>
      </c>
    </row>
    <row r="182" spans="1:14" ht="22.5" customHeight="1">
      <c r="A182" s="111" t="str">
        <f ca="1">IF(PRINTERS[[#This Row],[PRODUCT]] &lt;&gt; "", IF(ROW() = 2, "000", TEXT(INDIRECT("A" &amp; ROW() - 1) + 1, "000")), "")</f>
        <v/>
      </c>
      <c r="B182" s="17"/>
      <c r="C182" s="102"/>
      <c r="D182" s="48"/>
      <c r="E182" s="49"/>
      <c r="F182" s="49"/>
      <c r="G182" s="49"/>
      <c r="H182" s="49"/>
      <c r="I182" s="100">
        <f>H182 * salesTaxPct</f>
        <v>0</v>
      </c>
      <c r="J182" s="49"/>
      <c r="K182" s="24"/>
      <c r="L182" s="100">
        <f t="shared" si="2"/>
        <v>0</v>
      </c>
      <c r="M182" s="103"/>
      <c r="N182" s="96" t="str">
        <f ca="1">IF(PRINTERS[[#This Row],[ID]] &lt;&gt; "", IF(A182 = "000", A182 &amp; " | None", A182 &amp; " | " &amp; B182 &amp; " | " &amp; C182), "")</f>
        <v/>
      </c>
    </row>
    <row r="183" spans="1:14" ht="22.5" customHeight="1">
      <c r="A183" s="111" t="str">
        <f ca="1">IF(PRINTERS[[#This Row],[PRODUCT]] &lt;&gt; "", IF(ROW() = 2, "000", TEXT(INDIRECT("A" &amp; ROW() - 1) + 1, "000")), "")</f>
        <v/>
      </c>
      <c r="B183" s="17"/>
      <c r="C183" s="102"/>
      <c r="D183" s="48"/>
      <c r="E183" s="49"/>
      <c r="F183" s="49"/>
      <c r="G183" s="49"/>
      <c r="H183" s="49"/>
      <c r="I183" s="100">
        <f>H183 * salesTaxPct</f>
        <v>0</v>
      </c>
      <c r="J183" s="49"/>
      <c r="K183" s="24"/>
      <c r="L183" s="100">
        <f t="shared" si="2"/>
        <v>0</v>
      </c>
      <c r="M183" s="103"/>
      <c r="N183" s="96" t="str">
        <f ca="1">IF(PRINTERS[[#This Row],[ID]] &lt;&gt; "", IF(A183 = "000", A183 &amp; " | None", A183 &amp; " | " &amp; B183 &amp; " | " &amp; C183), "")</f>
        <v/>
      </c>
    </row>
    <row r="184" spans="1:14" ht="22.5" customHeight="1">
      <c r="A184" s="111" t="str">
        <f ca="1">IF(PRINTERS[[#This Row],[PRODUCT]] &lt;&gt; "", IF(ROW() = 2, "000", TEXT(INDIRECT("A" &amp; ROW() - 1) + 1, "000")), "")</f>
        <v/>
      </c>
      <c r="B184" s="17"/>
      <c r="C184" s="102"/>
      <c r="D184" s="48"/>
      <c r="E184" s="49"/>
      <c r="F184" s="49"/>
      <c r="G184" s="49"/>
      <c r="H184" s="49"/>
      <c r="I184" s="100">
        <f>H184 * salesTaxPct</f>
        <v>0</v>
      </c>
      <c r="J184" s="49"/>
      <c r="K184" s="24"/>
      <c r="L184" s="100">
        <f t="shared" si="2"/>
        <v>0</v>
      </c>
      <c r="M184" s="103"/>
      <c r="N184" s="96" t="str">
        <f ca="1">IF(PRINTERS[[#This Row],[ID]] &lt;&gt; "", IF(A184 = "000", A184 &amp; " | None", A184 &amp; " | " &amp; B184 &amp; " | " &amp; C184), "")</f>
        <v/>
      </c>
    </row>
    <row r="185" spans="1:14" ht="22.5" customHeight="1">
      <c r="A185" s="111" t="str">
        <f ca="1">IF(PRINTERS[[#This Row],[PRODUCT]] &lt;&gt; "", IF(ROW() = 2, "000", TEXT(INDIRECT("A" &amp; ROW() - 1) + 1, "000")), "")</f>
        <v/>
      </c>
      <c r="B185" s="17"/>
      <c r="C185" s="102"/>
      <c r="D185" s="48"/>
      <c r="E185" s="49"/>
      <c r="F185" s="49"/>
      <c r="G185" s="49"/>
      <c r="H185" s="49"/>
      <c r="I185" s="100">
        <f>H185 * salesTaxPct</f>
        <v>0</v>
      </c>
      <c r="J185" s="49"/>
      <c r="K185" s="24"/>
      <c r="L185" s="100">
        <f t="shared" si="2"/>
        <v>0</v>
      </c>
      <c r="M185" s="103"/>
      <c r="N185" s="96" t="str">
        <f ca="1">IF(PRINTERS[[#This Row],[ID]] &lt;&gt; "", IF(A185 = "000", A185 &amp; " | None", A185 &amp; " | " &amp; B185 &amp; " | " &amp; C185), "")</f>
        <v/>
      </c>
    </row>
    <row r="186" spans="1:14" ht="22.5" customHeight="1">
      <c r="A186" s="111" t="str">
        <f ca="1">IF(PRINTERS[[#This Row],[PRODUCT]] &lt;&gt; "", IF(ROW() = 2, "000", TEXT(INDIRECT("A" &amp; ROW() - 1) + 1, "000")), "")</f>
        <v/>
      </c>
      <c r="B186" s="17"/>
      <c r="C186" s="102"/>
      <c r="D186" s="48"/>
      <c r="E186" s="49"/>
      <c r="F186" s="49"/>
      <c r="G186" s="49"/>
      <c r="H186" s="49"/>
      <c r="I186" s="100">
        <f>H186 * salesTaxPct</f>
        <v>0</v>
      </c>
      <c r="J186" s="49"/>
      <c r="K186" s="24"/>
      <c r="L186" s="100">
        <f t="shared" si="2"/>
        <v>0</v>
      </c>
      <c r="M186" s="103"/>
      <c r="N186" s="96" t="str">
        <f ca="1">IF(PRINTERS[[#This Row],[ID]] &lt;&gt; "", IF(A186 = "000", A186 &amp; " | None", A186 &amp; " | " &amp; B186 &amp; " | " &amp; C186), "")</f>
        <v/>
      </c>
    </row>
    <row r="187" spans="1:14" ht="22.5" customHeight="1">
      <c r="A187" s="111" t="str">
        <f ca="1">IF(PRINTERS[[#This Row],[PRODUCT]] &lt;&gt; "", IF(ROW() = 2, "000", TEXT(INDIRECT("A" &amp; ROW() - 1) + 1, "000")), "")</f>
        <v/>
      </c>
      <c r="B187" s="17"/>
      <c r="C187" s="102"/>
      <c r="D187" s="48"/>
      <c r="E187" s="49"/>
      <c r="F187" s="49"/>
      <c r="G187" s="49"/>
      <c r="H187" s="49"/>
      <c r="I187" s="100">
        <f>H187 * salesTaxPct</f>
        <v>0</v>
      </c>
      <c r="J187" s="49"/>
      <c r="K187" s="24"/>
      <c r="L187" s="100">
        <f t="shared" si="2"/>
        <v>0</v>
      </c>
      <c r="M187" s="103"/>
      <c r="N187" s="96" t="str">
        <f ca="1">IF(PRINTERS[[#This Row],[ID]] &lt;&gt; "", IF(A187 = "000", A187 &amp; " | None", A187 &amp; " | " &amp; B187 &amp; " | " &amp; C187), "")</f>
        <v/>
      </c>
    </row>
    <row r="188" spans="1:14" ht="22.5" customHeight="1">
      <c r="A188" s="111" t="str">
        <f ca="1">IF(PRINTERS[[#This Row],[PRODUCT]] &lt;&gt; "", IF(ROW() = 2, "000", TEXT(INDIRECT("A" &amp; ROW() - 1) + 1, "000")), "")</f>
        <v/>
      </c>
      <c r="B188" s="17"/>
      <c r="C188" s="102"/>
      <c r="D188" s="48"/>
      <c r="E188" s="49"/>
      <c r="F188" s="49"/>
      <c r="G188" s="49"/>
      <c r="H188" s="49"/>
      <c r="I188" s="100">
        <f>H188 * salesTaxPct</f>
        <v>0</v>
      </c>
      <c r="J188" s="49"/>
      <c r="K188" s="24"/>
      <c r="L188" s="100">
        <f t="shared" si="2"/>
        <v>0</v>
      </c>
      <c r="M188" s="103"/>
      <c r="N188" s="96" t="str">
        <f ca="1">IF(PRINTERS[[#This Row],[ID]] &lt;&gt; "", IF(A188 = "000", A188 &amp; " | None", A188 &amp; " | " &amp; B188 &amp; " | " &amp; C188), "")</f>
        <v/>
      </c>
    </row>
    <row r="189" spans="1:14" ht="22.5" customHeight="1">
      <c r="A189" s="111" t="str">
        <f ca="1">IF(PRINTERS[[#This Row],[PRODUCT]] &lt;&gt; "", IF(ROW() = 2, "000", TEXT(INDIRECT("A" &amp; ROW() - 1) + 1, "000")), "")</f>
        <v/>
      </c>
      <c r="B189" s="17"/>
      <c r="C189" s="102"/>
      <c r="D189" s="48"/>
      <c r="E189" s="49"/>
      <c r="F189" s="49"/>
      <c r="G189" s="49"/>
      <c r="H189" s="49"/>
      <c r="I189" s="100">
        <f>H189 * salesTaxPct</f>
        <v>0</v>
      </c>
      <c r="J189" s="49"/>
      <c r="K189" s="24"/>
      <c r="L189" s="100">
        <f t="shared" si="2"/>
        <v>0</v>
      </c>
      <c r="M189" s="103"/>
      <c r="N189" s="96" t="str">
        <f ca="1">IF(PRINTERS[[#This Row],[ID]] &lt;&gt; "", IF(A189 = "000", A189 &amp; " | None", A189 &amp; " | " &amp; B189 &amp; " | " &amp; C189), "")</f>
        <v/>
      </c>
    </row>
    <row r="190" spans="1:14" ht="22.5" customHeight="1">
      <c r="A190" s="111" t="str">
        <f ca="1">IF(PRINTERS[[#This Row],[PRODUCT]] &lt;&gt; "", IF(ROW() = 2, "000", TEXT(INDIRECT("A" &amp; ROW() - 1) + 1, "000")), "")</f>
        <v/>
      </c>
      <c r="B190" s="17"/>
      <c r="C190" s="102"/>
      <c r="D190" s="48"/>
      <c r="E190" s="49"/>
      <c r="F190" s="49"/>
      <c r="G190" s="49"/>
      <c r="H190" s="49"/>
      <c r="I190" s="100">
        <f>H190 * salesTaxPct</f>
        <v>0</v>
      </c>
      <c r="J190" s="49"/>
      <c r="K190" s="24"/>
      <c r="L190" s="100">
        <f t="shared" si="2"/>
        <v>0</v>
      </c>
      <c r="M190" s="103"/>
      <c r="N190" s="96" t="str">
        <f ca="1">IF(PRINTERS[[#This Row],[ID]] &lt;&gt; "", IF(A190 = "000", A190 &amp; " | None", A190 &amp; " | " &amp; B190 &amp; " | " &amp; C190), "")</f>
        <v/>
      </c>
    </row>
    <row r="191" spans="1:14" ht="22.5" customHeight="1">
      <c r="A191" s="111" t="str">
        <f ca="1">IF(PRINTERS[[#This Row],[PRODUCT]] &lt;&gt; "", IF(ROW() = 2, "000", TEXT(INDIRECT("A" &amp; ROW() - 1) + 1, "000")), "")</f>
        <v/>
      </c>
      <c r="B191" s="17"/>
      <c r="C191" s="102"/>
      <c r="D191" s="48"/>
      <c r="E191" s="49"/>
      <c r="F191" s="49"/>
      <c r="G191" s="49"/>
      <c r="H191" s="49"/>
      <c r="I191" s="100">
        <f>H191 * salesTaxPct</f>
        <v>0</v>
      </c>
      <c r="J191" s="49"/>
      <c r="K191" s="24"/>
      <c r="L191" s="100">
        <f t="shared" si="2"/>
        <v>0</v>
      </c>
      <c r="M191" s="103"/>
      <c r="N191" s="96" t="str">
        <f ca="1">IF(PRINTERS[[#This Row],[ID]] &lt;&gt; "", IF(A191 = "000", A191 &amp; " | None", A191 &amp; " | " &amp; B191 &amp; " | " &amp; C191), "")</f>
        <v/>
      </c>
    </row>
    <row r="192" spans="1:14" ht="22.5" customHeight="1">
      <c r="A192" s="111" t="str">
        <f ca="1">IF(PRINTERS[[#This Row],[PRODUCT]] &lt;&gt; "", IF(ROW() = 2, "000", TEXT(INDIRECT("A" &amp; ROW() - 1) + 1, "000")), "")</f>
        <v/>
      </c>
      <c r="B192" s="17"/>
      <c r="C192" s="102"/>
      <c r="D192" s="48"/>
      <c r="E192" s="49"/>
      <c r="F192" s="49"/>
      <c r="G192" s="49"/>
      <c r="H192" s="49"/>
      <c r="I192" s="100">
        <f>H192 * salesTaxPct</f>
        <v>0</v>
      </c>
      <c r="J192" s="49"/>
      <c r="K192" s="24"/>
      <c r="L192" s="100">
        <f t="shared" si="2"/>
        <v>0</v>
      </c>
      <c r="M192" s="103"/>
      <c r="N192" s="96" t="str">
        <f ca="1">IF(PRINTERS[[#This Row],[ID]] &lt;&gt; "", IF(A192 = "000", A192 &amp; " | None", A192 &amp; " | " &amp; B192 &amp; " | " &amp; C192), "")</f>
        <v/>
      </c>
    </row>
    <row r="193" spans="1:14" ht="22.5" customHeight="1">
      <c r="A193" s="111" t="str">
        <f ca="1">IF(PRINTERS[[#This Row],[PRODUCT]] &lt;&gt; "", IF(ROW() = 2, "000", TEXT(INDIRECT("A" &amp; ROW() - 1) + 1, "000")), "")</f>
        <v/>
      </c>
      <c r="B193" s="17"/>
      <c r="C193" s="102"/>
      <c r="D193" s="48"/>
      <c r="E193" s="49"/>
      <c r="F193" s="49"/>
      <c r="G193" s="49"/>
      <c r="H193" s="49"/>
      <c r="I193" s="100">
        <f>H193 * salesTaxPct</f>
        <v>0</v>
      </c>
      <c r="J193" s="49"/>
      <c r="K193" s="24"/>
      <c r="L193" s="100">
        <f t="shared" si="2"/>
        <v>0</v>
      </c>
      <c r="M193" s="103"/>
      <c r="N193" s="96" t="str">
        <f ca="1">IF(PRINTERS[[#This Row],[ID]] &lt;&gt; "", IF(A193 = "000", A193 &amp; " | None", A193 &amp; " | " &amp; B193 &amp; " | " &amp; C193), "")</f>
        <v/>
      </c>
    </row>
    <row r="194" spans="1:14" ht="22.5" customHeight="1">
      <c r="A194" s="111" t="str">
        <f ca="1">IF(PRINTERS[[#This Row],[PRODUCT]] &lt;&gt; "", IF(ROW() = 2, "000", TEXT(INDIRECT("A" &amp; ROW() - 1) + 1, "000")), "")</f>
        <v/>
      </c>
      <c r="B194" s="17"/>
      <c r="C194" s="102"/>
      <c r="D194" s="48"/>
      <c r="E194" s="49"/>
      <c r="F194" s="49"/>
      <c r="G194" s="49"/>
      <c r="H194" s="49"/>
      <c r="I194" s="100">
        <f>H194 * salesTaxPct</f>
        <v>0</v>
      </c>
      <c r="J194" s="49"/>
      <c r="K194" s="24"/>
      <c r="L194" s="100">
        <f t="shared" ref="L194:L257" si="3">H194 + I194 + J194 + K194</f>
        <v>0</v>
      </c>
      <c r="M194" s="103"/>
      <c r="N194" s="96" t="str">
        <f ca="1">IF(PRINTERS[[#This Row],[ID]] &lt;&gt; "", IF(A194 = "000", A194 &amp; " | None", A194 &amp; " | " &amp; B194 &amp; " | " &amp; C194), "")</f>
        <v/>
      </c>
    </row>
    <row r="195" spans="1:14" ht="22.5" customHeight="1">
      <c r="A195" s="111" t="str">
        <f ca="1">IF(PRINTERS[[#This Row],[PRODUCT]] &lt;&gt; "", IF(ROW() = 2, "000", TEXT(INDIRECT("A" &amp; ROW() - 1) + 1, "000")), "")</f>
        <v/>
      </c>
      <c r="B195" s="17"/>
      <c r="C195" s="102"/>
      <c r="D195" s="48"/>
      <c r="E195" s="49"/>
      <c r="F195" s="49"/>
      <c r="G195" s="49"/>
      <c r="H195" s="49"/>
      <c r="I195" s="100">
        <f>H195 * salesTaxPct</f>
        <v>0</v>
      </c>
      <c r="J195" s="49"/>
      <c r="K195" s="24"/>
      <c r="L195" s="100">
        <f t="shared" si="3"/>
        <v>0</v>
      </c>
      <c r="M195" s="103"/>
      <c r="N195" s="96" t="str">
        <f ca="1">IF(PRINTERS[[#This Row],[ID]] &lt;&gt; "", IF(A195 = "000", A195 &amp; " | None", A195 &amp; " | " &amp; B195 &amp; " | " &amp; C195), "")</f>
        <v/>
      </c>
    </row>
    <row r="196" spans="1:14" ht="22.5" customHeight="1">
      <c r="A196" s="111" t="str">
        <f ca="1">IF(PRINTERS[[#This Row],[PRODUCT]] &lt;&gt; "", IF(ROW() = 2, "000", TEXT(INDIRECT("A" &amp; ROW() - 1) + 1, "000")), "")</f>
        <v/>
      </c>
      <c r="B196" s="17"/>
      <c r="C196" s="102"/>
      <c r="D196" s="48"/>
      <c r="E196" s="49"/>
      <c r="F196" s="49"/>
      <c r="G196" s="49"/>
      <c r="H196" s="49"/>
      <c r="I196" s="100">
        <f>H196 * salesTaxPct</f>
        <v>0</v>
      </c>
      <c r="J196" s="49"/>
      <c r="K196" s="24"/>
      <c r="L196" s="100">
        <f t="shared" si="3"/>
        <v>0</v>
      </c>
      <c r="M196" s="103"/>
      <c r="N196" s="96" t="str">
        <f ca="1">IF(PRINTERS[[#This Row],[ID]] &lt;&gt; "", IF(A196 = "000", A196 &amp; " | None", A196 &amp; " | " &amp; B196 &amp; " | " &amp; C196), "")</f>
        <v/>
      </c>
    </row>
    <row r="197" spans="1:14" ht="22.5" customHeight="1">
      <c r="A197" s="111" t="str">
        <f ca="1">IF(PRINTERS[[#This Row],[PRODUCT]] &lt;&gt; "", IF(ROW() = 2, "000", TEXT(INDIRECT("A" &amp; ROW() - 1) + 1, "000")), "")</f>
        <v/>
      </c>
      <c r="B197" s="17"/>
      <c r="C197" s="102"/>
      <c r="D197" s="48"/>
      <c r="E197" s="49"/>
      <c r="F197" s="49"/>
      <c r="G197" s="49"/>
      <c r="H197" s="49"/>
      <c r="I197" s="100">
        <f>H197 * salesTaxPct</f>
        <v>0</v>
      </c>
      <c r="J197" s="49"/>
      <c r="K197" s="24"/>
      <c r="L197" s="100">
        <f t="shared" si="3"/>
        <v>0</v>
      </c>
      <c r="M197" s="103"/>
      <c r="N197" s="96" t="str">
        <f ca="1">IF(PRINTERS[[#This Row],[ID]] &lt;&gt; "", IF(A197 = "000", A197 &amp; " | None", A197 &amp; " | " &amp; B197 &amp; " | " &amp; C197), "")</f>
        <v/>
      </c>
    </row>
    <row r="198" spans="1:14" ht="22.5" customHeight="1">
      <c r="A198" s="111" t="str">
        <f ca="1">IF(PRINTERS[[#This Row],[PRODUCT]] &lt;&gt; "", IF(ROW() = 2, "000", TEXT(INDIRECT("A" &amp; ROW() - 1) + 1, "000")), "")</f>
        <v/>
      </c>
      <c r="B198" s="17"/>
      <c r="C198" s="102"/>
      <c r="D198" s="48"/>
      <c r="E198" s="49"/>
      <c r="F198" s="49"/>
      <c r="G198" s="49"/>
      <c r="H198" s="49"/>
      <c r="I198" s="100">
        <f>H198 * salesTaxPct</f>
        <v>0</v>
      </c>
      <c r="J198" s="49"/>
      <c r="K198" s="24"/>
      <c r="L198" s="100">
        <f t="shared" si="3"/>
        <v>0</v>
      </c>
      <c r="M198" s="103"/>
      <c r="N198" s="96" t="str">
        <f ca="1">IF(PRINTERS[[#This Row],[ID]] &lt;&gt; "", IF(A198 = "000", A198 &amp; " | None", A198 &amp; " | " &amp; B198 &amp; " | " &amp; C198), "")</f>
        <v/>
      </c>
    </row>
    <row r="199" spans="1:14" ht="22.5" customHeight="1">
      <c r="A199" s="111" t="str">
        <f ca="1">IF(PRINTERS[[#This Row],[PRODUCT]] &lt;&gt; "", IF(ROW() = 2, "000", TEXT(INDIRECT("A" &amp; ROW() - 1) + 1, "000")), "")</f>
        <v/>
      </c>
      <c r="B199" s="17"/>
      <c r="C199" s="102"/>
      <c r="D199" s="48"/>
      <c r="E199" s="49"/>
      <c r="F199" s="49"/>
      <c r="G199" s="49"/>
      <c r="H199" s="49"/>
      <c r="I199" s="100">
        <f>H199 * salesTaxPct</f>
        <v>0</v>
      </c>
      <c r="J199" s="49"/>
      <c r="K199" s="24"/>
      <c r="L199" s="100">
        <f t="shared" si="3"/>
        <v>0</v>
      </c>
      <c r="M199" s="103"/>
      <c r="N199" s="96" t="str">
        <f ca="1">IF(PRINTERS[[#This Row],[ID]] &lt;&gt; "", IF(A199 = "000", A199 &amp; " | None", A199 &amp; " | " &amp; B199 &amp; " | " &amp; C199), "")</f>
        <v/>
      </c>
    </row>
    <row r="200" spans="1:14" ht="22.5" customHeight="1">
      <c r="A200" s="111" t="str">
        <f ca="1">IF(PRINTERS[[#This Row],[PRODUCT]] &lt;&gt; "", IF(ROW() = 2, "000", TEXT(INDIRECT("A" &amp; ROW() - 1) + 1, "000")), "")</f>
        <v/>
      </c>
      <c r="B200" s="17"/>
      <c r="C200" s="102"/>
      <c r="D200" s="48"/>
      <c r="E200" s="49"/>
      <c r="F200" s="49"/>
      <c r="G200" s="49"/>
      <c r="H200" s="49"/>
      <c r="I200" s="100">
        <f>H200 * salesTaxPct</f>
        <v>0</v>
      </c>
      <c r="J200" s="49"/>
      <c r="K200" s="24"/>
      <c r="L200" s="100">
        <f t="shared" si="3"/>
        <v>0</v>
      </c>
      <c r="M200" s="103"/>
      <c r="N200" s="96" t="str">
        <f ca="1">IF(PRINTERS[[#This Row],[ID]] &lt;&gt; "", IF(A200 = "000", A200 &amp; " | None", A200 &amp; " | " &amp; B200 &amp; " | " &amp; C200), "")</f>
        <v/>
      </c>
    </row>
    <row r="201" spans="1:14" ht="22.5" customHeight="1">
      <c r="A201" s="111" t="str">
        <f ca="1">IF(PRINTERS[[#This Row],[PRODUCT]] &lt;&gt; "", IF(ROW() = 2, "000", TEXT(INDIRECT("A" &amp; ROW() - 1) + 1, "000")), "")</f>
        <v/>
      </c>
      <c r="B201" s="17"/>
      <c r="C201" s="102"/>
      <c r="D201" s="48"/>
      <c r="E201" s="49"/>
      <c r="F201" s="49"/>
      <c r="G201" s="49"/>
      <c r="H201" s="49"/>
      <c r="I201" s="100">
        <f>H201 * salesTaxPct</f>
        <v>0</v>
      </c>
      <c r="J201" s="49"/>
      <c r="K201" s="24"/>
      <c r="L201" s="100">
        <f t="shared" si="3"/>
        <v>0</v>
      </c>
      <c r="M201" s="103"/>
      <c r="N201" s="96" t="str">
        <f ca="1">IF(PRINTERS[[#This Row],[ID]] &lt;&gt; "", IF(A201 = "000", A201 &amp; " | None", A201 &amp; " | " &amp; B201 &amp; " | " &amp; C201), "")</f>
        <v/>
      </c>
    </row>
    <row r="202" spans="1:14" ht="22.5" customHeight="1">
      <c r="A202" s="111" t="str">
        <f ca="1">IF(PRINTERS[[#This Row],[PRODUCT]] &lt;&gt; "", IF(ROW() = 2, "000", TEXT(INDIRECT("A" &amp; ROW() - 1) + 1, "000")), "")</f>
        <v/>
      </c>
      <c r="B202" s="17"/>
      <c r="C202" s="102"/>
      <c r="D202" s="48"/>
      <c r="E202" s="49"/>
      <c r="F202" s="49"/>
      <c r="G202" s="49"/>
      <c r="H202" s="49"/>
      <c r="I202" s="100">
        <f>H202 * salesTaxPct</f>
        <v>0</v>
      </c>
      <c r="J202" s="49"/>
      <c r="K202" s="24"/>
      <c r="L202" s="100">
        <f t="shared" si="3"/>
        <v>0</v>
      </c>
      <c r="M202" s="103"/>
      <c r="N202" s="96" t="str">
        <f ca="1">IF(PRINTERS[[#This Row],[ID]] &lt;&gt; "", IF(A202 = "000", A202 &amp; " | None", A202 &amp; " | " &amp; B202 &amp; " | " &amp; C202), "")</f>
        <v/>
      </c>
    </row>
    <row r="203" spans="1:14" ht="22.5" customHeight="1">
      <c r="A203" s="111" t="str">
        <f ca="1">IF(PRINTERS[[#This Row],[PRODUCT]] &lt;&gt; "", IF(ROW() = 2, "000", TEXT(INDIRECT("A" &amp; ROW() - 1) + 1, "000")), "")</f>
        <v/>
      </c>
      <c r="B203" s="17"/>
      <c r="C203" s="102"/>
      <c r="D203" s="48"/>
      <c r="E203" s="49"/>
      <c r="F203" s="49"/>
      <c r="G203" s="49"/>
      <c r="H203" s="49"/>
      <c r="I203" s="100">
        <f>H203 * salesTaxPct</f>
        <v>0</v>
      </c>
      <c r="J203" s="49"/>
      <c r="K203" s="24"/>
      <c r="L203" s="100">
        <f t="shared" si="3"/>
        <v>0</v>
      </c>
      <c r="M203" s="103"/>
      <c r="N203" s="96" t="str">
        <f ca="1">IF(PRINTERS[[#This Row],[ID]] &lt;&gt; "", IF(A203 = "000", A203 &amp; " | None", A203 &amp; " | " &amp; B203 &amp; " | " &amp; C203), "")</f>
        <v/>
      </c>
    </row>
    <row r="204" spans="1:14" ht="22.5" customHeight="1">
      <c r="A204" s="111" t="str">
        <f ca="1">IF(PRINTERS[[#This Row],[PRODUCT]] &lt;&gt; "", IF(ROW() = 2, "000", TEXT(INDIRECT("A" &amp; ROW() - 1) + 1, "000")), "")</f>
        <v/>
      </c>
      <c r="B204" s="17"/>
      <c r="C204" s="102"/>
      <c r="D204" s="48"/>
      <c r="E204" s="49"/>
      <c r="F204" s="49"/>
      <c r="G204" s="49"/>
      <c r="H204" s="49"/>
      <c r="I204" s="100">
        <f>H204 * salesTaxPct</f>
        <v>0</v>
      </c>
      <c r="J204" s="49"/>
      <c r="K204" s="24"/>
      <c r="L204" s="100">
        <f t="shared" si="3"/>
        <v>0</v>
      </c>
      <c r="M204" s="103"/>
      <c r="N204" s="96" t="str">
        <f ca="1">IF(PRINTERS[[#This Row],[ID]] &lt;&gt; "", IF(A204 = "000", A204 &amp; " | None", A204 &amp; " | " &amp; B204 &amp; " | " &amp; C204), "")</f>
        <v/>
      </c>
    </row>
    <row r="205" spans="1:14" ht="22.5" customHeight="1">
      <c r="A205" s="111" t="str">
        <f ca="1">IF(PRINTERS[[#This Row],[PRODUCT]] &lt;&gt; "", IF(ROW() = 2, "000", TEXT(INDIRECT("A" &amp; ROW() - 1) + 1, "000")), "")</f>
        <v/>
      </c>
      <c r="B205" s="17"/>
      <c r="C205" s="102"/>
      <c r="D205" s="48"/>
      <c r="E205" s="49"/>
      <c r="F205" s="49"/>
      <c r="G205" s="49"/>
      <c r="H205" s="49"/>
      <c r="I205" s="100">
        <f>H205 * salesTaxPct</f>
        <v>0</v>
      </c>
      <c r="J205" s="49"/>
      <c r="K205" s="24"/>
      <c r="L205" s="100">
        <f t="shared" si="3"/>
        <v>0</v>
      </c>
      <c r="M205" s="103"/>
      <c r="N205" s="96" t="str">
        <f ca="1">IF(PRINTERS[[#This Row],[ID]] &lt;&gt; "", IF(A205 = "000", A205 &amp; " | None", A205 &amp; " | " &amp; B205 &amp; " | " &amp; C205), "")</f>
        <v/>
      </c>
    </row>
    <row r="206" spans="1:14" ht="22.5" customHeight="1">
      <c r="A206" s="111" t="str">
        <f ca="1">IF(PRINTERS[[#This Row],[PRODUCT]] &lt;&gt; "", IF(ROW() = 2, "000", TEXT(INDIRECT("A" &amp; ROW() - 1) + 1, "000")), "")</f>
        <v/>
      </c>
      <c r="B206" s="17"/>
      <c r="C206" s="102"/>
      <c r="D206" s="48"/>
      <c r="E206" s="49"/>
      <c r="F206" s="49"/>
      <c r="G206" s="49"/>
      <c r="H206" s="49"/>
      <c r="I206" s="100">
        <f>H206 * salesTaxPct</f>
        <v>0</v>
      </c>
      <c r="J206" s="49"/>
      <c r="K206" s="24"/>
      <c r="L206" s="100">
        <f t="shared" si="3"/>
        <v>0</v>
      </c>
      <c r="M206" s="103"/>
      <c r="N206" s="96" t="str">
        <f ca="1">IF(PRINTERS[[#This Row],[ID]] &lt;&gt; "", IF(A206 = "000", A206 &amp; " | None", A206 &amp; " | " &amp; B206 &amp; " | " &amp; C206), "")</f>
        <v/>
      </c>
    </row>
    <row r="207" spans="1:14" ht="22.5" customHeight="1">
      <c r="A207" s="111" t="str">
        <f ca="1">IF(PRINTERS[[#This Row],[PRODUCT]] &lt;&gt; "", IF(ROW() = 2, "000", TEXT(INDIRECT("A" &amp; ROW() - 1) + 1, "000")), "")</f>
        <v/>
      </c>
      <c r="B207" s="17"/>
      <c r="C207" s="102"/>
      <c r="D207" s="48"/>
      <c r="E207" s="49"/>
      <c r="F207" s="49"/>
      <c r="G207" s="49"/>
      <c r="H207" s="49"/>
      <c r="I207" s="100">
        <f>H207 * salesTaxPct</f>
        <v>0</v>
      </c>
      <c r="J207" s="49"/>
      <c r="K207" s="24"/>
      <c r="L207" s="100">
        <f t="shared" si="3"/>
        <v>0</v>
      </c>
      <c r="M207" s="103"/>
      <c r="N207" s="96" t="str">
        <f ca="1">IF(PRINTERS[[#This Row],[ID]] &lt;&gt; "", IF(A207 = "000", A207 &amp; " | None", A207 &amp; " | " &amp; B207 &amp; " | " &amp; C207), "")</f>
        <v/>
      </c>
    </row>
    <row r="208" spans="1:14" ht="22.5" customHeight="1">
      <c r="A208" s="111" t="str">
        <f ca="1">IF(PRINTERS[[#This Row],[PRODUCT]] &lt;&gt; "", IF(ROW() = 2, "000", TEXT(INDIRECT("A" &amp; ROW() - 1) + 1, "000")), "")</f>
        <v/>
      </c>
      <c r="B208" s="17"/>
      <c r="C208" s="102"/>
      <c r="D208" s="48"/>
      <c r="E208" s="49"/>
      <c r="F208" s="49"/>
      <c r="G208" s="49"/>
      <c r="H208" s="49"/>
      <c r="I208" s="100">
        <f>H208 * salesTaxPct</f>
        <v>0</v>
      </c>
      <c r="J208" s="49"/>
      <c r="K208" s="24"/>
      <c r="L208" s="100">
        <f t="shared" si="3"/>
        <v>0</v>
      </c>
      <c r="M208" s="103"/>
      <c r="N208" s="96" t="str">
        <f ca="1">IF(PRINTERS[[#This Row],[ID]] &lt;&gt; "", IF(A208 = "000", A208 &amp; " | None", A208 &amp; " | " &amp; B208 &amp; " | " &amp; C208), "")</f>
        <v/>
      </c>
    </row>
    <row r="209" spans="1:14" ht="22.5" customHeight="1">
      <c r="A209" s="111" t="str">
        <f ca="1">IF(PRINTERS[[#This Row],[PRODUCT]] &lt;&gt; "", IF(ROW() = 2, "000", TEXT(INDIRECT("A" &amp; ROW() - 1) + 1, "000")), "")</f>
        <v/>
      </c>
      <c r="B209" s="17"/>
      <c r="C209" s="102"/>
      <c r="D209" s="48"/>
      <c r="E209" s="49"/>
      <c r="F209" s="49"/>
      <c r="G209" s="49"/>
      <c r="H209" s="49"/>
      <c r="I209" s="100">
        <f>H209 * salesTaxPct</f>
        <v>0</v>
      </c>
      <c r="J209" s="49"/>
      <c r="K209" s="24"/>
      <c r="L209" s="100">
        <f t="shared" si="3"/>
        <v>0</v>
      </c>
      <c r="M209" s="103"/>
      <c r="N209" s="96" t="str">
        <f ca="1">IF(PRINTERS[[#This Row],[ID]] &lt;&gt; "", IF(A209 = "000", A209 &amp; " | None", A209 &amp; " | " &amp; B209 &amp; " | " &amp; C209), "")</f>
        <v/>
      </c>
    </row>
    <row r="210" spans="1:14" ht="22.5" customHeight="1">
      <c r="A210" s="111" t="str">
        <f ca="1">IF(PRINTERS[[#This Row],[PRODUCT]] &lt;&gt; "", IF(ROW() = 2, "000", TEXT(INDIRECT("A" &amp; ROW() - 1) + 1, "000")), "")</f>
        <v/>
      </c>
      <c r="B210" s="17"/>
      <c r="C210" s="102"/>
      <c r="D210" s="48"/>
      <c r="E210" s="49"/>
      <c r="F210" s="49"/>
      <c r="G210" s="49"/>
      <c r="H210" s="49"/>
      <c r="I210" s="100">
        <f>H210 * salesTaxPct</f>
        <v>0</v>
      </c>
      <c r="J210" s="49"/>
      <c r="K210" s="24"/>
      <c r="L210" s="100">
        <f t="shared" si="3"/>
        <v>0</v>
      </c>
      <c r="M210" s="103"/>
      <c r="N210" s="96" t="str">
        <f ca="1">IF(PRINTERS[[#This Row],[ID]] &lt;&gt; "", IF(A210 = "000", A210 &amp; " | None", A210 &amp; " | " &amp; B210 &amp; " | " &amp; C210), "")</f>
        <v/>
      </c>
    </row>
    <row r="211" spans="1:14" ht="22.5" customHeight="1">
      <c r="A211" s="111" t="str">
        <f ca="1">IF(PRINTERS[[#This Row],[PRODUCT]] &lt;&gt; "", IF(ROW() = 2, "000", TEXT(INDIRECT("A" &amp; ROW() - 1) + 1, "000")), "")</f>
        <v/>
      </c>
      <c r="B211" s="17"/>
      <c r="C211" s="102"/>
      <c r="D211" s="48"/>
      <c r="E211" s="49"/>
      <c r="F211" s="49"/>
      <c r="G211" s="49"/>
      <c r="H211" s="49"/>
      <c r="I211" s="100">
        <f>H211 * salesTaxPct</f>
        <v>0</v>
      </c>
      <c r="J211" s="49"/>
      <c r="K211" s="24"/>
      <c r="L211" s="100">
        <f t="shared" si="3"/>
        <v>0</v>
      </c>
      <c r="M211" s="103"/>
      <c r="N211" s="96" t="str">
        <f ca="1">IF(PRINTERS[[#This Row],[ID]] &lt;&gt; "", IF(A211 = "000", A211 &amp; " | None", A211 &amp; " | " &amp; B211 &amp; " | " &amp; C211), "")</f>
        <v/>
      </c>
    </row>
    <row r="212" spans="1:14" ht="22.5" customHeight="1">
      <c r="A212" s="111" t="str">
        <f ca="1">IF(PRINTERS[[#This Row],[PRODUCT]] &lt;&gt; "", IF(ROW() = 2, "000", TEXT(INDIRECT("A" &amp; ROW() - 1) + 1, "000")), "")</f>
        <v/>
      </c>
      <c r="B212" s="17"/>
      <c r="C212" s="102"/>
      <c r="D212" s="48"/>
      <c r="E212" s="49"/>
      <c r="F212" s="49"/>
      <c r="G212" s="49"/>
      <c r="H212" s="49"/>
      <c r="I212" s="100">
        <f>H212 * salesTaxPct</f>
        <v>0</v>
      </c>
      <c r="J212" s="49"/>
      <c r="K212" s="24"/>
      <c r="L212" s="100">
        <f t="shared" si="3"/>
        <v>0</v>
      </c>
      <c r="M212" s="103"/>
      <c r="N212" s="96" t="str">
        <f ca="1">IF(PRINTERS[[#This Row],[ID]] &lt;&gt; "", IF(A212 = "000", A212 &amp; " | None", A212 &amp; " | " &amp; B212 &amp; " | " &amp; C212), "")</f>
        <v/>
      </c>
    </row>
    <row r="213" spans="1:14" ht="22.5" customHeight="1">
      <c r="A213" s="111" t="str">
        <f ca="1">IF(PRINTERS[[#This Row],[PRODUCT]] &lt;&gt; "", IF(ROW() = 2, "000", TEXT(INDIRECT("A" &amp; ROW() - 1) + 1, "000")), "")</f>
        <v/>
      </c>
      <c r="B213" s="17"/>
      <c r="C213" s="102"/>
      <c r="D213" s="48"/>
      <c r="E213" s="49"/>
      <c r="F213" s="49"/>
      <c r="G213" s="49"/>
      <c r="H213" s="49"/>
      <c r="I213" s="100">
        <f>H213 * salesTaxPct</f>
        <v>0</v>
      </c>
      <c r="J213" s="49"/>
      <c r="K213" s="24"/>
      <c r="L213" s="100">
        <f t="shared" si="3"/>
        <v>0</v>
      </c>
      <c r="M213" s="103"/>
      <c r="N213" s="96" t="str">
        <f ca="1">IF(PRINTERS[[#This Row],[ID]] &lt;&gt; "", IF(A213 = "000", A213 &amp; " | None", A213 &amp; " | " &amp; B213 &amp; " | " &amp; C213), "")</f>
        <v/>
      </c>
    </row>
    <row r="214" spans="1:14" ht="22.5" customHeight="1">
      <c r="A214" s="111" t="str">
        <f ca="1">IF(PRINTERS[[#This Row],[PRODUCT]] &lt;&gt; "", IF(ROW() = 2, "000", TEXT(INDIRECT("A" &amp; ROW() - 1) + 1, "000")), "")</f>
        <v/>
      </c>
      <c r="B214" s="17"/>
      <c r="C214" s="102"/>
      <c r="D214" s="48"/>
      <c r="E214" s="49"/>
      <c r="F214" s="49"/>
      <c r="G214" s="49"/>
      <c r="H214" s="49"/>
      <c r="I214" s="100">
        <f>H214 * salesTaxPct</f>
        <v>0</v>
      </c>
      <c r="J214" s="49"/>
      <c r="K214" s="24"/>
      <c r="L214" s="100">
        <f t="shared" si="3"/>
        <v>0</v>
      </c>
      <c r="M214" s="103"/>
      <c r="N214" s="96" t="str">
        <f ca="1">IF(PRINTERS[[#This Row],[ID]] &lt;&gt; "", IF(A214 = "000", A214 &amp; " | None", A214 &amp; " | " &amp; B214 &amp; " | " &amp; C214), "")</f>
        <v/>
      </c>
    </row>
    <row r="215" spans="1:14" ht="22.5" customHeight="1">
      <c r="A215" s="111" t="str">
        <f ca="1">IF(PRINTERS[[#This Row],[PRODUCT]] &lt;&gt; "", IF(ROW() = 2, "000", TEXT(INDIRECT("A" &amp; ROW() - 1) + 1, "000")), "")</f>
        <v/>
      </c>
      <c r="B215" s="17"/>
      <c r="C215" s="102"/>
      <c r="D215" s="48"/>
      <c r="E215" s="49"/>
      <c r="F215" s="49"/>
      <c r="G215" s="49"/>
      <c r="H215" s="49"/>
      <c r="I215" s="100">
        <f>H215 * salesTaxPct</f>
        <v>0</v>
      </c>
      <c r="J215" s="49"/>
      <c r="K215" s="24"/>
      <c r="L215" s="100">
        <f t="shared" si="3"/>
        <v>0</v>
      </c>
      <c r="M215" s="103"/>
      <c r="N215" s="96" t="str">
        <f ca="1">IF(PRINTERS[[#This Row],[ID]] &lt;&gt; "", IF(A215 = "000", A215 &amp; " | None", A215 &amp; " | " &amp; B215 &amp; " | " &amp; C215), "")</f>
        <v/>
      </c>
    </row>
    <row r="216" spans="1:14" ht="22.5" customHeight="1">
      <c r="A216" s="111" t="str">
        <f ca="1">IF(PRINTERS[[#This Row],[PRODUCT]] &lt;&gt; "", IF(ROW() = 2, "000", TEXT(INDIRECT("A" &amp; ROW() - 1) + 1, "000")), "")</f>
        <v/>
      </c>
      <c r="B216" s="17"/>
      <c r="C216" s="102"/>
      <c r="D216" s="48"/>
      <c r="E216" s="49"/>
      <c r="F216" s="49"/>
      <c r="G216" s="49"/>
      <c r="H216" s="49"/>
      <c r="I216" s="100">
        <f>H216 * salesTaxPct</f>
        <v>0</v>
      </c>
      <c r="J216" s="49"/>
      <c r="K216" s="24"/>
      <c r="L216" s="100">
        <f t="shared" si="3"/>
        <v>0</v>
      </c>
      <c r="M216" s="103"/>
      <c r="N216" s="96" t="str">
        <f ca="1">IF(PRINTERS[[#This Row],[ID]] &lt;&gt; "", IF(A216 = "000", A216 &amp; " | None", A216 &amp; " | " &amp; B216 &amp; " | " &amp; C216), "")</f>
        <v/>
      </c>
    </row>
    <row r="217" spans="1:14" ht="22.5" customHeight="1">
      <c r="A217" s="111" t="str">
        <f ca="1">IF(PRINTERS[[#This Row],[PRODUCT]] &lt;&gt; "", IF(ROW() = 2, "000", TEXT(INDIRECT("A" &amp; ROW() - 1) + 1, "000")), "")</f>
        <v/>
      </c>
      <c r="B217" s="17"/>
      <c r="C217" s="102"/>
      <c r="D217" s="48"/>
      <c r="E217" s="49"/>
      <c r="F217" s="49"/>
      <c r="G217" s="49"/>
      <c r="H217" s="49"/>
      <c r="I217" s="100">
        <f>H217 * salesTaxPct</f>
        <v>0</v>
      </c>
      <c r="J217" s="49"/>
      <c r="K217" s="24"/>
      <c r="L217" s="100">
        <f t="shared" si="3"/>
        <v>0</v>
      </c>
      <c r="M217" s="103"/>
      <c r="N217" s="96" t="str">
        <f ca="1">IF(PRINTERS[[#This Row],[ID]] &lt;&gt; "", IF(A217 = "000", A217 &amp; " | None", A217 &amp; " | " &amp; B217 &amp; " | " &amp; C217), "")</f>
        <v/>
      </c>
    </row>
    <row r="218" spans="1:14" ht="22.5" customHeight="1">
      <c r="A218" s="111" t="str">
        <f ca="1">IF(PRINTERS[[#This Row],[PRODUCT]] &lt;&gt; "", IF(ROW() = 2, "000", TEXT(INDIRECT("A" &amp; ROW() - 1) + 1, "000")), "")</f>
        <v/>
      </c>
      <c r="B218" s="17"/>
      <c r="C218" s="102"/>
      <c r="D218" s="48"/>
      <c r="E218" s="49"/>
      <c r="F218" s="49"/>
      <c r="G218" s="49"/>
      <c r="H218" s="49"/>
      <c r="I218" s="100">
        <f>H218 * salesTaxPct</f>
        <v>0</v>
      </c>
      <c r="J218" s="49"/>
      <c r="K218" s="24"/>
      <c r="L218" s="100">
        <f t="shared" si="3"/>
        <v>0</v>
      </c>
      <c r="M218" s="103"/>
      <c r="N218" s="96" t="str">
        <f ca="1">IF(PRINTERS[[#This Row],[ID]] &lt;&gt; "", IF(A218 = "000", A218 &amp; " | None", A218 &amp; " | " &amp; B218 &amp; " | " &amp; C218), "")</f>
        <v/>
      </c>
    </row>
    <row r="219" spans="1:14" ht="22.5" customHeight="1">
      <c r="A219" s="111" t="str">
        <f ca="1">IF(PRINTERS[[#This Row],[PRODUCT]] &lt;&gt; "", IF(ROW() = 2, "000", TEXT(INDIRECT("A" &amp; ROW() - 1) + 1, "000")), "")</f>
        <v/>
      </c>
      <c r="B219" s="17"/>
      <c r="C219" s="102"/>
      <c r="D219" s="48"/>
      <c r="E219" s="49"/>
      <c r="F219" s="49"/>
      <c r="G219" s="49"/>
      <c r="H219" s="49"/>
      <c r="I219" s="100">
        <f>H219 * salesTaxPct</f>
        <v>0</v>
      </c>
      <c r="J219" s="49"/>
      <c r="K219" s="24"/>
      <c r="L219" s="100">
        <f t="shared" si="3"/>
        <v>0</v>
      </c>
      <c r="M219" s="103"/>
      <c r="N219" s="96" t="str">
        <f ca="1">IF(PRINTERS[[#This Row],[ID]] &lt;&gt; "", IF(A219 = "000", A219 &amp; " | None", A219 &amp; " | " &amp; B219 &amp; " | " &amp; C219), "")</f>
        <v/>
      </c>
    </row>
    <row r="220" spans="1:14" ht="22.5" customHeight="1">
      <c r="A220" s="111" t="str">
        <f ca="1">IF(PRINTERS[[#This Row],[PRODUCT]] &lt;&gt; "", IF(ROW() = 2, "000", TEXT(INDIRECT("A" &amp; ROW() - 1) + 1, "000")), "")</f>
        <v/>
      </c>
      <c r="B220" s="17"/>
      <c r="C220" s="102"/>
      <c r="D220" s="48"/>
      <c r="E220" s="49"/>
      <c r="F220" s="49"/>
      <c r="G220" s="49"/>
      <c r="H220" s="49"/>
      <c r="I220" s="100">
        <f>H220 * salesTaxPct</f>
        <v>0</v>
      </c>
      <c r="J220" s="49"/>
      <c r="K220" s="24"/>
      <c r="L220" s="100">
        <f t="shared" si="3"/>
        <v>0</v>
      </c>
      <c r="M220" s="103"/>
      <c r="N220" s="96" t="str">
        <f ca="1">IF(PRINTERS[[#This Row],[ID]] &lt;&gt; "", IF(A220 = "000", A220 &amp; " | None", A220 &amp; " | " &amp; B220 &amp; " | " &amp; C220), "")</f>
        <v/>
      </c>
    </row>
    <row r="221" spans="1:14" ht="22.5" customHeight="1">
      <c r="A221" s="111" t="str">
        <f ca="1">IF(PRINTERS[[#This Row],[PRODUCT]] &lt;&gt; "", IF(ROW() = 2, "000", TEXT(INDIRECT("A" &amp; ROW() - 1) + 1, "000")), "")</f>
        <v/>
      </c>
      <c r="B221" s="17"/>
      <c r="C221" s="102"/>
      <c r="D221" s="48"/>
      <c r="E221" s="49"/>
      <c r="F221" s="49"/>
      <c r="G221" s="49"/>
      <c r="H221" s="49"/>
      <c r="I221" s="100">
        <f>H221 * salesTaxPct</f>
        <v>0</v>
      </c>
      <c r="J221" s="49"/>
      <c r="K221" s="24"/>
      <c r="L221" s="100">
        <f t="shared" si="3"/>
        <v>0</v>
      </c>
      <c r="M221" s="103"/>
      <c r="N221" s="96" t="str">
        <f ca="1">IF(PRINTERS[[#This Row],[ID]] &lt;&gt; "", IF(A221 = "000", A221 &amp; " | None", A221 &amp; " | " &amp; B221 &amp; " | " &amp; C221), "")</f>
        <v/>
      </c>
    </row>
    <row r="222" spans="1:14" ht="22.5" customHeight="1">
      <c r="A222" s="111" t="str">
        <f ca="1">IF(PRINTERS[[#This Row],[PRODUCT]] &lt;&gt; "", IF(ROW() = 2, "000", TEXT(INDIRECT("A" &amp; ROW() - 1) + 1, "000")), "")</f>
        <v/>
      </c>
      <c r="B222" s="17"/>
      <c r="C222" s="102"/>
      <c r="D222" s="48"/>
      <c r="E222" s="49"/>
      <c r="F222" s="49"/>
      <c r="G222" s="49"/>
      <c r="H222" s="49"/>
      <c r="I222" s="100">
        <f>H222 * salesTaxPct</f>
        <v>0</v>
      </c>
      <c r="J222" s="49"/>
      <c r="K222" s="24"/>
      <c r="L222" s="100">
        <f t="shared" si="3"/>
        <v>0</v>
      </c>
      <c r="M222" s="103"/>
      <c r="N222" s="96" t="str">
        <f ca="1">IF(PRINTERS[[#This Row],[ID]] &lt;&gt; "", IF(A222 = "000", A222 &amp; " | None", A222 &amp; " | " &amp; B222 &amp; " | " &amp; C222), "")</f>
        <v/>
      </c>
    </row>
    <row r="223" spans="1:14" ht="22.5" customHeight="1">
      <c r="A223" s="111" t="str">
        <f ca="1">IF(PRINTERS[[#This Row],[PRODUCT]] &lt;&gt; "", IF(ROW() = 2, "000", TEXT(INDIRECT("A" &amp; ROW() - 1) + 1, "000")), "")</f>
        <v/>
      </c>
      <c r="B223" s="17"/>
      <c r="C223" s="102"/>
      <c r="D223" s="48"/>
      <c r="E223" s="49"/>
      <c r="F223" s="49"/>
      <c r="G223" s="49"/>
      <c r="H223" s="49"/>
      <c r="I223" s="100">
        <f>H223 * salesTaxPct</f>
        <v>0</v>
      </c>
      <c r="J223" s="49"/>
      <c r="K223" s="24"/>
      <c r="L223" s="100">
        <f t="shared" si="3"/>
        <v>0</v>
      </c>
      <c r="M223" s="103"/>
      <c r="N223" s="96" t="str">
        <f ca="1">IF(PRINTERS[[#This Row],[ID]] &lt;&gt; "", IF(A223 = "000", A223 &amp; " | None", A223 &amp; " | " &amp; B223 &amp; " | " &amp; C223), "")</f>
        <v/>
      </c>
    </row>
    <row r="224" spans="1:14" ht="22.5" customHeight="1">
      <c r="A224" s="111" t="str">
        <f ca="1">IF(PRINTERS[[#This Row],[PRODUCT]] &lt;&gt; "", IF(ROW() = 2, "000", TEXT(INDIRECT("A" &amp; ROW() - 1) + 1, "000")), "")</f>
        <v/>
      </c>
      <c r="B224" s="17"/>
      <c r="C224" s="102"/>
      <c r="D224" s="48"/>
      <c r="E224" s="49"/>
      <c r="F224" s="49"/>
      <c r="G224" s="49"/>
      <c r="H224" s="49"/>
      <c r="I224" s="100">
        <f>H224 * salesTaxPct</f>
        <v>0</v>
      </c>
      <c r="J224" s="49"/>
      <c r="K224" s="24"/>
      <c r="L224" s="100">
        <f t="shared" si="3"/>
        <v>0</v>
      </c>
      <c r="M224" s="103"/>
      <c r="N224" s="96" t="str">
        <f ca="1">IF(PRINTERS[[#This Row],[ID]] &lt;&gt; "", IF(A224 = "000", A224 &amp; " | None", A224 &amp; " | " &amp; B224 &amp; " | " &amp; C224), "")</f>
        <v/>
      </c>
    </row>
    <row r="225" spans="1:14" ht="22.5" customHeight="1">
      <c r="A225" s="111" t="str">
        <f ca="1">IF(PRINTERS[[#This Row],[PRODUCT]] &lt;&gt; "", IF(ROW() = 2, "000", TEXT(INDIRECT("A" &amp; ROW() - 1) + 1, "000")), "")</f>
        <v/>
      </c>
      <c r="B225" s="17"/>
      <c r="C225" s="102"/>
      <c r="D225" s="48"/>
      <c r="E225" s="49"/>
      <c r="F225" s="49"/>
      <c r="G225" s="49"/>
      <c r="H225" s="49"/>
      <c r="I225" s="100">
        <f>H225 * salesTaxPct</f>
        <v>0</v>
      </c>
      <c r="J225" s="49"/>
      <c r="K225" s="24"/>
      <c r="L225" s="100">
        <f t="shared" si="3"/>
        <v>0</v>
      </c>
      <c r="M225" s="103"/>
      <c r="N225" s="96" t="str">
        <f ca="1">IF(PRINTERS[[#This Row],[ID]] &lt;&gt; "", IF(A225 = "000", A225 &amp; " | None", A225 &amp; " | " &amp; B225 &amp; " | " &amp; C225), "")</f>
        <v/>
      </c>
    </row>
    <row r="226" spans="1:14" ht="22.5" customHeight="1">
      <c r="A226" s="111" t="str">
        <f ca="1">IF(PRINTERS[[#This Row],[PRODUCT]] &lt;&gt; "", IF(ROW() = 2, "000", TEXT(INDIRECT("A" &amp; ROW() - 1) + 1, "000")), "")</f>
        <v/>
      </c>
      <c r="B226" s="17"/>
      <c r="C226" s="102"/>
      <c r="D226" s="48"/>
      <c r="E226" s="49"/>
      <c r="F226" s="49"/>
      <c r="G226" s="49"/>
      <c r="H226" s="49"/>
      <c r="I226" s="100">
        <f>H226 * salesTaxPct</f>
        <v>0</v>
      </c>
      <c r="J226" s="49"/>
      <c r="K226" s="24"/>
      <c r="L226" s="100">
        <f t="shared" si="3"/>
        <v>0</v>
      </c>
      <c r="M226" s="103"/>
      <c r="N226" s="96" t="str">
        <f ca="1">IF(PRINTERS[[#This Row],[ID]] &lt;&gt; "", IF(A226 = "000", A226 &amp; " | None", A226 &amp; " | " &amp; B226 &amp; " | " &amp; C226), "")</f>
        <v/>
      </c>
    </row>
    <row r="227" spans="1:14" ht="22.5" customHeight="1">
      <c r="A227" s="111" t="str">
        <f ca="1">IF(PRINTERS[[#This Row],[PRODUCT]] &lt;&gt; "", IF(ROW() = 2, "000", TEXT(INDIRECT("A" &amp; ROW() - 1) + 1, "000")), "")</f>
        <v/>
      </c>
      <c r="B227" s="17"/>
      <c r="C227" s="102"/>
      <c r="D227" s="48"/>
      <c r="E227" s="49"/>
      <c r="F227" s="49"/>
      <c r="G227" s="49"/>
      <c r="H227" s="49"/>
      <c r="I227" s="100">
        <f>H227 * salesTaxPct</f>
        <v>0</v>
      </c>
      <c r="J227" s="49"/>
      <c r="K227" s="24"/>
      <c r="L227" s="100">
        <f t="shared" si="3"/>
        <v>0</v>
      </c>
      <c r="M227" s="103"/>
      <c r="N227" s="96" t="str">
        <f ca="1">IF(PRINTERS[[#This Row],[ID]] &lt;&gt; "", IF(A227 = "000", A227 &amp; " | None", A227 &amp; " | " &amp; B227 &amp; " | " &amp; C227), "")</f>
        <v/>
      </c>
    </row>
    <row r="228" spans="1:14" ht="22.5" customHeight="1">
      <c r="A228" s="111" t="str">
        <f ca="1">IF(PRINTERS[[#This Row],[PRODUCT]] &lt;&gt; "", IF(ROW() = 2, "000", TEXT(INDIRECT("A" &amp; ROW() - 1) + 1, "000")), "")</f>
        <v/>
      </c>
      <c r="B228" s="17"/>
      <c r="C228" s="102"/>
      <c r="D228" s="48"/>
      <c r="E228" s="49"/>
      <c r="F228" s="49"/>
      <c r="G228" s="49"/>
      <c r="H228" s="49"/>
      <c r="I228" s="100">
        <f>H228 * salesTaxPct</f>
        <v>0</v>
      </c>
      <c r="J228" s="49"/>
      <c r="K228" s="24"/>
      <c r="L228" s="100">
        <f t="shared" si="3"/>
        <v>0</v>
      </c>
      <c r="M228" s="103"/>
      <c r="N228" s="96" t="str">
        <f ca="1">IF(PRINTERS[[#This Row],[ID]] &lt;&gt; "", IF(A228 = "000", A228 &amp; " | None", A228 &amp; " | " &amp; B228 &amp; " | " &amp; C228), "")</f>
        <v/>
      </c>
    </row>
    <row r="229" spans="1:14" ht="22.5" customHeight="1">
      <c r="A229" s="111" t="str">
        <f ca="1">IF(PRINTERS[[#This Row],[PRODUCT]] &lt;&gt; "", IF(ROW() = 2, "000", TEXT(INDIRECT("A" &amp; ROW() - 1) + 1, "000")), "")</f>
        <v/>
      </c>
      <c r="B229" s="17"/>
      <c r="C229" s="102"/>
      <c r="D229" s="48"/>
      <c r="E229" s="49"/>
      <c r="F229" s="49"/>
      <c r="G229" s="49"/>
      <c r="H229" s="49"/>
      <c r="I229" s="100">
        <f>H229 * salesTaxPct</f>
        <v>0</v>
      </c>
      <c r="J229" s="49"/>
      <c r="K229" s="24"/>
      <c r="L229" s="100">
        <f t="shared" si="3"/>
        <v>0</v>
      </c>
      <c r="M229" s="103"/>
      <c r="N229" s="96" t="str">
        <f ca="1">IF(PRINTERS[[#This Row],[ID]] &lt;&gt; "", IF(A229 = "000", A229 &amp; " | None", A229 &amp; " | " &amp; B229 &amp; " | " &amp; C229), "")</f>
        <v/>
      </c>
    </row>
    <row r="230" spans="1:14" ht="22.5" customHeight="1">
      <c r="A230" s="111" t="str">
        <f ca="1">IF(PRINTERS[[#This Row],[PRODUCT]] &lt;&gt; "", IF(ROW() = 2, "000", TEXT(INDIRECT("A" &amp; ROW() - 1) + 1, "000")), "")</f>
        <v/>
      </c>
      <c r="B230" s="17"/>
      <c r="C230" s="102"/>
      <c r="D230" s="48"/>
      <c r="E230" s="49"/>
      <c r="F230" s="49"/>
      <c r="G230" s="49"/>
      <c r="H230" s="49"/>
      <c r="I230" s="100">
        <f>H230 * salesTaxPct</f>
        <v>0</v>
      </c>
      <c r="J230" s="49"/>
      <c r="K230" s="24"/>
      <c r="L230" s="100">
        <f t="shared" si="3"/>
        <v>0</v>
      </c>
      <c r="M230" s="103"/>
      <c r="N230" s="96" t="str">
        <f ca="1">IF(PRINTERS[[#This Row],[ID]] &lt;&gt; "", IF(A230 = "000", A230 &amp; " | None", A230 &amp; " | " &amp; B230 &amp; " | " &amp; C230), "")</f>
        <v/>
      </c>
    </row>
    <row r="231" spans="1:14" ht="22.5" customHeight="1">
      <c r="A231" s="111" t="str">
        <f ca="1">IF(PRINTERS[[#This Row],[PRODUCT]] &lt;&gt; "", IF(ROW() = 2, "000", TEXT(INDIRECT("A" &amp; ROW() - 1) + 1, "000")), "")</f>
        <v/>
      </c>
      <c r="B231" s="17"/>
      <c r="C231" s="102"/>
      <c r="D231" s="48"/>
      <c r="E231" s="49"/>
      <c r="F231" s="49"/>
      <c r="G231" s="49"/>
      <c r="H231" s="49"/>
      <c r="I231" s="100">
        <f>H231 * salesTaxPct</f>
        <v>0</v>
      </c>
      <c r="J231" s="49"/>
      <c r="K231" s="24"/>
      <c r="L231" s="100">
        <f t="shared" si="3"/>
        <v>0</v>
      </c>
      <c r="M231" s="103"/>
      <c r="N231" s="96" t="str">
        <f ca="1">IF(PRINTERS[[#This Row],[ID]] &lt;&gt; "", IF(A231 = "000", A231 &amp; " | None", A231 &amp; " | " &amp; B231 &amp; " | " &amp; C231), "")</f>
        <v/>
      </c>
    </row>
    <row r="232" spans="1:14" ht="22.5" customHeight="1">
      <c r="A232" s="111" t="str">
        <f ca="1">IF(PRINTERS[[#This Row],[PRODUCT]] &lt;&gt; "", IF(ROW() = 2, "000", TEXT(INDIRECT("A" &amp; ROW() - 1) + 1, "000")), "")</f>
        <v/>
      </c>
      <c r="B232" s="17"/>
      <c r="C232" s="102"/>
      <c r="D232" s="48"/>
      <c r="E232" s="49"/>
      <c r="F232" s="49"/>
      <c r="G232" s="49"/>
      <c r="H232" s="49"/>
      <c r="I232" s="100">
        <f>H232 * salesTaxPct</f>
        <v>0</v>
      </c>
      <c r="J232" s="49"/>
      <c r="K232" s="24"/>
      <c r="L232" s="100">
        <f t="shared" si="3"/>
        <v>0</v>
      </c>
      <c r="M232" s="103"/>
      <c r="N232" s="96" t="str">
        <f ca="1">IF(PRINTERS[[#This Row],[ID]] &lt;&gt; "", IF(A232 = "000", A232 &amp; " | None", A232 &amp; " | " &amp; B232 &amp; " | " &amp; C232), "")</f>
        <v/>
      </c>
    </row>
    <row r="233" spans="1:14" ht="22.5" customHeight="1">
      <c r="A233" s="111" t="str">
        <f ca="1">IF(PRINTERS[[#This Row],[PRODUCT]] &lt;&gt; "", IF(ROW() = 2, "000", TEXT(INDIRECT("A" &amp; ROW() - 1) + 1, "000")), "")</f>
        <v/>
      </c>
      <c r="B233" s="17"/>
      <c r="C233" s="102"/>
      <c r="D233" s="48"/>
      <c r="E233" s="49"/>
      <c r="F233" s="49"/>
      <c r="G233" s="49"/>
      <c r="H233" s="49"/>
      <c r="I233" s="100">
        <f>H233 * salesTaxPct</f>
        <v>0</v>
      </c>
      <c r="J233" s="49"/>
      <c r="K233" s="24"/>
      <c r="L233" s="100">
        <f t="shared" si="3"/>
        <v>0</v>
      </c>
      <c r="M233" s="103"/>
      <c r="N233" s="96" t="str">
        <f ca="1">IF(PRINTERS[[#This Row],[ID]] &lt;&gt; "", IF(A233 = "000", A233 &amp; " | None", A233 &amp; " | " &amp; B233 &amp; " | " &amp; C233), "")</f>
        <v/>
      </c>
    </row>
    <row r="234" spans="1:14" ht="22.5" customHeight="1">
      <c r="A234" s="111" t="str">
        <f ca="1">IF(PRINTERS[[#This Row],[PRODUCT]] &lt;&gt; "", IF(ROW() = 2, "000", TEXT(INDIRECT("A" &amp; ROW() - 1) + 1, "000")), "")</f>
        <v/>
      </c>
      <c r="B234" s="17"/>
      <c r="C234" s="102"/>
      <c r="D234" s="48"/>
      <c r="E234" s="49"/>
      <c r="F234" s="49"/>
      <c r="G234" s="49"/>
      <c r="H234" s="49"/>
      <c r="I234" s="100">
        <f>H234 * salesTaxPct</f>
        <v>0</v>
      </c>
      <c r="J234" s="49"/>
      <c r="K234" s="24"/>
      <c r="L234" s="100">
        <f t="shared" si="3"/>
        <v>0</v>
      </c>
      <c r="M234" s="103"/>
      <c r="N234" s="96" t="str">
        <f ca="1">IF(PRINTERS[[#This Row],[ID]] &lt;&gt; "", IF(A234 = "000", A234 &amp; " | None", A234 &amp; " | " &amp; B234 &amp; " | " &amp; C234), "")</f>
        <v/>
      </c>
    </row>
    <row r="235" spans="1:14" ht="22.5" customHeight="1">
      <c r="A235" s="111" t="str">
        <f ca="1">IF(PRINTERS[[#This Row],[PRODUCT]] &lt;&gt; "", IF(ROW() = 2, "000", TEXT(INDIRECT("A" &amp; ROW() - 1) + 1, "000")), "")</f>
        <v/>
      </c>
      <c r="B235" s="17"/>
      <c r="C235" s="102"/>
      <c r="D235" s="48"/>
      <c r="E235" s="49"/>
      <c r="F235" s="49"/>
      <c r="G235" s="49"/>
      <c r="H235" s="49"/>
      <c r="I235" s="100">
        <f>H235 * salesTaxPct</f>
        <v>0</v>
      </c>
      <c r="J235" s="49"/>
      <c r="K235" s="24"/>
      <c r="L235" s="100">
        <f t="shared" si="3"/>
        <v>0</v>
      </c>
      <c r="M235" s="103"/>
      <c r="N235" s="96" t="str">
        <f ca="1">IF(PRINTERS[[#This Row],[ID]] &lt;&gt; "", IF(A235 = "000", A235 &amp; " | None", A235 &amp; " | " &amp; B235 &amp; " | " &amp; C235), "")</f>
        <v/>
      </c>
    </row>
    <row r="236" spans="1:14" ht="22.5" customHeight="1">
      <c r="A236" s="111" t="str">
        <f ca="1">IF(PRINTERS[[#This Row],[PRODUCT]] &lt;&gt; "", IF(ROW() = 2, "000", TEXT(INDIRECT("A" &amp; ROW() - 1) + 1, "000")), "")</f>
        <v/>
      </c>
      <c r="B236" s="17"/>
      <c r="C236" s="102"/>
      <c r="D236" s="48"/>
      <c r="E236" s="49"/>
      <c r="F236" s="49"/>
      <c r="G236" s="49"/>
      <c r="H236" s="49"/>
      <c r="I236" s="100">
        <f>H236 * salesTaxPct</f>
        <v>0</v>
      </c>
      <c r="J236" s="49"/>
      <c r="K236" s="24"/>
      <c r="L236" s="100">
        <f t="shared" si="3"/>
        <v>0</v>
      </c>
      <c r="M236" s="103"/>
      <c r="N236" s="96" t="str">
        <f ca="1">IF(PRINTERS[[#This Row],[ID]] &lt;&gt; "", IF(A236 = "000", A236 &amp; " | None", A236 &amp; " | " &amp; B236 &amp; " | " &amp; C236), "")</f>
        <v/>
      </c>
    </row>
    <row r="237" spans="1:14" ht="22.5" customHeight="1">
      <c r="A237" s="111" t="str">
        <f ca="1">IF(PRINTERS[[#This Row],[PRODUCT]] &lt;&gt; "", IF(ROW() = 2, "000", TEXT(INDIRECT("A" &amp; ROW() - 1) + 1, "000")), "")</f>
        <v/>
      </c>
      <c r="B237" s="17"/>
      <c r="C237" s="102"/>
      <c r="D237" s="48"/>
      <c r="E237" s="49"/>
      <c r="F237" s="49"/>
      <c r="G237" s="49"/>
      <c r="H237" s="49"/>
      <c r="I237" s="100">
        <f>H237 * salesTaxPct</f>
        <v>0</v>
      </c>
      <c r="J237" s="49"/>
      <c r="K237" s="24"/>
      <c r="L237" s="100">
        <f t="shared" si="3"/>
        <v>0</v>
      </c>
      <c r="M237" s="103"/>
      <c r="N237" s="96" t="str">
        <f ca="1">IF(PRINTERS[[#This Row],[ID]] &lt;&gt; "", IF(A237 = "000", A237 &amp; " | None", A237 &amp; " | " &amp; B237 &amp; " | " &amp; C237), "")</f>
        <v/>
      </c>
    </row>
    <row r="238" spans="1:14" ht="22.5" customHeight="1">
      <c r="A238" s="111" t="str">
        <f ca="1">IF(PRINTERS[[#This Row],[PRODUCT]] &lt;&gt; "", IF(ROW() = 2, "000", TEXT(INDIRECT("A" &amp; ROW() - 1) + 1, "000")), "")</f>
        <v/>
      </c>
      <c r="B238" s="17"/>
      <c r="C238" s="102"/>
      <c r="D238" s="48"/>
      <c r="E238" s="49"/>
      <c r="F238" s="49"/>
      <c r="G238" s="49"/>
      <c r="H238" s="49"/>
      <c r="I238" s="100">
        <f>H238 * salesTaxPct</f>
        <v>0</v>
      </c>
      <c r="J238" s="49"/>
      <c r="K238" s="24"/>
      <c r="L238" s="100">
        <f t="shared" si="3"/>
        <v>0</v>
      </c>
      <c r="M238" s="103"/>
      <c r="N238" s="96" t="str">
        <f ca="1">IF(PRINTERS[[#This Row],[ID]] &lt;&gt; "", IF(A238 = "000", A238 &amp; " | None", A238 &amp; " | " &amp; B238 &amp; " | " &amp; C238), "")</f>
        <v/>
      </c>
    </row>
    <row r="239" spans="1:14" ht="22.5" customHeight="1">
      <c r="A239" s="111" t="str">
        <f ca="1">IF(PRINTERS[[#This Row],[PRODUCT]] &lt;&gt; "", IF(ROW() = 2, "000", TEXT(INDIRECT("A" &amp; ROW() - 1) + 1, "000")), "")</f>
        <v/>
      </c>
      <c r="B239" s="17"/>
      <c r="C239" s="102"/>
      <c r="D239" s="48"/>
      <c r="E239" s="49"/>
      <c r="F239" s="49"/>
      <c r="G239" s="49"/>
      <c r="H239" s="49"/>
      <c r="I239" s="100">
        <f>H239 * salesTaxPct</f>
        <v>0</v>
      </c>
      <c r="J239" s="49"/>
      <c r="K239" s="24"/>
      <c r="L239" s="100">
        <f t="shared" si="3"/>
        <v>0</v>
      </c>
      <c r="M239" s="103"/>
      <c r="N239" s="96" t="str">
        <f ca="1">IF(PRINTERS[[#This Row],[ID]] &lt;&gt; "", IF(A239 = "000", A239 &amp; " | None", A239 &amp; " | " &amp; B239 &amp; " | " &amp; C239), "")</f>
        <v/>
      </c>
    </row>
    <row r="240" spans="1:14" ht="22.5" customHeight="1">
      <c r="A240" s="111" t="str">
        <f ca="1">IF(PRINTERS[[#This Row],[PRODUCT]] &lt;&gt; "", IF(ROW() = 2, "000", TEXT(INDIRECT("A" &amp; ROW() - 1) + 1, "000")), "")</f>
        <v/>
      </c>
      <c r="B240" s="17"/>
      <c r="C240" s="102"/>
      <c r="D240" s="48"/>
      <c r="E240" s="49"/>
      <c r="F240" s="49"/>
      <c r="G240" s="49"/>
      <c r="H240" s="49"/>
      <c r="I240" s="100">
        <f>H240 * salesTaxPct</f>
        <v>0</v>
      </c>
      <c r="J240" s="49"/>
      <c r="K240" s="24"/>
      <c r="L240" s="100">
        <f t="shared" si="3"/>
        <v>0</v>
      </c>
      <c r="M240" s="103"/>
      <c r="N240" s="96" t="str">
        <f ca="1">IF(PRINTERS[[#This Row],[ID]] &lt;&gt; "", IF(A240 = "000", A240 &amp; " | None", A240 &amp; " | " &amp; B240 &amp; " | " &amp; C240), "")</f>
        <v/>
      </c>
    </row>
    <row r="241" spans="1:14" ht="22.5" customHeight="1">
      <c r="A241" s="111" t="str">
        <f ca="1">IF(PRINTERS[[#This Row],[PRODUCT]] &lt;&gt; "", IF(ROW() = 2, "000", TEXT(INDIRECT("A" &amp; ROW() - 1) + 1, "000")), "")</f>
        <v/>
      </c>
      <c r="B241" s="17"/>
      <c r="C241" s="102"/>
      <c r="D241" s="48"/>
      <c r="E241" s="49"/>
      <c r="F241" s="49"/>
      <c r="G241" s="49"/>
      <c r="H241" s="49"/>
      <c r="I241" s="100">
        <f>H241 * salesTaxPct</f>
        <v>0</v>
      </c>
      <c r="J241" s="49"/>
      <c r="K241" s="24"/>
      <c r="L241" s="100">
        <f t="shared" si="3"/>
        <v>0</v>
      </c>
      <c r="M241" s="103"/>
      <c r="N241" s="96" t="str">
        <f ca="1">IF(PRINTERS[[#This Row],[ID]] &lt;&gt; "", IF(A241 = "000", A241 &amp; " | None", A241 &amp; " | " &amp; B241 &amp; " | " &amp; C241), "")</f>
        <v/>
      </c>
    </row>
    <row r="242" spans="1:14" ht="22.5" customHeight="1">
      <c r="A242" s="111" t="str">
        <f ca="1">IF(PRINTERS[[#This Row],[PRODUCT]] &lt;&gt; "", IF(ROW() = 2, "000", TEXT(INDIRECT("A" &amp; ROW() - 1) + 1, "000")), "")</f>
        <v/>
      </c>
      <c r="B242" s="17"/>
      <c r="C242" s="102"/>
      <c r="D242" s="48"/>
      <c r="E242" s="49"/>
      <c r="F242" s="49"/>
      <c r="G242" s="49"/>
      <c r="H242" s="49"/>
      <c r="I242" s="100">
        <f>H242 * salesTaxPct</f>
        <v>0</v>
      </c>
      <c r="J242" s="49"/>
      <c r="K242" s="24"/>
      <c r="L242" s="100">
        <f t="shared" si="3"/>
        <v>0</v>
      </c>
      <c r="M242" s="103"/>
      <c r="N242" s="96" t="str">
        <f ca="1">IF(PRINTERS[[#This Row],[ID]] &lt;&gt; "", IF(A242 = "000", A242 &amp; " | None", A242 &amp; " | " &amp; B242 &amp; " | " &amp; C242), "")</f>
        <v/>
      </c>
    </row>
    <row r="243" spans="1:14" ht="22.5" customHeight="1">
      <c r="A243" s="111" t="str">
        <f ca="1">IF(PRINTERS[[#This Row],[PRODUCT]] &lt;&gt; "", IF(ROW() = 2, "000", TEXT(INDIRECT("A" &amp; ROW() - 1) + 1, "000")), "")</f>
        <v/>
      </c>
      <c r="B243" s="17"/>
      <c r="C243" s="102"/>
      <c r="D243" s="48"/>
      <c r="E243" s="49"/>
      <c r="F243" s="49"/>
      <c r="G243" s="49"/>
      <c r="H243" s="49"/>
      <c r="I243" s="100">
        <f>H243 * salesTaxPct</f>
        <v>0</v>
      </c>
      <c r="J243" s="49"/>
      <c r="K243" s="24"/>
      <c r="L243" s="100">
        <f t="shared" si="3"/>
        <v>0</v>
      </c>
      <c r="M243" s="103"/>
      <c r="N243" s="96" t="str">
        <f ca="1">IF(PRINTERS[[#This Row],[ID]] &lt;&gt; "", IF(A243 = "000", A243 &amp; " | None", A243 &amp; " | " &amp; B243 &amp; " | " &amp; C243), "")</f>
        <v/>
      </c>
    </row>
    <row r="244" spans="1:14" ht="22.5" customHeight="1">
      <c r="A244" s="111" t="str">
        <f ca="1">IF(PRINTERS[[#This Row],[PRODUCT]] &lt;&gt; "", IF(ROW() = 2, "000", TEXT(INDIRECT("A" &amp; ROW() - 1) + 1, "000")), "")</f>
        <v/>
      </c>
      <c r="B244" s="17"/>
      <c r="C244" s="102"/>
      <c r="D244" s="48"/>
      <c r="E244" s="49"/>
      <c r="F244" s="49"/>
      <c r="G244" s="49"/>
      <c r="H244" s="49"/>
      <c r="I244" s="100">
        <f>H244 * salesTaxPct</f>
        <v>0</v>
      </c>
      <c r="J244" s="49"/>
      <c r="K244" s="24"/>
      <c r="L244" s="100">
        <f t="shared" si="3"/>
        <v>0</v>
      </c>
      <c r="M244" s="103"/>
      <c r="N244" s="96" t="str">
        <f ca="1">IF(PRINTERS[[#This Row],[ID]] &lt;&gt; "", IF(A244 = "000", A244 &amp; " | None", A244 &amp; " | " &amp; B244 &amp; " | " &amp; C244), "")</f>
        <v/>
      </c>
    </row>
    <row r="245" spans="1:14" ht="22.5" customHeight="1">
      <c r="A245" s="111" t="str">
        <f ca="1">IF(PRINTERS[[#This Row],[PRODUCT]] &lt;&gt; "", IF(ROW() = 2, "000", TEXT(INDIRECT("A" &amp; ROW() - 1) + 1, "000")), "")</f>
        <v/>
      </c>
      <c r="B245" s="17"/>
      <c r="C245" s="102"/>
      <c r="D245" s="48"/>
      <c r="E245" s="49"/>
      <c r="F245" s="49"/>
      <c r="G245" s="49"/>
      <c r="H245" s="49"/>
      <c r="I245" s="100">
        <f>H245 * salesTaxPct</f>
        <v>0</v>
      </c>
      <c r="J245" s="49"/>
      <c r="K245" s="24"/>
      <c r="L245" s="100">
        <f t="shared" si="3"/>
        <v>0</v>
      </c>
      <c r="M245" s="103"/>
      <c r="N245" s="96" t="str">
        <f ca="1">IF(PRINTERS[[#This Row],[ID]] &lt;&gt; "", IF(A245 = "000", A245 &amp; " | None", A245 &amp; " | " &amp; B245 &amp; " | " &amp; C245), "")</f>
        <v/>
      </c>
    </row>
    <row r="246" spans="1:14" ht="22.5" customHeight="1">
      <c r="A246" s="111" t="str">
        <f ca="1">IF(PRINTERS[[#This Row],[PRODUCT]] &lt;&gt; "", IF(ROW() = 2, "000", TEXT(INDIRECT("A" &amp; ROW() - 1) + 1, "000")), "")</f>
        <v/>
      </c>
      <c r="B246" s="17"/>
      <c r="C246" s="102"/>
      <c r="D246" s="48"/>
      <c r="E246" s="49"/>
      <c r="F246" s="49"/>
      <c r="G246" s="49"/>
      <c r="H246" s="49"/>
      <c r="I246" s="100">
        <f>H246 * salesTaxPct</f>
        <v>0</v>
      </c>
      <c r="J246" s="49"/>
      <c r="K246" s="24"/>
      <c r="L246" s="100">
        <f t="shared" si="3"/>
        <v>0</v>
      </c>
      <c r="M246" s="103"/>
      <c r="N246" s="96" t="str">
        <f ca="1">IF(PRINTERS[[#This Row],[ID]] &lt;&gt; "", IF(A246 = "000", A246 &amp; " | None", A246 &amp; " | " &amp; B246 &amp; " | " &amp; C246), "")</f>
        <v/>
      </c>
    </row>
    <row r="247" spans="1:14" ht="22.5" customHeight="1">
      <c r="A247" s="111" t="str">
        <f ca="1">IF(PRINTERS[[#This Row],[PRODUCT]] &lt;&gt; "", IF(ROW() = 2, "000", TEXT(INDIRECT("A" &amp; ROW() - 1) + 1, "000")), "")</f>
        <v/>
      </c>
      <c r="B247" s="17"/>
      <c r="C247" s="102"/>
      <c r="D247" s="48"/>
      <c r="E247" s="49"/>
      <c r="F247" s="49"/>
      <c r="G247" s="49"/>
      <c r="H247" s="49"/>
      <c r="I247" s="100">
        <f>H247 * salesTaxPct</f>
        <v>0</v>
      </c>
      <c r="J247" s="49"/>
      <c r="K247" s="24"/>
      <c r="L247" s="100">
        <f t="shared" si="3"/>
        <v>0</v>
      </c>
      <c r="M247" s="103"/>
      <c r="N247" s="96" t="str">
        <f ca="1">IF(PRINTERS[[#This Row],[ID]] &lt;&gt; "", IF(A247 = "000", A247 &amp; " | None", A247 &amp; " | " &amp; B247 &amp; " | " &amp; C247), "")</f>
        <v/>
      </c>
    </row>
    <row r="248" spans="1:14" ht="22.5" customHeight="1">
      <c r="A248" s="111" t="str">
        <f ca="1">IF(PRINTERS[[#This Row],[PRODUCT]] &lt;&gt; "", IF(ROW() = 2, "000", TEXT(INDIRECT("A" &amp; ROW() - 1) + 1, "000")), "")</f>
        <v/>
      </c>
      <c r="B248" s="17"/>
      <c r="C248" s="102"/>
      <c r="D248" s="48"/>
      <c r="E248" s="49"/>
      <c r="F248" s="49"/>
      <c r="G248" s="49"/>
      <c r="H248" s="49"/>
      <c r="I248" s="100">
        <f>H248 * salesTaxPct</f>
        <v>0</v>
      </c>
      <c r="J248" s="49"/>
      <c r="K248" s="24"/>
      <c r="L248" s="100">
        <f t="shared" si="3"/>
        <v>0</v>
      </c>
      <c r="M248" s="103"/>
      <c r="N248" s="96" t="str">
        <f ca="1">IF(PRINTERS[[#This Row],[ID]] &lt;&gt; "", IF(A248 = "000", A248 &amp; " | None", A248 &amp; " | " &amp; B248 &amp; " | " &amp; C248), "")</f>
        <v/>
      </c>
    </row>
    <row r="249" spans="1:14" ht="22.5" customHeight="1">
      <c r="A249" s="111" t="str">
        <f ca="1">IF(PRINTERS[[#This Row],[PRODUCT]] &lt;&gt; "", IF(ROW() = 2, "000", TEXT(INDIRECT("A" &amp; ROW() - 1) + 1, "000")), "")</f>
        <v/>
      </c>
      <c r="B249" s="17"/>
      <c r="C249" s="102"/>
      <c r="D249" s="48"/>
      <c r="E249" s="49"/>
      <c r="F249" s="49"/>
      <c r="G249" s="49"/>
      <c r="H249" s="49"/>
      <c r="I249" s="100">
        <f>H249 * salesTaxPct</f>
        <v>0</v>
      </c>
      <c r="J249" s="49"/>
      <c r="K249" s="24"/>
      <c r="L249" s="100">
        <f t="shared" si="3"/>
        <v>0</v>
      </c>
      <c r="M249" s="103"/>
      <c r="N249" s="96" t="str">
        <f ca="1">IF(PRINTERS[[#This Row],[ID]] &lt;&gt; "", IF(A249 = "000", A249 &amp; " | None", A249 &amp; " | " &amp; B249 &amp; " | " &amp; C249), "")</f>
        <v/>
      </c>
    </row>
    <row r="250" spans="1:14" ht="22.5" customHeight="1">
      <c r="A250" s="111" t="str">
        <f ca="1">IF(PRINTERS[[#This Row],[PRODUCT]] &lt;&gt; "", IF(ROW() = 2, "000", TEXT(INDIRECT("A" &amp; ROW() - 1) + 1, "000")), "")</f>
        <v/>
      </c>
      <c r="B250" s="17"/>
      <c r="C250" s="102"/>
      <c r="D250" s="48"/>
      <c r="E250" s="49"/>
      <c r="F250" s="49"/>
      <c r="G250" s="49"/>
      <c r="H250" s="49"/>
      <c r="I250" s="100">
        <f>H250 * salesTaxPct</f>
        <v>0</v>
      </c>
      <c r="J250" s="49"/>
      <c r="K250" s="24"/>
      <c r="L250" s="100">
        <f t="shared" si="3"/>
        <v>0</v>
      </c>
      <c r="M250" s="103"/>
      <c r="N250" s="96" t="str">
        <f ca="1">IF(PRINTERS[[#This Row],[ID]] &lt;&gt; "", IF(A250 = "000", A250 &amp; " | None", A250 &amp; " | " &amp; B250 &amp; " | " &amp; C250), "")</f>
        <v/>
      </c>
    </row>
    <row r="251" spans="1:14" ht="22.5" customHeight="1">
      <c r="A251" s="111" t="str">
        <f ca="1">IF(PRINTERS[[#This Row],[PRODUCT]] &lt;&gt; "", IF(ROW() = 2, "000", TEXT(INDIRECT("A" &amp; ROW() - 1) + 1, "000")), "")</f>
        <v/>
      </c>
      <c r="B251" s="17"/>
      <c r="C251" s="102"/>
      <c r="D251" s="48"/>
      <c r="E251" s="49"/>
      <c r="F251" s="49"/>
      <c r="G251" s="49"/>
      <c r="H251" s="49"/>
      <c r="I251" s="100">
        <f>H251 * salesTaxPct</f>
        <v>0</v>
      </c>
      <c r="J251" s="49"/>
      <c r="K251" s="24"/>
      <c r="L251" s="100">
        <f t="shared" si="3"/>
        <v>0</v>
      </c>
      <c r="M251" s="103"/>
      <c r="N251" s="96" t="str">
        <f ca="1">IF(PRINTERS[[#This Row],[ID]] &lt;&gt; "", IF(A251 = "000", A251 &amp; " | None", A251 &amp; " | " &amp; B251 &amp; " | " &amp; C251), "")</f>
        <v/>
      </c>
    </row>
    <row r="252" spans="1:14" ht="22.5" customHeight="1">
      <c r="A252" s="111" t="str">
        <f ca="1">IF(PRINTERS[[#This Row],[PRODUCT]] &lt;&gt; "", IF(ROW() = 2, "000", TEXT(INDIRECT("A" &amp; ROW() - 1) + 1, "000")), "")</f>
        <v/>
      </c>
      <c r="B252" s="17"/>
      <c r="C252" s="102"/>
      <c r="D252" s="48"/>
      <c r="E252" s="49"/>
      <c r="F252" s="49"/>
      <c r="G252" s="49"/>
      <c r="H252" s="49"/>
      <c r="I252" s="100">
        <f>H252 * salesTaxPct</f>
        <v>0</v>
      </c>
      <c r="J252" s="49"/>
      <c r="K252" s="24"/>
      <c r="L252" s="100">
        <f t="shared" si="3"/>
        <v>0</v>
      </c>
      <c r="M252" s="103"/>
      <c r="N252" s="96" t="str">
        <f ca="1">IF(PRINTERS[[#This Row],[ID]] &lt;&gt; "", IF(A252 = "000", A252 &amp; " | None", A252 &amp; " | " &amp; B252 &amp; " | " &amp; C252), "")</f>
        <v/>
      </c>
    </row>
    <row r="253" spans="1:14" ht="22.5" customHeight="1">
      <c r="A253" s="111" t="str">
        <f ca="1">IF(PRINTERS[[#This Row],[PRODUCT]] &lt;&gt; "", IF(ROW() = 2, "000", TEXT(INDIRECT("A" &amp; ROW() - 1) + 1, "000")), "")</f>
        <v/>
      </c>
      <c r="B253" s="17"/>
      <c r="C253" s="102"/>
      <c r="D253" s="48"/>
      <c r="E253" s="49"/>
      <c r="F253" s="49"/>
      <c r="G253" s="49"/>
      <c r="H253" s="49"/>
      <c r="I253" s="100">
        <f>H253 * salesTaxPct</f>
        <v>0</v>
      </c>
      <c r="J253" s="49"/>
      <c r="K253" s="24"/>
      <c r="L253" s="100">
        <f t="shared" si="3"/>
        <v>0</v>
      </c>
      <c r="M253" s="103"/>
      <c r="N253" s="96" t="str">
        <f ca="1">IF(PRINTERS[[#This Row],[ID]] &lt;&gt; "", IF(A253 = "000", A253 &amp; " | None", A253 &amp; " | " &amp; B253 &amp; " | " &amp; C253), "")</f>
        <v/>
      </c>
    </row>
    <row r="254" spans="1:14" ht="22.5" customHeight="1">
      <c r="A254" s="111" t="str">
        <f ca="1">IF(PRINTERS[[#This Row],[PRODUCT]] &lt;&gt; "", IF(ROW() = 2, "000", TEXT(INDIRECT("A" &amp; ROW() - 1) + 1, "000")), "")</f>
        <v/>
      </c>
      <c r="B254" s="17"/>
      <c r="C254" s="102"/>
      <c r="D254" s="48"/>
      <c r="E254" s="49"/>
      <c r="F254" s="49"/>
      <c r="G254" s="49"/>
      <c r="H254" s="49"/>
      <c r="I254" s="100">
        <f>H254 * salesTaxPct</f>
        <v>0</v>
      </c>
      <c r="J254" s="49"/>
      <c r="K254" s="24"/>
      <c r="L254" s="100">
        <f t="shared" si="3"/>
        <v>0</v>
      </c>
      <c r="M254" s="103"/>
      <c r="N254" s="96" t="str">
        <f ca="1">IF(PRINTERS[[#This Row],[ID]] &lt;&gt; "", IF(A254 = "000", A254 &amp; " | None", A254 &amp; " | " &amp; B254 &amp; " | " &amp; C254), "")</f>
        <v/>
      </c>
    </row>
    <row r="255" spans="1:14" ht="22.5" customHeight="1">
      <c r="A255" s="111" t="str">
        <f ca="1">IF(PRINTERS[[#This Row],[PRODUCT]] &lt;&gt; "", IF(ROW() = 2, "000", TEXT(INDIRECT("A" &amp; ROW() - 1) + 1, "000")), "")</f>
        <v/>
      </c>
      <c r="B255" s="17"/>
      <c r="C255" s="102"/>
      <c r="D255" s="48"/>
      <c r="E255" s="49"/>
      <c r="F255" s="49"/>
      <c r="G255" s="49"/>
      <c r="H255" s="49"/>
      <c r="I255" s="100">
        <f>H255 * salesTaxPct</f>
        <v>0</v>
      </c>
      <c r="J255" s="49"/>
      <c r="K255" s="24"/>
      <c r="L255" s="100">
        <f t="shared" si="3"/>
        <v>0</v>
      </c>
      <c r="M255" s="103"/>
      <c r="N255" s="96" t="str">
        <f ca="1">IF(PRINTERS[[#This Row],[ID]] &lt;&gt; "", IF(A255 = "000", A255 &amp; " | None", A255 &amp; " | " &amp; B255 &amp; " | " &amp; C255), "")</f>
        <v/>
      </c>
    </row>
    <row r="256" spans="1:14" ht="22.5" customHeight="1">
      <c r="A256" s="111" t="str">
        <f ca="1">IF(PRINTERS[[#This Row],[PRODUCT]] &lt;&gt; "", IF(ROW() = 2, "000", TEXT(INDIRECT("A" &amp; ROW() - 1) + 1, "000")), "")</f>
        <v/>
      </c>
      <c r="B256" s="17"/>
      <c r="C256" s="102"/>
      <c r="D256" s="48"/>
      <c r="E256" s="49"/>
      <c r="F256" s="49"/>
      <c r="G256" s="49"/>
      <c r="H256" s="49"/>
      <c r="I256" s="100">
        <f>H256 * salesTaxPct</f>
        <v>0</v>
      </c>
      <c r="J256" s="49"/>
      <c r="K256" s="24"/>
      <c r="L256" s="100">
        <f t="shared" si="3"/>
        <v>0</v>
      </c>
      <c r="M256" s="103"/>
      <c r="N256" s="96" t="str">
        <f ca="1">IF(PRINTERS[[#This Row],[ID]] &lt;&gt; "", IF(A256 = "000", A256 &amp; " | None", A256 &amp; " | " &amp; B256 &amp; " | " &amp; C256), "")</f>
        <v/>
      </c>
    </row>
    <row r="257" spans="1:14" ht="22.5" customHeight="1">
      <c r="A257" s="111" t="str">
        <f ca="1">IF(PRINTERS[[#This Row],[PRODUCT]] &lt;&gt; "", IF(ROW() = 2, "000", TEXT(INDIRECT("A" &amp; ROW() - 1) + 1, "000")), "")</f>
        <v/>
      </c>
      <c r="B257" s="17"/>
      <c r="C257" s="102"/>
      <c r="D257" s="48"/>
      <c r="E257" s="49"/>
      <c r="F257" s="49"/>
      <c r="G257" s="49"/>
      <c r="H257" s="49"/>
      <c r="I257" s="100">
        <f>H257 * salesTaxPct</f>
        <v>0</v>
      </c>
      <c r="J257" s="49"/>
      <c r="K257" s="24"/>
      <c r="L257" s="100">
        <f t="shared" si="3"/>
        <v>0</v>
      </c>
      <c r="M257" s="103"/>
      <c r="N257" s="96" t="str">
        <f ca="1">IF(PRINTERS[[#This Row],[ID]] &lt;&gt; "", IF(A257 = "000", A257 &amp; " | None", A257 &amp; " | " &amp; B257 &amp; " | " &amp; C257), "")</f>
        <v/>
      </c>
    </row>
    <row r="258" spans="1:14" ht="22.5" customHeight="1">
      <c r="A258" s="111" t="str">
        <f ca="1">IF(PRINTERS[[#This Row],[PRODUCT]] &lt;&gt; "", IF(ROW() = 2, "000", TEXT(INDIRECT("A" &amp; ROW() - 1) + 1, "000")), "")</f>
        <v/>
      </c>
      <c r="B258" s="17"/>
      <c r="C258" s="102"/>
      <c r="D258" s="48"/>
      <c r="E258" s="49"/>
      <c r="F258" s="49"/>
      <c r="G258" s="49"/>
      <c r="H258" s="49"/>
      <c r="I258" s="100">
        <f>H258 * salesTaxPct</f>
        <v>0</v>
      </c>
      <c r="J258" s="49"/>
      <c r="K258" s="24"/>
      <c r="L258" s="100">
        <f t="shared" ref="L258:L301" si="4">H258 + I258 + J258 + K258</f>
        <v>0</v>
      </c>
      <c r="M258" s="103"/>
      <c r="N258" s="96" t="str">
        <f ca="1">IF(PRINTERS[[#This Row],[ID]] &lt;&gt; "", IF(A258 = "000", A258 &amp; " | None", A258 &amp; " | " &amp; B258 &amp; " | " &amp; C258), "")</f>
        <v/>
      </c>
    </row>
    <row r="259" spans="1:14" ht="22.5" customHeight="1">
      <c r="A259" s="111" t="str">
        <f ca="1">IF(PRINTERS[[#This Row],[PRODUCT]] &lt;&gt; "", IF(ROW() = 2, "000", TEXT(INDIRECT("A" &amp; ROW() - 1) + 1, "000")), "")</f>
        <v/>
      </c>
      <c r="B259" s="17"/>
      <c r="C259" s="102"/>
      <c r="D259" s="48"/>
      <c r="E259" s="49"/>
      <c r="F259" s="49"/>
      <c r="G259" s="49"/>
      <c r="H259" s="49"/>
      <c r="I259" s="100">
        <f>H259 * salesTaxPct</f>
        <v>0</v>
      </c>
      <c r="J259" s="49"/>
      <c r="K259" s="24"/>
      <c r="L259" s="100">
        <f t="shared" si="4"/>
        <v>0</v>
      </c>
      <c r="M259" s="103"/>
      <c r="N259" s="96" t="str">
        <f ca="1">IF(PRINTERS[[#This Row],[ID]] &lt;&gt; "", IF(A259 = "000", A259 &amp; " | None", A259 &amp; " | " &amp; B259 &amp; " | " &amp; C259), "")</f>
        <v/>
      </c>
    </row>
    <row r="260" spans="1:14" ht="22.5" customHeight="1">
      <c r="A260" s="111" t="str">
        <f ca="1">IF(PRINTERS[[#This Row],[PRODUCT]] &lt;&gt; "", IF(ROW() = 2, "000", TEXT(INDIRECT("A" &amp; ROW() - 1) + 1, "000")), "")</f>
        <v/>
      </c>
      <c r="B260" s="17"/>
      <c r="C260" s="102"/>
      <c r="D260" s="48"/>
      <c r="E260" s="49"/>
      <c r="F260" s="49"/>
      <c r="G260" s="49"/>
      <c r="H260" s="49"/>
      <c r="I260" s="100">
        <f>H260 * salesTaxPct</f>
        <v>0</v>
      </c>
      <c r="J260" s="49"/>
      <c r="K260" s="24"/>
      <c r="L260" s="100">
        <f t="shared" si="4"/>
        <v>0</v>
      </c>
      <c r="M260" s="103"/>
      <c r="N260" s="96" t="str">
        <f ca="1">IF(PRINTERS[[#This Row],[ID]] &lt;&gt; "", IF(A260 = "000", A260 &amp; " | None", A260 &amp; " | " &amp; B260 &amp; " | " &amp; C260), "")</f>
        <v/>
      </c>
    </row>
    <row r="261" spans="1:14" ht="22.5" customHeight="1">
      <c r="A261" s="111" t="str">
        <f ca="1">IF(PRINTERS[[#This Row],[PRODUCT]] &lt;&gt; "", IF(ROW() = 2, "000", TEXT(INDIRECT("A" &amp; ROW() - 1) + 1, "000")), "")</f>
        <v/>
      </c>
      <c r="B261" s="17"/>
      <c r="C261" s="102"/>
      <c r="D261" s="48"/>
      <c r="E261" s="49"/>
      <c r="F261" s="49"/>
      <c r="G261" s="49"/>
      <c r="H261" s="49"/>
      <c r="I261" s="100">
        <f>H261 * salesTaxPct</f>
        <v>0</v>
      </c>
      <c r="J261" s="49"/>
      <c r="K261" s="24"/>
      <c r="L261" s="100">
        <f t="shared" si="4"/>
        <v>0</v>
      </c>
      <c r="M261" s="103"/>
      <c r="N261" s="96" t="str">
        <f ca="1">IF(PRINTERS[[#This Row],[ID]] &lt;&gt; "", IF(A261 = "000", A261 &amp; " | None", A261 &amp; " | " &amp; B261 &amp; " | " &amp; C261), "")</f>
        <v/>
      </c>
    </row>
    <row r="262" spans="1:14" ht="22.5" customHeight="1">
      <c r="A262" s="111" t="str">
        <f ca="1">IF(PRINTERS[[#This Row],[PRODUCT]] &lt;&gt; "", IF(ROW() = 2, "000", TEXT(INDIRECT("A" &amp; ROW() - 1) + 1, "000")), "")</f>
        <v/>
      </c>
      <c r="B262" s="17"/>
      <c r="C262" s="102"/>
      <c r="D262" s="48"/>
      <c r="E262" s="49"/>
      <c r="F262" s="49"/>
      <c r="G262" s="49"/>
      <c r="H262" s="49"/>
      <c r="I262" s="100">
        <f>H262 * salesTaxPct</f>
        <v>0</v>
      </c>
      <c r="J262" s="49"/>
      <c r="K262" s="24"/>
      <c r="L262" s="100">
        <f t="shared" si="4"/>
        <v>0</v>
      </c>
      <c r="M262" s="103"/>
      <c r="N262" s="96" t="str">
        <f ca="1">IF(PRINTERS[[#This Row],[ID]] &lt;&gt; "", IF(A262 = "000", A262 &amp; " | None", A262 &amp; " | " &amp; B262 &amp; " | " &amp; C262), "")</f>
        <v/>
      </c>
    </row>
    <row r="263" spans="1:14" ht="22.5" customHeight="1">
      <c r="A263" s="111" t="str">
        <f ca="1">IF(PRINTERS[[#This Row],[PRODUCT]] &lt;&gt; "", IF(ROW() = 2, "000", TEXT(INDIRECT("A" &amp; ROW() - 1) + 1, "000")), "")</f>
        <v/>
      </c>
      <c r="B263" s="17"/>
      <c r="C263" s="102"/>
      <c r="D263" s="48"/>
      <c r="E263" s="49"/>
      <c r="F263" s="49"/>
      <c r="G263" s="49"/>
      <c r="H263" s="49"/>
      <c r="I263" s="100">
        <f>H263 * salesTaxPct</f>
        <v>0</v>
      </c>
      <c r="J263" s="49"/>
      <c r="K263" s="24"/>
      <c r="L263" s="100">
        <f t="shared" si="4"/>
        <v>0</v>
      </c>
      <c r="M263" s="103"/>
      <c r="N263" s="96" t="str">
        <f ca="1">IF(PRINTERS[[#This Row],[ID]] &lt;&gt; "", IF(A263 = "000", A263 &amp; " | None", A263 &amp; " | " &amp; B263 &amp; " | " &amp; C263), "")</f>
        <v/>
      </c>
    </row>
    <row r="264" spans="1:14" ht="22.5" customHeight="1">
      <c r="A264" s="111" t="str">
        <f ca="1">IF(PRINTERS[[#This Row],[PRODUCT]] &lt;&gt; "", IF(ROW() = 2, "000", TEXT(INDIRECT("A" &amp; ROW() - 1) + 1, "000")), "")</f>
        <v/>
      </c>
      <c r="B264" s="17"/>
      <c r="C264" s="102"/>
      <c r="D264" s="48"/>
      <c r="E264" s="49"/>
      <c r="F264" s="49"/>
      <c r="G264" s="49"/>
      <c r="H264" s="49"/>
      <c r="I264" s="100">
        <f>H264 * salesTaxPct</f>
        <v>0</v>
      </c>
      <c r="J264" s="49"/>
      <c r="K264" s="24"/>
      <c r="L264" s="100">
        <f t="shared" si="4"/>
        <v>0</v>
      </c>
      <c r="M264" s="103"/>
      <c r="N264" s="96" t="str">
        <f ca="1">IF(PRINTERS[[#This Row],[ID]] &lt;&gt; "", IF(A264 = "000", A264 &amp; " | None", A264 &amp; " | " &amp; B264 &amp; " | " &amp; C264), "")</f>
        <v/>
      </c>
    </row>
    <row r="265" spans="1:14" ht="22.5" customHeight="1">
      <c r="A265" s="111" t="str">
        <f ca="1">IF(PRINTERS[[#This Row],[PRODUCT]] &lt;&gt; "", IF(ROW() = 2, "000", TEXT(INDIRECT("A" &amp; ROW() - 1) + 1, "000")), "")</f>
        <v/>
      </c>
      <c r="B265" s="17"/>
      <c r="C265" s="102"/>
      <c r="D265" s="48"/>
      <c r="E265" s="49"/>
      <c r="F265" s="49"/>
      <c r="G265" s="49"/>
      <c r="H265" s="49"/>
      <c r="I265" s="100">
        <f>H265 * salesTaxPct</f>
        <v>0</v>
      </c>
      <c r="J265" s="49"/>
      <c r="K265" s="24"/>
      <c r="L265" s="100">
        <f t="shared" si="4"/>
        <v>0</v>
      </c>
      <c r="M265" s="103"/>
      <c r="N265" s="96" t="str">
        <f ca="1">IF(PRINTERS[[#This Row],[ID]] &lt;&gt; "", IF(A265 = "000", A265 &amp; " | None", A265 &amp; " | " &amp; B265 &amp; " | " &amp; C265), "")</f>
        <v/>
      </c>
    </row>
    <row r="266" spans="1:14" ht="22.5" customHeight="1">
      <c r="A266" s="111" t="str">
        <f ca="1">IF(PRINTERS[[#This Row],[PRODUCT]] &lt;&gt; "", IF(ROW() = 2, "000", TEXT(INDIRECT("A" &amp; ROW() - 1) + 1, "000")), "")</f>
        <v/>
      </c>
      <c r="B266" s="17"/>
      <c r="C266" s="102"/>
      <c r="D266" s="48"/>
      <c r="E266" s="49"/>
      <c r="F266" s="49"/>
      <c r="G266" s="49"/>
      <c r="H266" s="49"/>
      <c r="I266" s="100">
        <f>H266 * salesTaxPct</f>
        <v>0</v>
      </c>
      <c r="J266" s="49"/>
      <c r="K266" s="24"/>
      <c r="L266" s="100">
        <f t="shared" si="4"/>
        <v>0</v>
      </c>
      <c r="M266" s="103"/>
      <c r="N266" s="96" t="str">
        <f ca="1">IF(PRINTERS[[#This Row],[ID]] &lt;&gt; "", IF(A266 = "000", A266 &amp; " | None", A266 &amp; " | " &amp; B266 &amp; " | " &amp; C266), "")</f>
        <v/>
      </c>
    </row>
    <row r="267" spans="1:14" ht="22.5" customHeight="1">
      <c r="A267" s="111" t="str">
        <f ca="1">IF(PRINTERS[[#This Row],[PRODUCT]] &lt;&gt; "", IF(ROW() = 2, "000", TEXT(INDIRECT("A" &amp; ROW() - 1) + 1, "000")), "")</f>
        <v/>
      </c>
      <c r="B267" s="17"/>
      <c r="C267" s="102"/>
      <c r="D267" s="48"/>
      <c r="E267" s="49"/>
      <c r="F267" s="49"/>
      <c r="G267" s="49"/>
      <c r="H267" s="49"/>
      <c r="I267" s="100">
        <f>H267 * salesTaxPct</f>
        <v>0</v>
      </c>
      <c r="J267" s="49"/>
      <c r="K267" s="24"/>
      <c r="L267" s="100">
        <f t="shared" si="4"/>
        <v>0</v>
      </c>
      <c r="M267" s="103"/>
      <c r="N267" s="96" t="str">
        <f ca="1">IF(PRINTERS[[#This Row],[ID]] &lt;&gt; "", IF(A267 = "000", A267 &amp; " | None", A267 &amp; " | " &amp; B267 &amp; " | " &amp; C267), "")</f>
        <v/>
      </c>
    </row>
    <row r="268" spans="1:14" ht="22.5" customHeight="1">
      <c r="A268" s="111" t="str">
        <f ca="1">IF(PRINTERS[[#This Row],[PRODUCT]] &lt;&gt; "", IF(ROW() = 2, "000", TEXT(INDIRECT("A" &amp; ROW() - 1) + 1, "000")), "")</f>
        <v/>
      </c>
      <c r="B268" s="17"/>
      <c r="C268" s="102"/>
      <c r="D268" s="48"/>
      <c r="E268" s="49"/>
      <c r="F268" s="49"/>
      <c r="G268" s="49"/>
      <c r="H268" s="49"/>
      <c r="I268" s="100">
        <f>H268 * salesTaxPct</f>
        <v>0</v>
      </c>
      <c r="J268" s="49"/>
      <c r="K268" s="24"/>
      <c r="L268" s="100">
        <f t="shared" si="4"/>
        <v>0</v>
      </c>
      <c r="M268" s="103"/>
      <c r="N268" s="96" t="str">
        <f ca="1">IF(PRINTERS[[#This Row],[ID]] &lt;&gt; "", IF(A268 = "000", A268 &amp; " | None", A268 &amp; " | " &amp; B268 &amp; " | " &amp; C268), "")</f>
        <v/>
      </c>
    </row>
    <row r="269" spans="1:14" ht="22.5" customHeight="1">
      <c r="A269" s="111" t="str">
        <f ca="1">IF(PRINTERS[[#This Row],[PRODUCT]] &lt;&gt; "", IF(ROW() = 2, "000", TEXT(INDIRECT("A" &amp; ROW() - 1) + 1, "000")), "")</f>
        <v/>
      </c>
      <c r="B269" s="17"/>
      <c r="C269" s="102"/>
      <c r="D269" s="48"/>
      <c r="E269" s="49"/>
      <c r="F269" s="49"/>
      <c r="G269" s="49"/>
      <c r="H269" s="49"/>
      <c r="I269" s="100">
        <f>H269 * salesTaxPct</f>
        <v>0</v>
      </c>
      <c r="J269" s="49"/>
      <c r="K269" s="24"/>
      <c r="L269" s="100">
        <f t="shared" si="4"/>
        <v>0</v>
      </c>
      <c r="M269" s="103"/>
      <c r="N269" s="96" t="str">
        <f ca="1">IF(PRINTERS[[#This Row],[ID]] &lt;&gt; "", IF(A269 = "000", A269 &amp; " | None", A269 &amp; " | " &amp; B269 &amp; " | " &amp; C269), "")</f>
        <v/>
      </c>
    </row>
    <row r="270" spans="1:14" ht="22.5" customHeight="1">
      <c r="A270" s="111" t="str">
        <f ca="1">IF(PRINTERS[[#This Row],[PRODUCT]] &lt;&gt; "", IF(ROW() = 2, "000", TEXT(INDIRECT("A" &amp; ROW() - 1) + 1, "000")), "")</f>
        <v/>
      </c>
      <c r="B270" s="17"/>
      <c r="C270" s="102"/>
      <c r="D270" s="48"/>
      <c r="E270" s="49"/>
      <c r="F270" s="49"/>
      <c r="G270" s="49"/>
      <c r="H270" s="49"/>
      <c r="I270" s="100">
        <f>H270 * salesTaxPct</f>
        <v>0</v>
      </c>
      <c r="J270" s="49"/>
      <c r="K270" s="24"/>
      <c r="L270" s="100">
        <f t="shared" si="4"/>
        <v>0</v>
      </c>
      <c r="M270" s="103"/>
      <c r="N270" s="96" t="str">
        <f ca="1">IF(PRINTERS[[#This Row],[ID]] &lt;&gt; "", IF(A270 = "000", A270 &amp; " | None", A270 &amp; " | " &amp; B270 &amp; " | " &amp; C270), "")</f>
        <v/>
      </c>
    </row>
    <row r="271" spans="1:14" ht="22.5" customHeight="1">
      <c r="A271" s="111" t="str">
        <f ca="1">IF(PRINTERS[[#This Row],[PRODUCT]] &lt;&gt; "", IF(ROW() = 2, "000", TEXT(INDIRECT("A" &amp; ROW() - 1) + 1, "000")), "")</f>
        <v/>
      </c>
      <c r="B271" s="17"/>
      <c r="C271" s="102"/>
      <c r="D271" s="48"/>
      <c r="E271" s="49"/>
      <c r="F271" s="49"/>
      <c r="G271" s="49"/>
      <c r="H271" s="49"/>
      <c r="I271" s="100">
        <f>H271 * salesTaxPct</f>
        <v>0</v>
      </c>
      <c r="J271" s="49"/>
      <c r="K271" s="24"/>
      <c r="L271" s="100">
        <f t="shared" si="4"/>
        <v>0</v>
      </c>
      <c r="M271" s="103"/>
      <c r="N271" s="96" t="str">
        <f ca="1">IF(PRINTERS[[#This Row],[ID]] &lt;&gt; "", IF(A271 = "000", A271 &amp; " | None", A271 &amp; " | " &amp; B271 &amp; " | " &amp; C271), "")</f>
        <v/>
      </c>
    </row>
    <row r="272" spans="1:14" ht="22.5" customHeight="1">
      <c r="A272" s="111" t="str">
        <f ca="1">IF(PRINTERS[[#This Row],[PRODUCT]] &lt;&gt; "", IF(ROW() = 2, "000", TEXT(INDIRECT("A" &amp; ROW() - 1) + 1, "000")), "")</f>
        <v/>
      </c>
      <c r="B272" s="17"/>
      <c r="C272" s="102"/>
      <c r="D272" s="48"/>
      <c r="E272" s="49"/>
      <c r="F272" s="49"/>
      <c r="G272" s="49"/>
      <c r="H272" s="49"/>
      <c r="I272" s="100">
        <f>H272 * salesTaxPct</f>
        <v>0</v>
      </c>
      <c r="J272" s="49"/>
      <c r="K272" s="24"/>
      <c r="L272" s="100">
        <f t="shared" si="4"/>
        <v>0</v>
      </c>
      <c r="M272" s="103"/>
      <c r="N272" s="96" t="str">
        <f ca="1">IF(PRINTERS[[#This Row],[ID]] &lt;&gt; "", IF(A272 = "000", A272 &amp; " | None", A272 &amp; " | " &amp; B272 &amp; " | " &amp; C272), "")</f>
        <v/>
      </c>
    </row>
    <row r="273" spans="1:14" ht="22.5" customHeight="1">
      <c r="A273" s="111" t="str">
        <f ca="1">IF(PRINTERS[[#This Row],[PRODUCT]] &lt;&gt; "", IF(ROW() = 2, "000", TEXT(INDIRECT("A" &amp; ROW() - 1) + 1, "000")), "")</f>
        <v/>
      </c>
      <c r="B273" s="17"/>
      <c r="C273" s="102"/>
      <c r="D273" s="48"/>
      <c r="E273" s="49"/>
      <c r="F273" s="49"/>
      <c r="G273" s="49"/>
      <c r="H273" s="49"/>
      <c r="I273" s="100">
        <f>H273 * salesTaxPct</f>
        <v>0</v>
      </c>
      <c r="J273" s="49"/>
      <c r="K273" s="24"/>
      <c r="L273" s="100">
        <f t="shared" si="4"/>
        <v>0</v>
      </c>
      <c r="M273" s="103"/>
      <c r="N273" s="96" t="str">
        <f ca="1">IF(PRINTERS[[#This Row],[ID]] &lt;&gt; "", IF(A273 = "000", A273 &amp; " | None", A273 &amp; " | " &amp; B273 &amp; " | " &amp; C273), "")</f>
        <v/>
      </c>
    </row>
    <row r="274" spans="1:14" ht="22.5" customHeight="1">
      <c r="A274" s="111" t="str">
        <f ca="1">IF(PRINTERS[[#This Row],[PRODUCT]] &lt;&gt; "", IF(ROW() = 2, "000", TEXT(INDIRECT("A" &amp; ROW() - 1) + 1, "000")), "")</f>
        <v/>
      </c>
      <c r="B274" s="17"/>
      <c r="C274" s="102"/>
      <c r="D274" s="48"/>
      <c r="E274" s="49"/>
      <c r="F274" s="49"/>
      <c r="G274" s="49"/>
      <c r="H274" s="49"/>
      <c r="I274" s="100">
        <f>H274 * salesTaxPct</f>
        <v>0</v>
      </c>
      <c r="J274" s="49"/>
      <c r="K274" s="24"/>
      <c r="L274" s="100">
        <f t="shared" si="4"/>
        <v>0</v>
      </c>
      <c r="M274" s="103"/>
      <c r="N274" s="96" t="str">
        <f ca="1">IF(PRINTERS[[#This Row],[ID]] &lt;&gt; "", IF(A274 = "000", A274 &amp; " | None", A274 &amp; " | " &amp; B274 &amp; " | " &amp; C274), "")</f>
        <v/>
      </c>
    </row>
    <row r="275" spans="1:14" ht="22.5" customHeight="1">
      <c r="A275" s="111" t="str">
        <f ca="1">IF(PRINTERS[[#This Row],[PRODUCT]] &lt;&gt; "", IF(ROW() = 2, "000", TEXT(INDIRECT("A" &amp; ROW() - 1) + 1, "000")), "")</f>
        <v/>
      </c>
      <c r="B275" s="17"/>
      <c r="C275" s="102"/>
      <c r="D275" s="48"/>
      <c r="E275" s="49"/>
      <c r="F275" s="49"/>
      <c r="G275" s="49"/>
      <c r="H275" s="49"/>
      <c r="I275" s="100">
        <f>H275 * salesTaxPct</f>
        <v>0</v>
      </c>
      <c r="J275" s="49"/>
      <c r="K275" s="24"/>
      <c r="L275" s="100">
        <f t="shared" si="4"/>
        <v>0</v>
      </c>
      <c r="M275" s="103"/>
      <c r="N275" s="96" t="str">
        <f ca="1">IF(PRINTERS[[#This Row],[ID]] &lt;&gt; "", IF(A275 = "000", A275 &amp; " | None", A275 &amp; " | " &amp; B275 &amp; " | " &amp; C275), "")</f>
        <v/>
      </c>
    </row>
    <row r="276" spans="1:14" ht="22.5" customHeight="1">
      <c r="A276" s="111" t="str">
        <f ca="1">IF(PRINTERS[[#This Row],[PRODUCT]] &lt;&gt; "", IF(ROW() = 2, "000", TEXT(INDIRECT("A" &amp; ROW() - 1) + 1, "000")), "")</f>
        <v/>
      </c>
      <c r="B276" s="17"/>
      <c r="C276" s="102"/>
      <c r="D276" s="48"/>
      <c r="E276" s="49"/>
      <c r="F276" s="49"/>
      <c r="G276" s="49"/>
      <c r="H276" s="49"/>
      <c r="I276" s="100">
        <f>H276 * salesTaxPct</f>
        <v>0</v>
      </c>
      <c r="J276" s="49"/>
      <c r="K276" s="24"/>
      <c r="L276" s="100">
        <f t="shared" si="4"/>
        <v>0</v>
      </c>
      <c r="M276" s="103"/>
      <c r="N276" s="96" t="str">
        <f ca="1">IF(PRINTERS[[#This Row],[ID]] &lt;&gt; "", IF(A276 = "000", A276 &amp; " | None", A276 &amp; " | " &amp; B276 &amp; " | " &amp; C276), "")</f>
        <v/>
      </c>
    </row>
    <row r="277" spans="1:14" ht="22.5" customHeight="1">
      <c r="A277" s="111" t="str">
        <f ca="1">IF(PRINTERS[[#This Row],[PRODUCT]] &lt;&gt; "", IF(ROW() = 2, "000", TEXT(INDIRECT("A" &amp; ROW() - 1) + 1, "000")), "")</f>
        <v/>
      </c>
      <c r="B277" s="17"/>
      <c r="C277" s="102"/>
      <c r="D277" s="48"/>
      <c r="E277" s="49"/>
      <c r="F277" s="49"/>
      <c r="G277" s="49"/>
      <c r="H277" s="49"/>
      <c r="I277" s="100">
        <f>H277 * salesTaxPct</f>
        <v>0</v>
      </c>
      <c r="J277" s="49"/>
      <c r="K277" s="24"/>
      <c r="L277" s="100">
        <f t="shared" si="4"/>
        <v>0</v>
      </c>
      <c r="M277" s="103"/>
      <c r="N277" s="96" t="str">
        <f ca="1">IF(PRINTERS[[#This Row],[ID]] &lt;&gt; "", IF(A277 = "000", A277 &amp; " | None", A277 &amp; " | " &amp; B277 &amp; " | " &amp; C277), "")</f>
        <v/>
      </c>
    </row>
    <row r="278" spans="1:14" ht="22.5" customHeight="1">
      <c r="A278" s="111" t="str">
        <f ca="1">IF(PRINTERS[[#This Row],[PRODUCT]] &lt;&gt; "", IF(ROW() = 2, "000", TEXT(INDIRECT("A" &amp; ROW() - 1) + 1, "000")), "")</f>
        <v/>
      </c>
      <c r="B278" s="17"/>
      <c r="C278" s="102"/>
      <c r="D278" s="48"/>
      <c r="E278" s="49"/>
      <c r="F278" s="49"/>
      <c r="G278" s="49"/>
      <c r="H278" s="49"/>
      <c r="I278" s="100">
        <f>H278 * salesTaxPct</f>
        <v>0</v>
      </c>
      <c r="J278" s="49"/>
      <c r="K278" s="24"/>
      <c r="L278" s="100">
        <f t="shared" si="4"/>
        <v>0</v>
      </c>
      <c r="M278" s="103"/>
      <c r="N278" s="96" t="str">
        <f ca="1">IF(PRINTERS[[#This Row],[ID]] &lt;&gt; "", IF(A278 = "000", A278 &amp; " | None", A278 &amp; " | " &amp; B278 &amp; " | " &amp; C278), "")</f>
        <v/>
      </c>
    </row>
    <row r="279" spans="1:14" ht="22.5" customHeight="1">
      <c r="A279" s="111" t="str">
        <f ca="1">IF(PRINTERS[[#This Row],[PRODUCT]] &lt;&gt; "", IF(ROW() = 2, "000", TEXT(INDIRECT("A" &amp; ROW() - 1) + 1, "000")), "")</f>
        <v/>
      </c>
      <c r="B279" s="17"/>
      <c r="C279" s="102"/>
      <c r="D279" s="48"/>
      <c r="E279" s="49"/>
      <c r="F279" s="49"/>
      <c r="G279" s="49"/>
      <c r="H279" s="49"/>
      <c r="I279" s="100">
        <f>H279 * salesTaxPct</f>
        <v>0</v>
      </c>
      <c r="J279" s="49"/>
      <c r="K279" s="24"/>
      <c r="L279" s="100">
        <f t="shared" si="4"/>
        <v>0</v>
      </c>
      <c r="M279" s="103"/>
      <c r="N279" s="96" t="str">
        <f ca="1">IF(PRINTERS[[#This Row],[ID]] &lt;&gt; "", IF(A279 = "000", A279 &amp; " | None", A279 &amp; " | " &amp; B279 &amp; " | " &amp; C279), "")</f>
        <v/>
      </c>
    </row>
    <row r="280" spans="1:14" ht="22.5" customHeight="1">
      <c r="A280" s="111" t="str">
        <f ca="1">IF(PRINTERS[[#This Row],[PRODUCT]] &lt;&gt; "", IF(ROW() = 2, "000", TEXT(INDIRECT("A" &amp; ROW() - 1) + 1, "000")), "")</f>
        <v/>
      </c>
      <c r="B280" s="17"/>
      <c r="C280" s="102"/>
      <c r="D280" s="48"/>
      <c r="E280" s="49"/>
      <c r="F280" s="49"/>
      <c r="G280" s="49"/>
      <c r="H280" s="49"/>
      <c r="I280" s="100">
        <f>H280 * salesTaxPct</f>
        <v>0</v>
      </c>
      <c r="J280" s="49"/>
      <c r="K280" s="24"/>
      <c r="L280" s="100">
        <f t="shared" si="4"/>
        <v>0</v>
      </c>
      <c r="M280" s="103"/>
      <c r="N280" s="96" t="str">
        <f ca="1">IF(PRINTERS[[#This Row],[ID]] &lt;&gt; "", IF(A280 = "000", A280 &amp; " | None", A280 &amp; " | " &amp; B280 &amp; " | " &amp; C280), "")</f>
        <v/>
      </c>
    </row>
    <row r="281" spans="1:14" ht="22.5" customHeight="1">
      <c r="A281" s="111" t="str">
        <f ca="1">IF(PRINTERS[[#This Row],[PRODUCT]] &lt;&gt; "", IF(ROW() = 2, "000", TEXT(INDIRECT("A" &amp; ROW() - 1) + 1, "000")), "")</f>
        <v/>
      </c>
      <c r="B281" s="17"/>
      <c r="C281" s="102"/>
      <c r="D281" s="48"/>
      <c r="E281" s="49"/>
      <c r="F281" s="49"/>
      <c r="G281" s="49"/>
      <c r="H281" s="49"/>
      <c r="I281" s="100">
        <f>H281 * salesTaxPct</f>
        <v>0</v>
      </c>
      <c r="J281" s="49"/>
      <c r="K281" s="24"/>
      <c r="L281" s="100">
        <f t="shared" si="4"/>
        <v>0</v>
      </c>
      <c r="M281" s="103"/>
      <c r="N281" s="96" t="str">
        <f ca="1">IF(PRINTERS[[#This Row],[ID]] &lt;&gt; "", IF(A281 = "000", A281 &amp; " | None", A281 &amp; " | " &amp; B281 &amp; " | " &amp; C281), "")</f>
        <v/>
      </c>
    </row>
    <row r="282" spans="1:14" ht="22.5" customHeight="1">
      <c r="A282" s="111" t="str">
        <f ca="1">IF(PRINTERS[[#This Row],[PRODUCT]] &lt;&gt; "", IF(ROW() = 2, "000", TEXT(INDIRECT("A" &amp; ROW() - 1) + 1, "000")), "")</f>
        <v/>
      </c>
      <c r="B282" s="17"/>
      <c r="C282" s="102"/>
      <c r="D282" s="48"/>
      <c r="E282" s="49"/>
      <c r="F282" s="49"/>
      <c r="G282" s="49"/>
      <c r="H282" s="49"/>
      <c r="I282" s="100">
        <f>H282 * salesTaxPct</f>
        <v>0</v>
      </c>
      <c r="J282" s="49"/>
      <c r="K282" s="24"/>
      <c r="L282" s="100">
        <f t="shared" si="4"/>
        <v>0</v>
      </c>
      <c r="M282" s="103"/>
      <c r="N282" s="96" t="str">
        <f ca="1">IF(PRINTERS[[#This Row],[ID]] &lt;&gt; "", IF(A282 = "000", A282 &amp; " | None", A282 &amp; " | " &amp; B282 &amp; " | " &amp; C282), "")</f>
        <v/>
      </c>
    </row>
    <row r="283" spans="1:14" ht="22.5" customHeight="1">
      <c r="A283" s="111" t="str">
        <f ca="1">IF(PRINTERS[[#This Row],[PRODUCT]] &lt;&gt; "", IF(ROW() = 2, "000", TEXT(INDIRECT("A" &amp; ROW() - 1) + 1, "000")), "")</f>
        <v/>
      </c>
      <c r="B283" s="17"/>
      <c r="C283" s="102"/>
      <c r="D283" s="48"/>
      <c r="E283" s="49"/>
      <c r="F283" s="49"/>
      <c r="G283" s="49"/>
      <c r="H283" s="49"/>
      <c r="I283" s="100">
        <f>H283 * salesTaxPct</f>
        <v>0</v>
      </c>
      <c r="J283" s="49"/>
      <c r="K283" s="24"/>
      <c r="L283" s="100">
        <f t="shared" si="4"/>
        <v>0</v>
      </c>
      <c r="M283" s="103"/>
      <c r="N283" s="96" t="str">
        <f ca="1">IF(PRINTERS[[#This Row],[ID]] &lt;&gt; "", IF(A283 = "000", A283 &amp; " | None", A283 &amp; " | " &amp; B283 &amp; " | " &amp; C283), "")</f>
        <v/>
      </c>
    </row>
    <row r="284" spans="1:14" ht="22.5" customHeight="1">
      <c r="A284" s="111" t="str">
        <f ca="1">IF(PRINTERS[[#This Row],[PRODUCT]] &lt;&gt; "", IF(ROW() = 2, "000", TEXT(INDIRECT("A" &amp; ROW() - 1) + 1, "000")), "")</f>
        <v/>
      </c>
      <c r="B284" s="17"/>
      <c r="C284" s="102"/>
      <c r="D284" s="48"/>
      <c r="E284" s="49"/>
      <c r="F284" s="49"/>
      <c r="G284" s="49"/>
      <c r="H284" s="49"/>
      <c r="I284" s="100">
        <f>H284 * salesTaxPct</f>
        <v>0</v>
      </c>
      <c r="J284" s="49"/>
      <c r="K284" s="24"/>
      <c r="L284" s="100">
        <f t="shared" si="4"/>
        <v>0</v>
      </c>
      <c r="M284" s="103"/>
      <c r="N284" s="96" t="str">
        <f ca="1">IF(PRINTERS[[#This Row],[ID]] &lt;&gt; "", IF(A284 = "000", A284 &amp; " | None", A284 &amp; " | " &amp; B284 &amp; " | " &amp; C284), "")</f>
        <v/>
      </c>
    </row>
    <row r="285" spans="1:14" ht="22.5" customHeight="1">
      <c r="A285" s="111" t="str">
        <f ca="1">IF(PRINTERS[[#This Row],[PRODUCT]] &lt;&gt; "", IF(ROW() = 2, "000", TEXT(INDIRECT("A" &amp; ROW() - 1) + 1, "000")), "")</f>
        <v/>
      </c>
      <c r="B285" s="17"/>
      <c r="C285" s="102"/>
      <c r="D285" s="48"/>
      <c r="E285" s="49"/>
      <c r="F285" s="49"/>
      <c r="G285" s="49"/>
      <c r="H285" s="49"/>
      <c r="I285" s="100">
        <f>H285 * salesTaxPct</f>
        <v>0</v>
      </c>
      <c r="J285" s="49"/>
      <c r="K285" s="24"/>
      <c r="L285" s="100">
        <f t="shared" si="4"/>
        <v>0</v>
      </c>
      <c r="M285" s="103"/>
      <c r="N285" s="96" t="str">
        <f ca="1">IF(PRINTERS[[#This Row],[ID]] &lt;&gt; "", IF(A285 = "000", A285 &amp; " | None", A285 &amp; " | " &amp; B285 &amp; " | " &amp; C285), "")</f>
        <v/>
      </c>
    </row>
    <row r="286" spans="1:14" ht="22.5" customHeight="1">
      <c r="A286" s="111" t="str">
        <f ca="1">IF(PRINTERS[[#This Row],[PRODUCT]] &lt;&gt; "", IF(ROW() = 2, "000", TEXT(INDIRECT("A" &amp; ROW() - 1) + 1, "000")), "")</f>
        <v/>
      </c>
      <c r="B286" s="17"/>
      <c r="C286" s="102"/>
      <c r="D286" s="48"/>
      <c r="E286" s="49"/>
      <c r="F286" s="49"/>
      <c r="G286" s="49"/>
      <c r="H286" s="49"/>
      <c r="I286" s="100">
        <f>H286 * salesTaxPct</f>
        <v>0</v>
      </c>
      <c r="J286" s="49"/>
      <c r="K286" s="24"/>
      <c r="L286" s="100">
        <f t="shared" si="4"/>
        <v>0</v>
      </c>
      <c r="M286" s="103"/>
      <c r="N286" s="96" t="str">
        <f ca="1">IF(PRINTERS[[#This Row],[ID]] &lt;&gt; "", IF(A286 = "000", A286 &amp; " | None", A286 &amp; " | " &amp; B286 &amp; " | " &amp; C286), "")</f>
        <v/>
      </c>
    </row>
    <row r="287" spans="1:14" ht="22.5" customHeight="1">
      <c r="A287" s="111" t="str">
        <f ca="1">IF(PRINTERS[[#This Row],[PRODUCT]] &lt;&gt; "", IF(ROW() = 2, "000", TEXT(INDIRECT("A" &amp; ROW() - 1) + 1, "000")), "")</f>
        <v/>
      </c>
      <c r="B287" s="17"/>
      <c r="C287" s="102"/>
      <c r="D287" s="48"/>
      <c r="E287" s="49"/>
      <c r="F287" s="49"/>
      <c r="G287" s="49"/>
      <c r="H287" s="49"/>
      <c r="I287" s="100">
        <f>H287 * salesTaxPct</f>
        <v>0</v>
      </c>
      <c r="J287" s="49"/>
      <c r="K287" s="24"/>
      <c r="L287" s="100">
        <f t="shared" si="4"/>
        <v>0</v>
      </c>
      <c r="M287" s="103"/>
      <c r="N287" s="96" t="str">
        <f ca="1">IF(PRINTERS[[#This Row],[ID]] &lt;&gt; "", IF(A287 = "000", A287 &amp; " | None", A287 &amp; " | " &amp; B287 &amp; " | " &amp; C287), "")</f>
        <v/>
      </c>
    </row>
    <row r="288" spans="1:14" ht="22.5" customHeight="1">
      <c r="A288" s="111" t="str">
        <f ca="1">IF(PRINTERS[[#This Row],[PRODUCT]] &lt;&gt; "", IF(ROW() = 2, "000", TEXT(INDIRECT("A" &amp; ROW() - 1) + 1, "000")), "")</f>
        <v/>
      </c>
      <c r="B288" s="17"/>
      <c r="C288" s="102"/>
      <c r="D288" s="48"/>
      <c r="E288" s="49"/>
      <c r="F288" s="49"/>
      <c r="G288" s="49"/>
      <c r="H288" s="49"/>
      <c r="I288" s="100">
        <f>H288 * salesTaxPct</f>
        <v>0</v>
      </c>
      <c r="J288" s="49"/>
      <c r="K288" s="24"/>
      <c r="L288" s="100">
        <f t="shared" si="4"/>
        <v>0</v>
      </c>
      <c r="M288" s="103"/>
      <c r="N288" s="96" t="str">
        <f ca="1">IF(PRINTERS[[#This Row],[ID]] &lt;&gt; "", IF(A288 = "000", A288 &amp; " | None", A288 &amp; " | " &amp; B288 &amp; " | " &amp; C288), "")</f>
        <v/>
      </c>
    </row>
    <row r="289" spans="1:14" ht="22.5" customHeight="1">
      <c r="A289" s="111" t="str">
        <f ca="1">IF(PRINTERS[[#This Row],[PRODUCT]] &lt;&gt; "", IF(ROW() = 2, "000", TEXT(INDIRECT("A" &amp; ROW() - 1) + 1, "000")), "")</f>
        <v/>
      </c>
      <c r="B289" s="17"/>
      <c r="C289" s="102"/>
      <c r="D289" s="48"/>
      <c r="E289" s="49"/>
      <c r="F289" s="49"/>
      <c r="G289" s="49"/>
      <c r="H289" s="49"/>
      <c r="I289" s="100">
        <f>H289 * salesTaxPct</f>
        <v>0</v>
      </c>
      <c r="J289" s="49"/>
      <c r="K289" s="24"/>
      <c r="L289" s="100">
        <f t="shared" si="4"/>
        <v>0</v>
      </c>
      <c r="M289" s="103"/>
      <c r="N289" s="96" t="str">
        <f ca="1">IF(PRINTERS[[#This Row],[ID]] &lt;&gt; "", IF(A289 = "000", A289 &amp; " | None", A289 &amp; " | " &amp; B289 &amp; " | " &amp; C289), "")</f>
        <v/>
      </c>
    </row>
    <row r="290" spans="1:14" ht="22.5" customHeight="1">
      <c r="A290" s="111" t="str">
        <f ca="1">IF(PRINTERS[[#This Row],[PRODUCT]] &lt;&gt; "", IF(ROW() = 2, "000", TEXT(INDIRECT("A" &amp; ROW() - 1) + 1, "000")), "")</f>
        <v/>
      </c>
      <c r="B290" s="17"/>
      <c r="C290" s="102"/>
      <c r="D290" s="48"/>
      <c r="E290" s="49"/>
      <c r="F290" s="49"/>
      <c r="G290" s="49"/>
      <c r="H290" s="49"/>
      <c r="I290" s="100">
        <f>H290 * salesTaxPct</f>
        <v>0</v>
      </c>
      <c r="J290" s="49"/>
      <c r="K290" s="24"/>
      <c r="L290" s="100">
        <f t="shared" si="4"/>
        <v>0</v>
      </c>
      <c r="M290" s="103"/>
      <c r="N290" s="96" t="str">
        <f ca="1">IF(PRINTERS[[#This Row],[ID]] &lt;&gt; "", IF(A290 = "000", A290 &amp; " | None", A290 &amp; " | " &amp; B290 &amp; " | " &amp; C290), "")</f>
        <v/>
      </c>
    </row>
    <row r="291" spans="1:14" ht="22.5" customHeight="1">
      <c r="A291" s="111" t="str">
        <f ca="1">IF(PRINTERS[[#This Row],[PRODUCT]] &lt;&gt; "", IF(ROW() = 2, "000", TEXT(INDIRECT("A" &amp; ROW() - 1) + 1, "000")), "")</f>
        <v/>
      </c>
      <c r="B291" s="17"/>
      <c r="C291" s="102"/>
      <c r="D291" s="48"/>
      <c r="E291" s="49"/>
      <c r="F291" s="49"/>
      <c r="G291" s="49"/>
      <c r="H291" s="49"/>
      <c r="I291" s="100">
        <f>H291 * salesTaxPct</f>
        <v>0</v>
      </c>
      <c r="J291" s="49"/>
      <c r="K291" s="24"/>
      <c r="L291" s="100">
        <f t="shared" si="4"/>
        <v>0</v>
      </c>
      <c r="M291" s="103"/>
      <c r="N291" s="96" t="str">
        <f ca="1">IF(PRINTERS[[#This Row],[ID]] &lt;&gt; "", IF(A291 = "000", A291 &amp; " | None", A291 &amp; " | " &amp; B291 &amp; " | " &amp; C291), "")</f>
        <v/>
      </c>
    </row>
    <row r="292" spans="1:14" ht="22.5" customHeight="1">
      <c r="A292" s="111" t="str">
        <f ca="1">IF(PRINTERS[[#This Row],[PRODUCT]] &lt;&gt; "", IF(ROW() = 2, "000", TEXT(INDIRECT("A" &amp; ROW() - 1) + 1, "000")), "")</f>
        <v/>
      </c>
      <c r="B292" s="17"/>
      <c r="C292" s="102"/>
      <c r="D292" s="48"/>
      <c r="E292" s="49"/>
      <c r="F292" s="49"/>
      <c r="G292" s="49"/>
      <c r="H292" s="49"/>
      <c r="I292" s="100">
        <f>H292 * salesTaxPct</f>
        <v>0</v>
      </c>
      <c r="J292" s="49"/>
      <c r="K292" s="24"/>
      <c r="L292" s="100">
        <f t="shared" si="4"/>
        <v>0</v>
      </c>
      <c r="M292" s="103"/>
      <c r="N292" s="96" t="str">
        <f ca="1">IF(PRINTERS[[#This Row],[ID]] &lt;&gt; "", IF(A292 = "000", A292 &amp; " | None", A292 &amp; " | " &amp; B292 &amp; " | " &amp; C292), "")</f>
        <v/>
      </c>
    </row>
    <row r="293" spans="1:14" ht="22.5" customHeight="1">
      <c r="A293" s="111" t="str">
        <f ca="1">IF(PRINTERS[[#This Row],[PRODUCT]] &lt;&gt; "", IF(ROW() = 2, "000", TEXT(INDIRECT("A" &amp; ROW() - 1) + 1, "000")), "")</f>
        <v/>
      </c>
      <c r="B293" s="17"/>
      <c r="C293" s="102"/>
      <c r="D293" s="48"/>
      <c r="E293" s="49"/>
      <c r="F293" s="49"/>
      <c r="G293" s="49"/>
      <c r="H293" s="49"/>
      <c r="I293" s="100">
        <f>H293 * salesTaxPct</f>
        <v>0</v>
      </c>
      <c r="J293" s="49"/>
      <c r="K293" s="24"/>
      <c r="L293" s="100">
        <f t="shared" si="4"/>
        <v>0</v>
      </c>
      <c r="M293" s="103"/>
      <c r="N293" s="96" t="str">
        <f ca="1">IF(PRINTERS[[#This Row],[ID]] &lt;&gt; "", IF(A293 = "000", A293 &amp; " | None", A293 &amp; " | " &amp; B293 &amp; " | " &amp; C293), "")</f>
        <v/>
      </c>
    </row>
    <row r="294" spans="1:14" ht="22.5" customHeight="1">
      <c r="A294" s="111" t="str">
        <f ca="1">IF(PRINTERS[[#This Row],[PRODUCT]] &lt;&gt; "", IF(ROW() = 2, "000", TEXT(INDIRECT("A" &amp; ROW() - 1) + 1, "000")), "")</f>
        <v/>
      </c>
      <c r="B294" s="17"/>
      <c r="C294" s="102"/>
      <c r="D294" s="48"/>
      <c r="E294" s="49"/>
      <c r="F294" s="49"/>
      <c r="G294" s="49"/>
      <c r="H294" s="49"/>
      <c r="I294" s="100">
        <f>H294 * salesTaxPct</f>
        <v>0</v>
      </c>
      <c r="J294" s="49"/>
      <c r="K294" s="24"/>
      <c r="L294" s="100">
        <f t="shared" si="4"/>
        <v>0</v>
      </c>
      <c r="M294" s="103"/>
      <c r="N294" s="96" t="str">
        <f ca="1">IF(PRINTERS[[#This Row],[ID]] &lt;&gt; "", IF(A294 = "000", A294 &amp; " | None", A294 &amp; " | " &amp; B294 &amp; " | " &amp; C294), "")</f>
        <v/>
      </c>
    </row>
    <row r="295" spans="1:14" ht="22.5" customHeight="1">
      <c r="A295" s="111" t="str">
        <f ca="1">IF(PRINTERS[[#This Row],[PRODUCT]] &lt;&gt; "", IF(ROW() = 2, "000", TEXT(INDIRECT("A" &amp; ROW() - 1) + 1, "000")), "")</f>
        <v/>
      </c>
      <c r="B295" s="17"/>
      <c r="C295" s="102"/>
      <c r="D295" s="48"/>
      <c r="E295" s="49"/>
      <c r="F295" s="49"/>
      <c r="G295" s="49"/>
      <c r="H295" s="49"/>
      <c r="I295" s="100">
        <f>H295 * salesTaxPct</f>
        <v>0</v>
      </c>
      <c r="J295" s="49"/>
      <c r="K295" s="24"/>
      <c r="L295" s="100">
        <f t="shared" si="4"/>
        <v>0</v>
      </c>
      <c r="M295" s="103"/>
      <c r="N295" s="96" t="str">
        <f ca="1">IF(PRINTERS[[#This Row],[ID]] &lt;&gt; "", IF(A295 = "000", A295 &amp; " | None", A295 &amp; " | " &amp; B295 &amp; " | " &amp; C295), "")</f>
        <v/>
      </c>
    </row>
    <row r="296" spans="1:14" ht="22.5" customHeight="1">
      <c r="A296" s="111" t="str">
        <f ca="1">IF(PRINTERS[[#This Row],[PRODUCT]] &lt;&gt; "", IF(ROW() = 2, "000", TEXT(INDIRECT("A" &amp; ROW() - 1) + 1, "000")), "")</f>
        <v/>
      </c>
      <c r="B296" s="17"/>
      <c r="C296" s="102"/>
      <c r="D296" s="48"/>
      <c r="E296" s="49"/>
      <c r="F296" s="49"/>
      <c r="G296" s="49"/>
      <c r="H296" s="49"/>
      <c r="I296" s="100">
        <f>H296 * salesTaxPct</f>
        <v>0</v>
      </c>
      <c r="J296" s="49"/>
      <c r="K296" s="24"/>
      <c r="L296" s="100">
        <f t="shared" si="4"/>
        <v>0</v>
      </c>
      <c r="M296" s="103"/>
      <c r="N296" s="96" t="str">
        <f ca="1">IF(PRINTERS[[#This Row],[ID]] &lt;&gt; "", IF(A296 = "000", A296 &amp; " | None", A296 &amp; " | " &amp; B296 &amp; " | " &amp; C296), "")</f>
        <v/>
      </c>
    </row>
    <row r="297" spans="1:14" ht="22.5" customHeight="1">
      <c r="A297" s="111" t="str">
        <f ca="1">IF(PRINTERS[[#This Row],[PRODUCT]] &lt;&gt; "", IF(ROW() = 2, "000", TEXT(INDIRECT("A" &amp; ROW() - 1) + 1, "000")), "")</f>
        <v/>
      </c>
      <c r="B297" s="17"/>
      <c r="C297" s="102"/>
      <c r="D297" s="48"/>
      <c r="E297" s="49"/>
      <c r="F297" s="49"/>
      <c r="G297" s="49"/>
      <c r="H297" s="49"/>
      <c r="I297" s="100">
        <f>H297 * salesTaxPct</f>
        <v>0</v>
      </c>
      <c r="J297" s="49"/>
      <c r="K297" s="24"/>
      <c r="L297" s="100">
        <f t="shared" si="4"/>
        <v>0</v>
      </c>
      <c r="M297" s="103"/>
      <c r="N297" s="96" t="str">
        <f ca="1">IF(PRINTERS[[#This Row],[ID]] &lt;&gt; "", IF(A297 = "000", A297 &amp; " | None", A297 &amp; " | " &amp; B297 &amp; " | " &amp; C297), "")</f>
        <v/>
      </c>
    </row>
    <row r="298" spans="1:14" ht="22.5" customHeight="1">
      <c r="A298" s="111" t="str">
        <f ca="1">IF(PRINTERS[[#This Row],[PRODUCT]] &lt;&gt; "", IF(ROW() = 2, "000", TEXT(INDIRECT("A" &amp; ROW() - 1) + 1, "000")), "")</f>
        <v/>
      </c>
      <c r="B298" s="17"/>
      <c r="C298" s="102"/>
      <c r="D298" s="48"/>
      <c r="E298" s="49"/>
      <c r="F298" s="49"/>
      <c r="G298" s="49"/>
      <c r="H298" s="49"/>
      <c r="I298" s="100">
        <f>H298 * salesTaxPct</f>
        <v>0</v>
      </c>
      <c r="J298" s="49"/>
      <c r="K298" s="24"/>
      <c r="L298" s="100">
        <f t="shared" si="4"/>
        <v>0</v>
      </c>
      <c r="M298" s="103"/>
      <c r="N298" s="96" t="str">
        <f ca="1">IF(PRINTERS[[#This Row],[ID]] &lt;&gt; "", IF(A298 = "000", A298 &amp; " | None", A298 &amp; " | " &amp; B298 &amp; " | " &amp; C298), "")</f>
        <v/>
      </c>
    </row>
    <row r="299" spans="1:14" ht="22.5" customHeight="1">
      <c r="A299" s="111" t="str">
        <f ca="1">IF(PRINTERS[[#This Row],[PRODUCT]] &lt;&gt; "", IF(ROW() = 2, "000", TEXT(INDIRECT("A" &amp; ROW() - 1) + 1, "000")), "")</f>
        <v/>
      </c>
      <c r="B299" s="17"/>
      <c r="C299" s="102"/>
      <c r="D299" s="48"/>
      <c r="E299" s="49"/>
      <c r="F299" s="49"/>
      <c r="G299" s="49"/>
      <c r="H299" s="49"/>
      <c r="I299" s="100">
        <f>H299 * salesTaxPct</f>
        <v>0</v>
      </c>
      <c r="J299" s="49"/>
      <c r="K299" s="24"/>
      <c r="L299" s="100">
        <f t="shared" si="4"/>
        <v>0</v>
      </c>
      <c r="M299" s="103"/>
      <c r="N299" s="96" t="str">
        <f ca="1">IF(PRINTERS[[#This Row],[ID]] &lt;&gt; "", IF(A299 = "000", A299 &amp; " | None", A299 &amp; " | " &amp; B299 &amp; " | " &amp; C299), "")</f>
        <v/>
      </c>
    </row>
    <row r="300" spans="1:14" ht="22.5" customHeight="1">
      <c r="A300" s="111" t="str">
        <f ca="1">IF(PRINTERS[[#This Row],[PRODUCT]] &lt;&gt; "", IF(ROW() = 2, "000", TEXT(INDIRECT("A" &amp; ROW() - 1) + 1, "000")), "")</f>
        <v/>
      </c>
      <c r="B300" s="17"/>
      <c r="C300" s="102"/>
      <c r="D300" s="48"/>
      <c r="E300" s="49"/>
      <c r="F300" s="49"/>
      <c r="G300" s="49"/>
      <c r="H300" s="49"/>
      <c r="I300" s="100">
        <f>H300 * salesTaxPct</f>
        <v>0</v>
      </c>
      <c r="J300" s="49"/>
      <c r="K300" s="24"/>
      <c r="L300" s="100">
        <f t="shared" si="4"/>
        <v>0</v>
      </c>
      <c r="M300" s="103"/>
      <c r="N300" s="96" t="str">
        <f ca="1">IF(PRINTERS[[#This Row],[ID]] &lt;&gt; "", IF(A300 = "000", A300 &amp; " | None", A300 &amp; " | " &amp; B300 &amp; " | " &amp; C300), "")</f>
        <v/>
      </c>
    </row>
    <row r="301" spans="1:14" ht="22.5" customHeight="1">
      <c r="A301" s="111" t="str">
        <f ca="1">IF(PRINTERS[[#This Row],[PRODUCT]] &lt;&gt; "", IF(ROW() = 2, "000", TEXT(INDIRECT("A" &amp; ROW() - 1) + 1, "000")), "")</f>
        <v/>
      </c>
      <c r="B301" s="17"/>
      <c r="C301" s="102"/>
      <c r="D301" s="48"/>
      <c r="E301" s="49"/>
      <c r="F301" s="49"/>
      <c r="G301" s="49"/>
      <c r="H301" s="49"/>
      <c r="I301" s="100">
        <f>H301 * salesTaxPct</f>
        <v>0</v>
      </c>
      <c r="J301" s="49"/>
      <c r="K301" s="24"/>
      <c r="L301" s="100">
        <f t="shared" si="4"/>
        <v>0</v>
      </c>
      <c r="M301" s="103"/>
      <c r="N301" s="96" t="str">
        <f ca="1">IF(PRINTERS[[#This Row],[ID]] &lt;&gt; "", IF(A301 = "000", A301 &amp; " | None", A301 &amp; " | " &amp; B301 &amp; " | " &amp; C301), "")</f>
        <v/>
      </c>
    </row>
    <row r="302" spans="1:14" ht="22.5" customHeight="1">
      <c r="A302" s="50"/>
      <c r="B302" s="17"/>
      <c r="C302" s="102"/>
      <c r="D302" s="48"/>
      <c r="E302" s="49"/>
      <c r="F302" s="49"/>
      <c r="G302" s="49"/>
      <c r="H302" s="49"/>
      <c r="I302" s="49"/>
      <c r="J302" s="49"/>
      <c r="K302" s="24"/>
      <c r="L302" s="24"/>
      <c r="M302" s="103"/>
    </row>
    <row r="303" spans="1:14" ht="22.5" customHeight="1">
      <c r="A303" s="50"/>
      <c r="B303" s="17"/>
      <c r="C303" s="102"/>
      <c r="D303" s="48"/>
      <c r="E303" s="49"/>
      <c r="F303" s="49"/>
      <c r="G303" s="49"/>
      <c r="H303" s="49"/>
      <c r="I303" s="49"/>
      <c r="J303" s="49"/>
      <c r="K303" s="24"/>
      <c r="L303" s="24"/>
      <c r="M303" s="103"/>
    </row>
    <row r="304" spans="1:14" ht="22.5" customHeight="1">
      <c r="A304" s="50"/>
      <c r="B304" s="17"/>
      <c r="C304" s="102"/>
      <c r="D304" s="48"/>
      <c r="E304" s="49"/>
      <c r="F304" s="49"/>
      <c r="G304" s="49"/>
      <c r="H304" s="49"/>
      <c r="I304" s="49"/>
      <c r="J304" s="49"/>
      <c r="K304" s="24"/>
      <c r="L304" s="24"/>
      <c r="M304" s="103"/>
    </row>
    <row r="305" spans="1:13" ht="22.5" customHeight="1">
      <c r="A305" s="50"/>
      <c r="B305" s="17"/>
      <c r="C305" s="102"/>
      <c r="D305" s="48"/>
      <c r="E305" s="49"/>
      <c r="F305" s="49"/>
      <c r="G305" s="49"/>
      <c r="H305" s="49"/>
      <c r="I305" s="49"/>
      <c r="J305" s="49"/>
      <c r="K305" s="24"/>
      <c r="L305" s="24"/>
      <c r="M305" s="103"/>
    </row>
    <row r="306" spans="1:13" ht="22.5" customHeight="1">
      <c r="A306" s="50"/>
      <c r="B306" s="17"/>
      <c r="C306" s="102"/>
      <c r="D306" s="48"/>
      <c r="E306" s="49"/>
      <c r="F306" s="49"/>
      <c r="G306" s="49"/>
      <c r="H306" s="49"/>
      <c r="I306" s="49"/>
      <c r="J306" s="49"/>
      <c r="K306" s="24"/>
      <c r="L306" s="24"/>
      <c r="M306" s="103"/>
    </row>
    <row r="307" spans="1:13" ht="22.5" customHeight="1">
      <c r="A307" s="50"/>
      <c r="B307" s="17"/>
      <c r="C307" s="102"/>
      <c r="D307" s="48"/>
      <c r="E307" s="49"/>
      <c r="F307" s="49"/>
      <c r="G307" s="49"/>
      <c r="H307" s="49"/>
      <c r="I307" s="49"/>
      <c r="J307" s="49"/>
      <c r="K307" s="24"/>
      <c r="L307" s="24"/>
      <c r="M307" s="103"/>
    </row>
    <row r="308" spans="1:13" ht="22.5" customHeight="1">
      <c r="A308" s="50"/>
      <c r="B308" s="17"/>
      <c r="C308" s="102"/>
      <c r="D308" s="48"/>
      <c r="E308" s="49"/>
      <c r="F308" s="49"/>
      <c r="G308" s="49"/>
      <c r="H308" s="49"/>
      <c r="I308" s="49"/>
      <c r="J308" s="49"/>
      <c r="K308" s="24"/>
      <c r="L308" s="24"/>
      <c r="M308" s="103"/>
    </row>
    <row r="309" spans="1:13" ht="22.5" customHeight="1">
      <c r="A309" s="50"/>
      <c r="B309" s="17"/>
      <c r="C309" s="102"/>
      <c r="D309" s="48"/>
      <c r="E309" s="49"/>
      <c r="F309" s="49"/>
      <c r="G309" s="49"/>
      <c r="H309" s="49"/>
      <c r="I309" s="49"/>
      <c r="J309" s="49"/>
      <c r="K309" s="24"/>
      <c r="L309" s="24"/>
      <c r="M309" s="103"/>
    </row>
    <row r="310" spans="1:13" ht="22.5" customHeight="1">
      <c r="A310" s="50"/>
      <c r="B310" s="17"/>
      <c r="C310" s="102"/>
      <c r="D310" s="48"/>
      <c r="E310" s="49"/>
      <c r="F310" s="49"/>
      <c r="G310" s="49"/>
      <c r="H310" s="49"/>
      <c r="I310" s="49"/>
      <c r="J310" s="49"/>
      <c r="K310" s="24"/>
      <c r="L310" s="24"/>
      <c r="M310" s="103"/>
    </row>
    <row r="311" spans="1:13" ht="22.5" customHeight="1">
      <c r="A311" s="50"/>
      <c r="B311" s="17"/>
      <c r="C311" s="102"/>
      <c r="D311" s="48"/>
      <c r="E311" s="49"/>
      <c r="F311" s="49"/>
      <c r="G311" s="49"/>
      <c r="H311" s="49"/>
      <c r="I311" s="49"/>
      <c r="J311" s="49"/>
      <c r="K311" s="24"/>
      <c r="L311" s="24"/>
      <c r="M311" s="103"/>
    </row>
    <row r="312" spans="1:13" ht="22.5" customHeight="1">
      <c r="A312" s="50"/>
      <c r="B312" s="17"/>
      <c r="C312" s="102"/>
      <c r="D312" s="48"/>
      <c r="E312" s="49"/>
      <c r="F312" s="49"/>
      <c r="G312" s="49"/>
      <c r="H312" s="49"/>
      <c r="I312" s="49"/>
      <c r="J312" s="49"/>
      <c r="K312" s="24"/>
      <c r="L312" s="24"/>
      <c r="M312" s="103"/>
    </row>
    <row r="313" spans="1:13" ht="22.5" customHeight="1">
      <c r="A313" s="50"/>
      <c r="B313" s="17"/>
      <c r="C313" s="102"/>
      <c r="D313" s="48"/>
      <c r="E313" s="49"/>
      <c r="F313" s="49"/>
      <c r="G313" s="49"/>
      <c r="H313" s="49"/>
      <c r="I313" s="49"/>
      <c r="J313" s="49"/>
      <c r="K313" s="24"/>
      <c r="L313" s="24"/>
      <c r="M313" s="103"/>
    </row>
    <row r="314" spans="1:13" ht="22.5" customHeight="1">
      <c r="A314" s="50"/>
      <c r="B314" s="17"/>
      <c r="C314" s="102"/>
      <c r="D314" s="48"/>
      <c r="E314" s="49"/>
      <c r="F314" s="49"/>
      <c r="G314" s="49"/>
      <c r="H314" s="49"/>
      <c r="I314" s="49"/>
      <c r="J314" s="49"/>
      <c r="K314" s="24"/>
      <c r="L314" s="24"/>
      <c r="M314" s="103"/>
    </row>
    <row r="315" spans="1:13" ht="22.5" customHeight="1">
      <c r="A315" s="50"/>
      <c r="B315" s="17"/>
      <c r="C315" s="102"/>
      <c r="D315" s="48"/>
      <c r="E315" s="49"/>
      <c r="F315" s="49"/>
      <c r="G315" s="49"/>
      <c r="H315" s="49"/>
      <c r="I315" s="49"/>
      <c r="J315" s="49"/>
      <c r="K315" s="24"/>
      <c r="L315" s="24"/>
      <c r="M315" s="103"/>
    </row>
    <row r="316" spans="1:13" ht="22.5" customHeight="1">
      <c r="A316" s="50"/>
      <c r="B316" s="17"/>
      <c r="C316" s="102"/>
      <c r="D316" s="48"/>
      <c r="E316" s="49"/>
      <c r="F316" s="49"/>
      <c r="G316" s="49"/>
      <c r="H316" s="49"/>
      <c r="I316" s="49"/>
      <c r="J316" s="49"/>
      <c r="K316" s="24"/>
      <c r="L316" s="24"/>
      <c r="M316" s="103"/>
    </row>
    <row r="317" spans="1:13" ht="22.5" customHeight="1">
      <c r="A317" s="50"/>
      <c r="B317" s="17"/>
      <c r="C317" s="102"/>
      <c r="D317" s="48"/>
      <c r="E317" s="49"/>
      <c r="F317" s="49"/>
      <c r="G317" s="49"/>
      <c r="H317" s="49"/>
      <c r="I317" s="49"/>
      <c r="J317" s="49"/>
      <c r="K317" s="24"/>
      <c r="L317" s="24"/>
      <c r="M317" s="103"/>
    </row>
    <row r="318" spans="1:13" ht="22.5" customHeight="1">
      <c r="A318" s="50"/>
      <c r="B318" s="17"/>
      <c r="C318" s="102"/>
      <c r="D318" s="48"/>
      <c r="E318" s="49"/>
      <c r="F318" s="49"/>
      <c r="G318" s="49"/>
      <c r="H318" s="49"/>
      <c r="I318" s="49"/>
      <c r="J318" s="49"/>
      <c r="K318" s="24"/>
      <c r="L318" s="24"/>
      <c r="M318" s="103"/>
    </row>
    <row r="319" spans="1:13" ht="22.5" customHeight="1">
      <c r="A319" s="50"/>
      <c r="B319" s="17"/>
      <c r="C319" s="102"/>
      <c r="D319" s="48"/>
      <c r="E319" s="49"/>
      <c r="F319" s="49"/>
      <c r="G319" s="49"/>
      <c r="H319" s="49"/>
      <c r="I319" s="49"/>
      <c r="J319" s="49"/>
      <c r="K319" s="24"/>
      <c r="L319" s="24"/>
      <c r="M319" s="103"/>
    </row>
    <row r="320" spans="1:13" ht="22.5" customHeight="1">
      <c r="A320" s="50"/>
      <c r="B320" s="17"/>
      <c r="C320" s="102"/>
      <c r="D320" s="48"/>
      <c r="E320" s="49"/>
      <c r="F320" s="49"/>
      <c r="G320" s="49"/>
      <c r="H320" s="49"/>
      <c r="I320" s="49"/>
      <c r="J320" s="49"/>
      <c r="K320" s="24"/>
      <c r="L320" s="24"/>
      <c r="M320" s="103"/>
    </row>
    <row r="321" spans="1:13" ht="22.5" customHeight="1">
      <c r="A321" s="50"/>
      <c r="B321" s="17"/>
      <c r="C321" s="102"/>
      <c r="D321" s="48"/>
      <c r="E321" s="49"/>
      <c r="F321" s="49"/>
      <c r="G321" s="49"/>
      <c r="H321" s="49"/>
      <c r="I321" s="49"/>
      <c r="J321" s="49"/>
      <c r="K321" s="24"/>
      <c r="L321" s="24"/>
      <c r="M321" s="103"/>
    </row>
    <row r="322" spans="1:13" ht="22.5" customHeight="1">
      <c r="A322" s="50"/>
      <c r="B322" s="17"/>
      <c r="C322" s="102"/>
      <c r="D322" s="48"/>
      <c r="E322" s="49"/>
      <c r="F322" s="49"/>
      <c r="G322" s="49"/>
      <c r="H322" s="49"/>
      <c r="I322" s="49"/>
      <c r="J322" s="49"/>
      <c r="K322" s="24"/>
      <c r="L322" s="24"/>
      <c r="M322" s="103"/>
    </row>
    <row r="323" spans="1:13" ht="22.5" customHeight="1">
      <c r="A323" s="50"/>
      <c r="B323" s="17"/>
      <c r="C323" s="102"/>
      <c r="D323" s="48"/>
      <c r="E323" s="49"/>
      <c r="F323" s="49"/>
      <c r="G323" s="49"/>
      <c r="H323" s="49"/>
      <c r="I323" s="49"/>
      <c r="J323" s="49"/>
      <c r="K323" s="24"/>
      <c r="L323" s="24"/>
      <c r="M323" s="103"/>
    </row>
    <row r="324" spans="1:13" ht="22.5" customHeight="1">
      <c r="A324" s="50"/>
      <c r="B324" s="17"/>
      <c r="C324" s="102"/>
      <c r="D324" s="48"/>
      <c r="E324" s="49"/>
      <c r="F324" s="49"/>
      <c r="G324" s="49"/>
      <c r="H324" s="49"/>
      <c r="I324" s="49"/>
      <c r="J324" s="49"/>
      <c r="K324" s="24"/>
      <c r="L324" s="24"/>
      <c r="M324" s="103"/>
    </row>
    <row r="325" spans="1:13" ht="22.5" customHeight="1">
      <c r="A325" s="50"/>
      <c r="B325" s="17"/>
      <c r="C325" s="102"/>
      <c r="D325" s="48"/>
      <c r="E325" s="49"/>
      <c r="F325" s="49"/>
      <c r="G325" s="49"/>
      <c r="H325" s="49"/>
      <c r="I325" s="49"/>
      <c r="J325" s="49"/>
      <c r="K325" s="24"/>
      <c r="L325" s="24"/>
      <c r="M325" s="103"/>
    </row>
    <row r="326" spans="1:13" ht="22.5" customHeight="1">
      <c r="A326" s="50"/>
      <c r="B326" s="17"/>
      <c r="C326" s="102"/>
      <c r="D326" s="48"/>
      <c r="E326" s="49"/>
      <c r="F326" s="49"/>
      <c r="G326" s="49"/>
      <c r="H326" s="49"/>
      <c r="I326" s="49"/>
      <c r="J326" s="49"/>
      <c r="K326" s="24"/>
      <c r="L326" s="24"/>
      <c r="M326" s="103"/>
    </row>
    <row r="327" spans="1:13" ht="22.5" customHeight="1">
      <c r="A327" s="50"/>
      <c r="B327" s="17"/>
      <c r="C327" s="102"/>
      <c r="D327" s="48"/>
      <c r="E327" s="49"/>
      <c r="F327" s="49"/>
      <c r="G327" s="49"/>
      <c r="H327" s="49"/>
      <c r="I327" s="49"/>
      <c r="J327" s="49"/>
      <c r="K327" s="24"/>
      <c r="L327" s="24"/>
      <c r="M327" s="103"/>
    </row>
    <row r="328" spans="1:13" ht="22.5" customHeight="1">
      <c r="A328" s="50"/>
      <c r="B328" s="17"/>
      <c r="C328" s="102"/>
      <c r="D328" s="48"/>
      <c r="E328" s="49"/>
      <c r="F328" s="49"/>
      <c r="G328" s="49"/>
      <c r="H328" s="49"/>
      <c r="I328" s="49"/>
      <c r="J328" s="49"/>
      <c r="K328" s="24"/>
      <c r="L328" s="24"/>
      <c r="M328" s="103"/>
    </row>
    <row r="329" spans="1:13" ht="22.5" customHeight="1">
      <c r="A329" s="50"/>
      <c r="B329" s="17"/>
      <c r="C329" s="102"/>
      <c r="D329" s="48"/>
      <c r="E329" s="49"/>
      <c r="F329" s="49"/>
      <c r="G329" s="49"/>
      <c r="H329" s="49"/>
      <c r="I329" s="49"/>
      <c r="J329" s="49"/>
      <c r="K329" s="24"/>
      <c r="L329" s="24"/>
      <c r="M329" s="103"/>
    </row>
    <row r="330" spans="1:13" ht="22.5" customHeight="1">
      <c r="A330" s="50"/>
      <c r="B330" s="17"/>
      <c r="C330" s="102"/>
      <c r="D330" s="48"/>
      <c r="E330" s="49"/>
      <c r="F330" s="49"/>
      <c r="G330" s="49"/>
      <c r="H330" s="49"/>
      <c r="I330" s="49"/>
      <c r="J330" s="49"/>
      <c r="K330" s="24"/>
      <c r="L330" s="24"/>
      <c r="M330" s="103"/>
    </row>
    <row r="331" spans="1:13" ht="22.5" customHeight="1">
      <c r="A331" s="50"/>
      <c r="B331" s="17"/>
      <c r="C331" s="102"/>
      <c r="D331" s="48"/>
      <c r="E331" s="49"/>
      <c r="F331" s="49"/>
      <c r="G331" s="49"/>
      <c r="H331" s="49"/>
      <c r="I331" s="49"/>
      <c r="J331" s="49"/>
      <c r="K331" s="24"/>
      <c r="L331" s="24"/>
      <c r="M331" s="103"/>
    </row>
    <row r="332" spans="1:13" ht="22.5" customHeight="1">
      <c r="A332" s="50"/>
      <c r="B332" s="17"/>
      <c r="C332" s="102"/>
      <c r="D332" s="48"/>
      <c r="E332" s="49"/>
      <c r="F332" s="49"/>
      <c r="G332" s="49"/>
      <c r="H332" s="49"/>
      <c r="I332" s="49"/>
      <c r="J332" s="49"/>
      <c r="K332" s="24"/>
      <c r="L332" s="24"/>
      <c r="M332" s="103"/>
    </row>
    <row r="333" spans="1:13" ht="22.5" customHeight="1">
      <c r="A333" s="50"/>
      <c r="B333" s="17"/>
      <c r="C333" s="102"/>
      <c r="D333" s="48"/>
      <c r="E333" s="49"/>
      <c r="F333" s="49"/>
      <c r="G333" s="49"/>
      <c r="H333" s="49"/>
      <c r="I333" s="49"/>
      <c r="J333" s="49"/>
      <c r="K333" s="24"/>
      <c r="L333" s="24"/>
      <c r="M333" s="103"/>
    </row>
    <row r="334" spans="1:13" ht="22.5" customHeight="1">
      <c r="A334" s="50"/>
      <c r="B334" s="17"/>
      <c r="C334" s="102"/>
      <c r="D334" s="48"/>
      <c r="E334" s="49"/>
      <c r="F334" s="49"/>
      <c r="G334" s="49"/>
      <c r="H334" s="49"/>
      <c r="I334" s="49"/>
      <c r="J334" s="49"/>
      <c r="K334" s="24"/>
      <c r="L334" s="24"/>
      <c r="M334" s="103"/>
    </row>
    <row r="335" spans="1:13" ht="22.5" customHeight="1">
      <c r="A335" s="50"/>
      <c r="B335" s="17"/>
      <c r="C335" s="102"/>
      <c r="D335" s="48"/>
      <c r="E335" s="49"/>
      <c r="F335" s="49"/>
      <c r="G335" s="49"/>
      <c r="H335" s="49"/>
      <c r="I335" s="49"/>
      <c r="J335" s="49"/>
      <c r="K335" s="24"/>
      <c r="L335" s="24"/>
      <c r="M335" s="103"/>
    </row>
    <row r="336" spans="1:13" ht="22.5" customHeight="1">
      <c r="A336" s="50"/>
      <c r="B336" s="17"/>
      <c r="C336" s="102"/>
      <c r="D336" s="48"/>
      <c r="E336" s="49"/>
      <c r="F336" s="49"/>
      <c r="G336" s="49"/>
      <c r="H336" s="49"/>
      <c r="I336" s="49"/>
      <c r="J336" s="49"/>
      <c r="K336" s="24"/>
      <c r="L336" s="24"/>
      <c r="M336" s="103"/>
    </row>
    <row r="337" spans="1:13" ht="22.5" customHeight="1">
      <c r="A337" s="50"/>
      <c r="B337" s="17"/>
      <c r="C337" s="102"/>
      <c r="D337" s="48"/>
      <c r="E337" s="49"/>
      <c r="F337" s="49"/>
      <c r="G337" s="49"/>
      <c r="H337" s="49"/>
      <c r="I337" s="49"/>
      <c r="J337" s="49"/>
      <c r="K337" s="24"/>
      <c r="L337" s="24"/>
      <c r="M337" s="103"/>
    </row>
    <row r="338" spans="1:13" ht="22.5" customHeight="1">
      <c r="A338" s="50"/>
      <c r="B338" s="17"/>
      <c r="C338" s="102"/>
      <c r="D338" s="48"/>
      <c r="E338" s="49"/>
      <c r="F338" s="49"/>
      <c r="G338" s="49"/>
      <c r="H338" s="49"/>
      <c r="I338" s="49"/>
      <c r="J338" s="49"/>
      <c r="K338" s="24"/>
      <c r="L338" s="24"/>
      <c r="M338" s="103"/>
    </row>
    <row r="339" spans="1:13" ht="22.5" customHeight="1">
      <c r="A339" s="50"/>
      <c r="B339" s="17"/>
      <c r="C339" s="102"/>
      <c r="D339" s="48"/>
      <c r="E339" s="49"/>
      <c r="F339" s="49"/>
      <c r="G339" s="49"/>
      <c r="H339" s="49"/>
      <c r="I339" s="49"/>
      <c r="J339" s="49"/>
      <c r="K339" s="24"/>
      <c r="L339" s="24"/>
      <c r="M339" s="103"/>
    </row>
    <row r="340" spans="1:13" ht="22.5" customHeight="1">
      <c r="A340" s="50"/>
      <c r="B340" s="17"/>
      <c r="C340" s="102"/>
      <c r="D340" s="48"/>
      <c r="E340" s="49"/>
      <c r="F340" s="49"/>
      <c r="G340" s="49"/>
      <c r="H340" s="49"/>
      <c r="I340" s="49"/>
      <c r="J340" s="49"/>
      <c r="K340" s="24"/>
      <c r="L340" s="24"/>
      <c r="M340" s="103"/>
    </row>
    <row r="341" spans="1:13" ht="22.5" customHeight="1">
      <c r="A341" s="50"/>
      <c r="B341" s="17"/>
      <c r="C341" s="102"/>
      <c r="D341" s="48"/>
      <c r="E341" s="49"/>
      <c r="F341" s="49"/>
      <c r="G341" s="49"/>
      <c r="H341" s="49"/>
      <c r="I341" s="49"/>
      <c r="J341" s="49"/>
      <c r="K341" s="24"/>
      <c r="L341" s="24"/>
      <c r="M341" s="103"/>
    </row>
    <row r="342" spans="1:13" ht="22.5" customHeight="1">
      <c r="A342" s="50"/>
      <c r="B342" s="17"/>
      <c r="C342" s="102"/>
      <c r="D342" s="48"/>
      <c r="E342" s="49"/>
      <c r="F342" s="49"/>
      <c r="G342" s="49"/>
      <c r="H342" s="49"/>
      <c r="I342" s="49"/>
      <c r="J342" s="49"/>
      <c r="K342" s="24"/>
      <c r="L342" s="24"/>
      <c r="M342" s="103"/>
    </row>
    <row r="343" spans="1:13" ht="22.5" customHeight="1">
      <c r="A343" s="50"/>
      <c r="B343" s="17"/>
      <c r="C343" s="102"/>
      <c r="D343" s="48"/>
      <c r="E343" s="49"/>
      <c r="F343" s="49"/>
      <c r="G343" s="49"/>
      <c r="H343" s="49"/>
      <c r="I343" s="49"/>
      <c r="J343" s="49"/>
      <c r="K343" s="24"/>
      <c r="L343" s="24"/>
      <c r="M343" s="103"/>
    </row>
    <row r="344" spans="1:13" ht="22.5" customHeight="1">
      <c r="A344" s="50"/>
      <c r="B344" s="17"/>
      <c r="C344" s="102"/>
      <c r="D344" s="48"/>
      <c r="E344" s="49"/>
      <c r="F344" s="49"/>
      <c r="G344" s="49"/>
      <c r="H344" s="49"/>
      <c r="I344" s="49"/>
      <c r="J344" s="49"/>
      <c r="K344" s="24"/>
      <c r="L344" s="24"/>
      <c r="M344" s="103"/>
    </row>
    <row r="345" spans="1:13" ht="22.5" customHeight="1">
      <c r="A345" s="50"/>
      <c r="B345" s="17"/>
      <c r="C345" s="102"/>
      <c r="D345" s="48"/>
      <c r="E345" s="49"/>
      <c r="F345" s="49"/>
      <c r="G345" s="49"/>
      <c r="H345" s="49"/>
      <c r="I345" s="49"/>
      <c r="J345" s="49"/>
      <c r="K345" s="24"/>
      <c r="L345" s="24"/>
      <c r="M345" s="103"/>
    </row>
    <row r="346" spans="1:13" ht="22.5" customHeight="1">
      <c r="A346" s="50"/>
      <c r="B346" s="17"/>
      <c r="C346" s="102"/>
      <c r="D346" s="48"/>
      <c r="E346" s="49"/>
      <c r="F346" s="49"/>
      <c r="G346" s="49"/>
      <c r="H346" s="49"/>
      <c r="I346" s="49"/>
      <c r="J346" s="49"/>
      <c r="K346" s="24"/>
      <c r="L346" s="24"/>
      <c r="M346" s="103"/>
    </row>
    <row r="347" spans="1:13" ht="22.5" customHeight="1">
      <c r="A347" s="50"/>
      <c r="B347" s="17"/>
      <c r="C347" s="102"/>
      <c r="D347" s="48"/>
      <c r="E347" s="49"/>
      <c r="F347" s="49"/>
      <c r="G347" s="49"/>
      <c r="H347" s="49"/>
      <c r="I347" s="49"/>
      <c r="J347" s="49"/>
      <c r="K347" s="24"/>
      <c r="L347" s="24"/>
      <c r="M347" s="103"/>
    </row>
    <row r="348" spans="1:13" ht="22.5" customHeight="1">
      <c r="A348" s="50"/>
      <c r="B348" s="17"/>
      <c r="C348" s="102"/>
      <c r="D348" s="48"/>
      <c r="E348" s="49"/>
      <c r="F348" s="49"/>
      <c r="G348" s="49"/>
      <c r="H348" s="49"/>
      <c r="I348" s="49"/>
      <c r="J348" s="49"/>
      <c r="K348" s="24"/>
      <c r="L348" s="24"/>
      <c r="M348" s="103"/>
    </row>
    <row r="349" spans="1:13" ht="22.5" customHeight="1">
      <c r="A349" s="50"/>
      <c r="B349" s="17"/>
      <c r="C349" s="102"/>
      <c r="D349" s="48"/>
      <c r="E349" s="49"/>
      <c r="F349" s="49"/>
      <c r="G349" s="49"/>
      <c r="H349" s="49"/>
      <c r="I349" s="49"/>
      <c r="J349" s="49"/>
      <c r="K349" s="24"/>
      <c r="L349" s="24"/>
      <c r="M349" s="103"/>
    </row>
    <row r="350" spans="1:13" ht="22.5" customHeight="1">
      <c r="A350" s="50"/>
      <c r="B350" s="17"/>
      <c r="C350" s="102"/>
      <c r="D350" s="48"/>
      <c r="E350" s="49"/>
      <c r="F350" s="49"/>
      <c r="G350" s="49"/>
      <c r="H350" s="49"/>
      <c r="I350" s="49"/>
      <c r="J350" s="49"/>
      <c r="K350" s="24"/>
      <c r="L350" s="24"/>
      <c r="M350" s="103"/>
    </row>
    <row r="351" spans="1:13" ht="22.5" customHeight="1">
      <c r="A351" s="50"/>
      <c r="B351" s="17"/>
      <c r="C351" s="102"/>
      <c r="D351" s="48"/>
      <c r="E351" s="49"/>
      <c r="F351" s="49"/>
      <c r="G351" s="49"/>
      <c r="H351" s="49"/>
      <c r="I351" s="49"/>
      <c r="J351" s="49"/>
      <c r="K351" s="24"/>
      <c r="L351" s="24"/>
      <c r="M351" s="103"/>
    </row>
    <row r="352" spans="1:13" ht="22.5" customHeight="1">
      <c r="A352" s="50"/>
      <c r="B352" s="17"/>
      <c r="C352" s="102"/>
      <c r="D352" s="48"/>
      <c r="E352" s="49"/>
      <c r="F352" s="49"/>
      <c r="G352" s="49"/>
      <c r="H352" s="49"/>
      <c r="I352" s="49"/>
      <c r="J352" s="49"/>
      <c r="K352" s="24"/>
      <c r="L352" s="24"/>
      <c r="M352" s="103"/>
    </row>
    <row r="353" spans="1:13" ht="22.5" customHeight="1">
      <c r="A353" s="50"/>
      <c r="B353" s="17"/>
      <c r="C353" s="102"/>
      <c r="D353" s="48"/>
      <c r="E353" s="49"/>
      <c r="F353" s="49"/>
      <c r="G353" s="49"/>
      <c r="H353" s="49"/>
      <c r="I353" s="49"/>
      <c r="J353" s="49"/>
      <c r="K353" s="24"/>
      <c r="L353" s="24"/>
      <c r="M353" s="103"/>
    </row>
    <row r="354" spans="1:13" ht="22.5" customHeight="1">
      <c r="A354" s="50"/>
      <c r="B354" s="17"/>
      <c r="C354" s="102"/>
      <c r="D354" s="48"/>
      <c r="E354" s="49"/>
      <c r="F354" s="49"/>
      <c r="G354" s="49"/>
      <c r="H354" s="49"/>
      <c r="I354" s="49"/>
      <c r="J354" s="49"/>
      <c r="K354" s="24"/>
      <c r="L354" s="24"/>
      <c r="M354" s="103"/>
    </row>
    <row r="355" spans="1:13" ht="22.5" customHeight="1">
      <c r="A355" s="50"/>
      <c r="B355" s="17"/>
      <c r="C355" s="102"/>
      <c r="D355" s="48"/>
      <c r="E355" s="49"/>
      <c r="F355" s="49"/>
      <c r="G355" s="49"/>
      <c r="H355" s="49"/>
      <c r="I355" s="49"/>
      <c r="J355" s="49"/>
      <c r="K355" s="24"/>
      <c r="L355" s="24"/>
      <c r="M355" s="103"/>
    </row>
    <row r="356" spans="1:13" ht="22.5" customHeight="1">
      <c r="A356" s="50"/>
      <c r="B356" s="17"/>
      <c r="C356" s="102"/>
      <c r="D356" s="48"/>
      <c r="E356" s="49"/>
      <c r="F356" s="49"/>
      <c r="G356" s="49"/>
      <c r="H356" s="49"/>
      <c r="I356" s="49"/>
      <c r="J356" s="49"/>
      <c r="K356" s="24"/>
      <c r="L356" s="24"/>
      <c r="M356" s="103"/>
    </row>
    <row r="357" spans="1:13" ht="22.5" customHeight="1">
      <c r="A357" s="50"/>
      <c r="B357" s="17"/>
      <c r="C357" s="102"/>
      <c r="D357" s="48"/>
      <c r="E357" s="49"/>
      <c r="F357" s="49"/>
      <c r="G357" s="49"/>
      <c r="H357" s="49"/>
      <c r="I357" s="49"/>
      <c r="J357" s="49"/>
      <c r="K357" s="24"/>
      <c r="L357" s="24"/>
      <c r="M357" s="103"/>
    </row>
    <row r="358" spans="1:13" ht="22.5" customHeight="1">
      <c r="A358" s="50"/>
      <c r="B358" s="17"/>
      <c r="C358" s="102"/>
      <c r="D358" s="48"/>
      <c r="E358" s="49"/>
      <c r="F358" s="49"/>
      <c r="G358" s="49"/>
      <c r="H358" s="49"/>
      <c r="I358" s="49"/>
      <c r="J358" s="49"/>
      <c r="K358" s="24"/>
      <c r="L358" s="24"/>
      <c r="M358" s="103"/>
    </row>
    <row r="359" spans="1:13" ht="22.5" customHeight="1">
      <c r="A359" s="50"/>
      <c r="B359" s="17"/>
      <c r="C359" s="102"/>
      <c r="D359" s="48"/>
      <c r="E359" s="49"/>
      <c r="F359" s="49"/>
      <c r="G359" s="49"/>
      <c r="H359" s="49"/>
      <c r="I359" s="49"/>
      <c r="J359" s="49"/>
      <c r="K359" s="24"/>
      <c r="L359" s="24"/>
      <c r="M359" s="103"/>
    </row>
    <row r="360" spans="1:13" ht="22.5" customHeight="1">
      <c r="A360" s="50"/>
      <c r="B360" s="17"/>
      <c r="C360" s="102"/>
      <c r="D360" s="48"/>
      <c r="E360" s="49"/>
      <c r="F360" s="49"/>
      <c r="G360" s="49"/>
      <c r="H360" s="49"/>
      <c r="I360" s="49"/>
      <c r="J360" s="49"/>
      <c r="K360" s="24"/>
      <c r="L360" s="24"/>
      <c r="M360" s="103"/>
    </row>
    <row r="361" spans="1:13" ht="22.5" customHeight="1">
      <c r="A361" s="50"/>
      <c r="B361" s="17"/>
      <c r="C361" s="102"/>
      <c r="D361" s="48"/>
      <c r="E361" s="49"/>
      <c r="F361" s="49"/>
      <c r="G361" s="49"/>
      <c r="H361" s="49"/>
      <c r="I361" s="49"/>
      <c r="J361" s="49"/>
      <c r="K361" s="24"/>
      <c r="L361" s="24"/>
      <c r="M361" s="103"/>
    </row>
    <row r="362" spans="1:13" ht="22.5" customHeight="1">
      <c r="A362" s="50"/>
      <c r="B362" s="17"/>
      <c r="C362" s="102"/>
      <c r="D362" s="48"/>
      <c r="E362" s="49"/>
      <c r="F362" s="49"/>
      <c r="G362" s="49"/>
      <c r="H362" s="49"/>
      <c r="I362" s="49"/>
      <c r="J362" s="49"/>
      <c r="K362" s="24"/>
      <c r="L362" s="24"/>
      <c r="M362" s="103"/>
    </row>
    <row r="363" spans="1:13" ht="22.5" customHeight="1">
      <c r="A363" s="50"/>
      <c r="B363" s="17"/>
      <c r="C363" s="102"/>
      <c r="D363" s="48"/>
      <c r="E363" s="49"/>
      <c r="F363" s="49"/>
      <c r="G363" s="49"/>
      <c r="H363" s="49"/>
      <c r="I363" s="49"/>
      <c r="J363" s="49"/>
      <c r="K363" s="24"/>
      <c r="L363" s="24"/>
      <c r="M363" s="103"/>
    </row>
    <row r="364" spans="1:13" ht="22.5" customHeight="1">
      <c r="A364" s="50"/>
      <c r="B364" s="17"/>
      <c r="C364" s="102"/>
      <c r="D364" s="48"/>
      <c r="E364" s="49"/>
      <c r="F364" s="49"/>
      <c r="G364" s="49"/>
      <c r="H364" s="49"/>
      <c r="I364" s="49"/>
      <c r="J364" s="49"/>
      <c r="K364" s="24"/>
      <c r="L364" s="24"/>
      <c r="M364" s="103"/>
    </row>
    <row r="365" spans="1:13" ht="22.5" customHeight="1">
      <c r="A365" s="50"/>
      <c r="B365" s="17"/>
      <c r="C365" s="102"/>
      <c r="D365" s="48"/>
      <c r="E365" s="49"/>
      <c r="F365" s="49"/>
      <c r="G365" s="49"/>
      <c r="H365" s="49"/>
      <c r="I365" s="49"/>
      <c r="J365" s="49"/>
      <c r="K365" s="24"/>
      <c r="L365" s="24"/>
      <c r="M365" s="103"/>
    </row>
    <row r="366" spans="1:13" ht="22.5" customHeight="1">
      <c r="A366" s="50"/>
      <c r="B366" s="17"/>
      <c r="C366" s="102"/>
      <c r="D366" s="48"/>
      <c r="E366" s="49"/>
      <c r="F366" s="49"/>
      <c r="G366" s="49"/>
      <c r="H366" s="49"/>
      <c r="I366" s="49"/>
      <c r="J366" s="49"/>
      <c r="K366" s="24"/>
      <c r="L366" s="24"/>
      <c r="M366" s="103"/>
    </row>
    <row r="367" spans="1:13" ht="22.5" customHeight="1">
      <c r="A367" s="50"/>
      <c r="B367" s="17"/>
      <c r="C367" s="102"/>
      <c r="D367" s="48"/>
      <c r="E367" s="49"/>
      <c r="F367" s="49"/>
      <c r="G367" s="49"/>
      <c r="H367" s="49"/>
      <c r="I367" s="49"/>
      <c r="J367" s="49"/>
      <c r="K367" s="24"/>
      <c r="L367" s="24"/>
      <c r="M367" s="103"/>
    </row>
    <row r="368" spans="1:13" ht="22.5" customHeight="1">
      <c r="A368" s="50"/>
      <c r="B368" s="17"/>
      <c r="C368" s="102"/>
      <c r="D368" s="48"/>
      <c r="E368" s="49"/>
      <c r="F368" s="49"/>
      <c r="G368" s="49"/>
      <c r="H368" s="49"/>
      <c r="I368" s="49"/>
      <c r="J368" s="49"/>
      <c r="K368" s="24"/>
      <c r="L368" s="24"/>
      <c r="M368" s="103"/>
    </row>
    <row r="369" spans="1:13" ht="22.5" customHeight="1">
      <c r="A369" s="50"/>
      <c r="B369" s="17"/>
      <c r="C369" s="102"/>
      <c r="D369" s="48"/>
      <c r="E369" s="49"/>
      <c r="F369" s="49"/>
      <c r="G369" s="49"/>
      <c r="H369" s="49"/>
      <c r="I369" s="49"/>
      <c r="J369" s="49"/>
      <c r="K369" s="24"/>
      <c r="L369" s="24"/>
      <c r="M369" s="103"/>
    </row>
    <row r="370" spans="1:13" ht="22.5" customHeight="1">
      <c r="A370" s="50"/>
      <c r="B370" s="17"/>
      <c r="C370" s="102"/>
      <c r="D370" s="48"/>
      <c r="E370" s="49"/>
      <c r="F370" s="49"/>
      <c r="G370" s="49"/>
      <c r="H370" s="49"/>
      <c r="I370" s="49"/>
      <c r="J370" s="49"/>
      <c r="K370" s="24"/>
      <c r="L370" s="24"/>
      <c r="M370" s="103"/>
    </row>
    <row r="371" spans="1:13" ht="22.5" customHeight="1">
      <c r="A371" s="50"/>
      <c r="B371" s="17"/>
      <c r="C371" s="102"/>
      <c r="D371" s="48"/>
      <c r="E371" s="49"/>
      <c r="F371" s="49"/>
      <c r="G371" s="49"/>
      <c r="H371" s="49"/>
      <c r="I371" s="49"/>
      <c r="J371" s="49"/>
      <c r="K371" s="24"/>
      <c r="L371" s="24"/>
      <c r="M371" s="103"/>
    </row>
    <row r="372" spans="1:13" ht="22.5" customHeight="1">
      <c r="A372" s="50"/>
      <c r="B372" s="17"/>
      <c r="C372" s="102"/>
      <c r="D372" s="48"/>
      <c r="E372" s="49"/>
      <c r="F372" s="49"/>
      <c r="G372" s="49"/>
      <c r="H372" s="49"/>
      <c r="I372" s="49"/>
      <c r="J372" s="49"/>
      <c r="K372" s="24"/>
      <c r="L372" s="24"/>
      <c r="M372" s="103"/>
    </row>
    <row r="373" spans="1:13" ht="22.5" customHeight="1">
      <c r="A373" s="50"/>
      <c r="B373" s="17"/>
      <c r="C373" s="102"/>
      <c r="D373" s="48"/>
      <c r="E373" s="49"/>
      <c r="F373" s="49"/>
      <c r="G373" s="49"/>
      <c r="H373" s="49"/>
      <c r="I373" s="49"/>
      <c r="J373" s="49"/>
      <c r="K373" s="24"/>
      <c r="L373" s="24"/>
      <c r="M373" s="103"/>
    </row>
    <row r="374" spans="1:13" ht="22.5" customHeight="1">
      <c r="A374" s="50"/>
      <c r="B374" s="17"/>
      <c r="C374" s="102"/>
      <c r="D374" s="48"/>
      <c r="E374" s="49"/>
      <c r="F374" s="49"/>
      <c r="G374" s="49"/>
      <c r="H374" s="49"/>
      <c r="I374" s="49"/>
      <c r="J374" s="49"/>
      <c r="K374" s="24"/>
      <c r="L374" s="24"/>
      <c r="M374" s="103"/>
    </row>
    <row r="375" spans="1:13" ht="22.5" customHeight="1">
      <c r="A375" s="50"/>
      <c r="B375" s="17"/>
      <c r="C375" s="102"/>
      <c r="D375" s="48"/>
      <c r="E375" s="49"/>
      <c r="F375" s="49"/>
      <c r="G375" s="49"/>
      <c r="H375" s="49"/>
      <c r="I375" s="49"/>
      <c r="J375" s="49"/>
      <c r="K375" s="24"/>
      <c r="L375" s="24"/>
      <c r="M375" s="103"/>
    </row>
    <row r="376" spans="1:13" ht="22.5" customHeight="1">
      <c r="A376" s="50"/>
      <c r="B376" s="17"/>
      <c r="C376" s="102"/>
      <c r="D376" s="48"/>
      <c r="E376" s="49"/>
      <c r="F376" s="49"/>
      <c r="G376" s="49"/>
      <c r="H376" s="49"/>
      <c r="I376" s="49"/>
      <c r="J376" s="49"/>
      <c r="K376" s="24"/>
      <c r="L376" s="24"/>
      <c r="M376" s="103"/>
    </row>
    <row r="377" spans="1:13" ht="22.5" customHeight="1">
      <c r="A377" s="50"/>
      <c r="B377" s="17"/>
      <c r="C377" s="102"/>
      <c r="D377" s="48"/>
      <c r="E377" s="49"/>
      <c r="F377" s="49"/>
      <c r="G377" s="49"/>
      <c r="H377" s="49"/>
      <c r="I377" s="49"/>
      <c r="J377" s="49"/>
      <c r="K377" s="24"/>
      <c r="L377" s="24"/>
      <c r="M377" s="103"/>
    </row>
    <row r="378" spans="1:13" ht="22.5" customHeight="1">
      <c r="A378" s="50"/>
      <c r="B378" s="17"/>
      <c r="C378" s="102"/>
      <c r="D378" s="48"/>
      <c r="E378" s="49"/>
      <c r="F378" s="49"/>
      <c r="G378" s="49"/>
      <c r="H378" s="49"/>
      <c r="I378" s="49"/>
      <c r="J378" s="49"/>
      <c r="K378" s="24"/>
      <c r="L378" s="24"/>
      <c r="M378" s="103"/>
    </row>
    <row r="379" spans="1:13" ht="22.5" customHeight="1">
      <c r="A379" s="50"/>
      <c r="B379" s="17"/>
      <c r="C379" s="102"/>
      <c r="D379" s="48"/>
      <c r="E379" s="49"/>
      <c r="F379" s="49"/>
      <c r="G379" s="49"/>
      <c r="H379" s="49"/>
      <c r="I379" s="49"/>
      <c r="J379" s="49"/>
      <c r="K379" s="24"/>
      <c r="L379" s="24"/>
      <c r="M379" s="103"/>
    </row>
    <row r="380" spans="1:13" ht="22.5" customHeight="1">
      <c r="A380" s="50"/>
      <c r="B380" s="17"/>
      <c r="C380" s="102"/>
      <c r="D380" s="48"/>
      <c r="E380" s="49"/>
      <c r="F380" s="49"/>
      <c r="G380" s="49"/>
      <c r="H380" s="49"/>
      <c r="I380" s="49"/>
      <c r="J380" s="49"/>
      <c r="K380" s="24"/>
      <c r="L380" s="24"/>
      <c r="M380" s="103"/>
    </row>
    <row r="381" spans="1:13" ht="22.5" customHeight="1">
      <c r="A381" s="50"/>
      <c r="B381" s="17"/>
      <c r="C381" s="102"/>
      <c r="D381" s="48"/>
      <c r="E381" s="49"/>
      <c r="F381" s="49"/>
      <c r="G381" s="49"/>
      <c r="H381" s="49"/>
      <c r="I381" s="49"/>
      <c r="J381" s="49"/>
      <c r="K381" s="24"/>
      <c r="L381" s="24"/>
      <c r="M381" s="103"/>
    </row>
    <row r="382" spans="1:13" ht="22.5" customHeight="1">
      <c r="A382" s="50"/>
      <c r="B382" s="17"/>
      <c r="C382" s="102"/>
      <c r="D382" s="48"/>
      <c r="E382" s="49"/>
      <c r="F382" s="49"/>
      <c r="G382" s="49"/>
      <c r="H382" s="49"/>
      <c r="I382" s="49"/>
      <c r="J382" s="49"/>
      <c r="K382" s="24"/>
      <c r="L382" s="24"/>
      <c r="M382" s="103"/>
    </row>
    <row r="383" spans="1:13" ht="22.5" customHeight="1">
      <c r="A383" s="50"/>
      <c r="B383" s="17"/>
      <c r="C383" s="102"/>
      <c r="D383" s="48"/>
      <c r="E383" s="49"/>
      <c r="F383" s="49"/>
      <c r="G383" s="49"/>
      <c r="H383" s="49"/>
      <c r="I383" s="49"/>
      <c r="J383" s="49"/>
      <c r="K383" s="24"/>
      <c r="L383" s="24"/>
      <c r="M383" s="103"/>
    </row>
    <row r="384" spans="1:13" ht="22.5" customHeight="1">
      <c r="A384" s="50"/>
      <c r="B384" s="17"/>
      <c r="C384" s="102"/>
      <c r="D384" s="48"/>
      <c r="E384" s="49"/>
      <c r="F384" s="49"/>
      <c r="G384" s="49"/>
      <c r="H384" s="49"/>
      <c r="I384" s="49"/>
      <c r="J384" s="49"/>
      <c r="K384" s="24"/>
      <c r="L384" s="24"/>
      <c r="M384" s="103"/>
    </row>
    <row r="385" spans="1:13" ht="22.5" customHeight="1">
      <c r="A385" s="50"/>
      <c r="B385" s="17"/>
      <c r="C385" s="102"/>
      <c r="D385" s="48"/>
      <c r="E385" s="49"/>
      <c r="F385" s="49"/>
      <c r="G385" s="49"/>
      <c r="H385" s="49"/>
      <c r="I385" s="49"/>
      <c r="J385" s="49"/>
      <c r="K385" s="24"/>
      <c r="L385" s="24"/>
      <c r="M385" s="103"/>
    </row>
    <row r="386" spans="1:13" ht="22.5" customHeight="1">
      <c r="A386" s="50"/>
      <c r="B386" s="17"/>
      <c r="C386" s="102"/>
      <c r="D386" s="48"/>
      <c r="E386" s="49"/>
      <c r="F386" s="49"/>
      <c r="G386" s="49"/>
      <c r="H386" s="49"/>
      <c r="I386" s="49"/>
      <c r="J386" s="49"/>
      <c r="K386" s="24"/>
      <c r="L386" s="24"/>
      <c r="M386" s="103"/>
    </row>
    <row r="387" spans="1:13" ht="22.5" customHeight="1">
      <c r="A387" s="50"/>
      <c r="B387" s="17"/>
      <c r="C387" s="102"/>
      <c r="D387" s="48"/>
      <c r="E387" s="49"/>
      <c r="F387" s="49"/>
      <c r="G387" s="49"/>
      <c r="H387" s="49"/>
      <c r="I387" s="49"/>
      <c r="J387" s="49"/>
      <c r="K387" s="24"/>
      <c r="L387" s="24"/>
      <c r="M387" s="103"/>
    </row>
    <row r="388" spans="1:13" ht="22.5" customHeight="1">
      <c r="A388" s="50"/>
      <c r="B388" s="17"/>
      <c r="C388" s="102"/>
      <c r="D388" s="48"/>
      <c r="E388" s="49"/>
      <c r="F388" s="49"/>
      <c r="G388" s="49"/>
      <c r="H388" s="49"/>
      <c r="I388" s="49"/>
      <c r="J388" s="49"/>
      <c r="K388" s="24"/>
      <c r="L388" s="24"/>
      <c r="M388" s="103"/>
    </row>
    <row r="389" spans="1:13" ht="22.5" customHeight="1">
      <c r="A389" s="50"/>
      <c r="B389" s="17"/>
      <c r="C389" s="102"/>
      <c r="D389" s="48"/>
      <c r="E389" s="49"/>
      <c r="F389" s="49"/>
      <c r="G389" s="49"/>
      <c r="H389" s="49"/>
      <c r="I389" s="49"/>
      <c r="J389" s="49"/>
      <c r="K389" s="24"/>
      <c r="L389" s="24"/>
      <c r="M389" s="103"/>
    </row>
    <row r="390" spans="1:13" ht="22.5" customHeight="1">
      <c r="A390" s="50"/>
      <c r="B390" s="17"/>
      <c r="C390" s="102"/>
      <c r="D390" s="48"/>
      <c r="E390" s="49"/>
      <c r="F390" s="49"/>
      <c r="G390" s="49"/>
      <c r="H390" s="49"/>
      <c r="I390" s="49"/>
      <c r="J390" s="49"/>
      <c r="K390" s="24"/>
      <c r="L390" s="24"/>
      <c r="M390" s="103"/>
    </row>
    <row r="391" spans="1:13" ht="22.5" customHeight="1">
      <c r="A391" s="50"/>
      <c r="B391" s="17"/>
      <c r="C391" s="102"/>
      <c r="D391" s="48"/>
      <c r="E391" s="49"/>
      <c r="F391" s="49"/>
      <c r="G391" s="49"/>
      <c r="H391" s="49"/>
      <c r="I391" s="49"/>
      <c r="J391" s="49"/>
      <c r="K391" s="24"/>
      <c r="L391" s="24"/>
      <c r="M391" s="103"/>
    </row>
    <row r="392" spans="1:13" ht="22.5" customHeight="1">
      <c r="A392" s="50"/>
      <c r="B392" s="17"/>
      <c r="C392" s="102"/>
      <c r="D392" s="48"/>
      <c r="E392" s="49"/>
      <c r="F392" s="49"/>
      <c r="G392" s="49"/>
      <c r="H392" s="49"/>
      <c r="I392" s="49"/>
      <c r="J392" s="49"/>
      <c r="K392" s="24"/>
      <c r="L392" s="24"/>
      <c r="M392" s="103"/>
    </row>
    <row r="393" spans="1:13" ht="22.5" customHeight="1">
      <c r="A393" s="50"/>
      <c r="B393" s="17"/>
      <c r="C393" s="102"/>
      <c r="D393" s="48"/>
      <c r="E393" s="49"/>
      <c r="F393" s="49"/>
      <c r="G393" s="49"/>
      <c r="H393" s="49"/>
      <c r="I393" s="49"/>
      <c r="J393" s="49"/>
      <c r="K393" s="24"/>
      <c r="L393" s="24"/>
      <c r="M393" s="103"/>
    </row>
    <row r="394" spans="1:13" ht="22.5" customHeight="1">
      <c r="A394" s="50"/>
      <c r="B394" s="17"/>
      <c r="C394" s="102"/>
      <c r="D394" s="48"/>
      <c r="E394" s="49"/>
      <c r="F394" s="49"/>
      <c r="G394" s="49"/>
      <c r="H394" s="49"/>
      <c r="I394" s="49"/>
      <c r="J394" s="49"/>
      <c r="K394" s="24"/>
      <c r="L394" s="24"/>
      <c r="M394" s="103"/>
    </row>
    <row r="395" spans="1:13" ht="22.5" customHeight="1">
      <c r="A395" s="50"/>
      <c r="B395" s="17"/>
      <c r="C395" s="102"/>
      <c r="D395" s="48"/>
      <c r="E395" s="49"/>
      <c r="F395" s="49"/>
      <c r="G395" s="49"/>
      <c r="H395" s="49"/>
      <c r="I395" s="49"/>
      <c r="J395" s="49"/>
      <c r="K395" s="24"/>
      <c r="L395" s="24"/>
      <c r="M395" s="103"/>
    </row>
    <row r="396" spans="1:13" ht="22.5" customHeight="1">
      <c r="A396" s="50"/>
      <c r="B396" s="17"/>
      <c r="C396" s="102"/>
      <c r="D396" s="48"/>
      <c r="E396" s="49"/>
      <c r="F396" s="49"/>
      <c r="G396" s="49"/>
      <c r="H396" s="49"/>
      <c r="I396" s="49"/>
      <c r="J396" s="49"/>
      <c r="K396" s="24"/>
      <c r="L396" s="24"/>
      <c r="M396" s="103"/>
    </row>
    <row r="397" spans="1:13" ht="22.5" customHeight="1">
      <c r="A397" s="50"/>
      <c r="B397" s="17"/>
      <c r="C397" s="102"/>
      <c r="D397" s="48"/>
      <c r="E397" s="49"/>
      <c r="F397" s="49"/>
      <c r="G397" s="49"/>
      <c r="H397" s="49"/>
      <c r="I397" s="49"/>
      <c r="J397" s="49"/>
      <c r="K397" s="24"/>
      <c r="L397" s="24"/>
      <c r="M397" s="103"/>
    </row>
    <row r="398" spans="1:13" ht="22.5" customHeight="1">
      <c r="A398" s="50"/>
      <c r="B398" s="17"/>
      <c r="C398" s="102"/>
      <c r="D398" s="48"/>
      <c r="E398" s="49"/>
      <c r="F398" s="49"/>
      <c r="G398" s="49"/>
      <c r="H398" s="49"/>
      <c r="I398" s="49"/>
      <c r="J398" s="49"/>
      <c r="K398" s="24"/>
      <c r="L398" s="24"/>
      <c r="M398" s="103"/>
    </row>
    <row r="399" spans="1:13" ht="22.5" customHeight="1">
      <c r="A399" s="50"/>
      <c r="B399" s="17"/>
      <c r="C399" s="102"/>
      <c r="D399" s="48"/>
      <c r="E399" s="49"/>
      <c r="F399" s="49"/>
      <c r="G399" s="49"/>
      <c r="H399" s="49"/>
      <c r="I399" s="49"/>
      <c r="J399" s="49"/>
      <c r="K399" s="24"/>
      <c r="L399" s="24"/>
      <c r="M399" s="103"/>
    </row>
    <row r="400" spans="1:13" ht="22.5" customHeight="1">
      <c r="A400" s="50"/>
      <c r="B400" s="17"/>
      <c r="C400" s="102"/>
      <c r="D400" s="48"/>
      <c r="E400" s="49"/>
      <c r="F400" s="49"/>
      <c r="G400" s="49"/>
      <c r="H400" s="49"/>
      <c r="I400" s="49"/>
      <c r="J400" s="49"/>
      <c r="K400" s="24"/>
      <c r="L400" s="24"/>
      <c r="M400" s="103"/>
    </row>
    <row r="401" spans="1:13" ht="22.5" customHeight="1">
      <c r="A401" s="50"/>
      <c r="B401" s="17"/>
      <c r="C401" s="102"/>
      <c r="D401" s="48"/>
      <c r="E401" s="49"/>
      <c r="F401" s="49"/>
      <c r="G401" s="49"/>
      <c r="H401" s="49"/>
      <c r="I401" s="49"/>
      <c r="J401" s="49"/>
      <c r="K401" s="24"/>
      <c r="L401" s="24"/>
      <c r="M401" s="103"/>
    </row>
    <row r="402" spans="1:13" ht="22.5" customHeight="1">
      <c r="A402" s="50"/>
      <c r="B402" s="17"/>
      <c r="C402" s="102"/>
      <c r="D402" s="48"/>
      <c r="E402" s="49"/>
      <c r="F402" s="49"/>
      <c r="G402" s="49"/>
      <c r="H402" s="49"/>
      <c r="I402" s="49"/>
      <c r="J402" s="49"/>
      <c r="K402" s="24"/>
      <c r="L402" s="24"/>
      <c r="M402" s="103"/>
    </row>
    <row r="403" spans="1:13" ht="22.5" customHeight="1">
      <c r="A403" s="50"/>
      <c r="B403" s="17"/>
      <c r="C403" s="102"/>
      <c r="D403" s="48"/>
      <c r="E403" s="49"/>
      <c r="F403" s="49"/>
      <c r="G403" s="49"/>
      <c r="H403" s="49"/>
      <c r="I403" s="49"/>
      <c r="J403" s="49"/>
      <c r="K403" s="24"/>
      <c r="L403" s="24"/>
      <c r="M403" s="103"/>
    </row>
    <row r="404" spans="1:13" ht="22.5" customHeight="1">
      <c r="A404" s="50"/>
      <c r="B404" s="17"/>
      <c r="C404" s="102"/>
      <c r="D404" s="48"/>
      <c r="E404" s="49"/>
      <c r="F404" s="49"/>
      <c r="G404" s="49"/>
      <c r="H404" s="49"/>
      <c r="I404" s="49"/>
      <c r="J404" s="49"/>
      <c r="K404" s="24"/>
      <c r="L404" s="24"/>
      <c r="M404" s="103"/>
    </row>
    <row r="405" spans="1:13" ht="22.5" customHeight="1">
      <c r="A405" s="50"/>
      <c r="B405" s="17"/>
      <c r="C405" s="102"/>
      <c r="D405" s="48"/>
      <c r="E405" s="49"/>
      <c r="F405" s="49"/>
      <c r="G405" s="49"/>
      <c r="H405" s="49"/>
      <c r="I405" s="49"/>
      <c r="J405" s="49"/>
      <c r="K405" s="24"/>
      <c r="L405" s="24"/>
      <c r="M405" s="103"/>
    </row>
    <row r="406" spans="1:13" ht="22.5" customHeight="1">
      <c r="A406" s="50"/>
      <c r="B406" s="17"/>
      <c r="C406" s="102"/>
      <c r="D406" s="48"/>
      <c r="E406" s="49"/>
      <c r="F406" s="49"/>
      <c r="G406" s="49"/>
      <c r="H406" s="49"/>
      <c r="I406" s="49"/>
      <c r="J406" s="49"/>
      <c r="K406" s="24"/>
      <c r="L406" s="24"/>
      <c r="M406" s="103"/>
    </row>
    <row r="407" spans="1:13" ht="22.5" customHeight="1">
      <c r="A407" s="50"/>
      <c r="B407" s="17"/>
      <c r="C407" s="102"/>
      <c r="D407" s="48"/>
      <c r="E407" s="49"/>
      <c r="F407" s="49"/>
      <c r="G407" s="49"/>
      <c r="H407" s="49"/>
      <c r="I407" s="49"/>
      <c r="J407" s="49"/>
      <c r="K407" s="24"/>
      <c r="L407" s="24"/>
      <c r="M407" s="103"/>
    </row>
    <row r="408" spans="1:13" ht="22.5" customHeight="1">
      <c r="A408" s="50"/>
      <c r="B408" s="17"/>
      <c r="C408" s="102"/>
      <c r="D408" s="48"/>
      <c r="E408" s="49"/>
      <c r="F408" s="49"/>
      <c r="G408" s="49"/>
      <c r="H408" s="49"/>
      <c r="I408" s="49"/>
      <c r="J408" s="49"/>
      <c r="K408" s="24"/>
      <c r="L408" s="24"/>
      <c r="M408" s="103"/>
    </row>
    <row r="409" spans="1:13" ht="22.5" customHeight="1">
      <c r="A409" s="50"/>
      <c r="B409" s="17"/>
      <c r="C409" s="102"/>
      <c r="D409" s="48"/>
      <c r="E409" s="49"/>
      <c r="F409" s="49"/>
      <c r="G409" s="49"/>
      <c r="H409" s="49"/>
      <c r="I409" s="49"/>
      <c r="J409" s="49"/>
      <c r="K409" s="24"/>
      <c r="L409" s="24"/>
      <c r="M409" s="103"/>
    </row>
    <row r="410" spans="1:13" ht="22.5" customHeight="1">
      <c r="A410" s="50"/>
      <c r="B410" s="17"/>
      <c r="C410" s="102"/>
      <c r="D410" s="48"/>
      <c r="E410" s="49"/>
      <c r="F410" s="49"/>
      <c r="G410" s="49"/>
      <c r="H410" s="49"/>
      <c r="I410" s="49"/>
      <c r="J410" s="49"/>
      <c r="K410" s="24"/>
      <c r="L410" s="24"/>
      <c r="M410" s="103"/>
    </row>
    <row r="411" spans="1:13" ht="22.5" customHeight="1">
      <c r="A411" s="50"/>
      <c r="B411" s="17"/>
      <c r="C411" s="102"/>
      <c r="D411" s="48"/>
      <c r="E411" s="49"/>
      <c r="F411" s="49"/>
      <c r="G411" s="49"/>
      <c r="H411" s="49"/>
      <c r="I411" s="49"/>
      <c r="J411" s="49"/>
      <c r="K411" s="24"/>
      <c r="L411" s="24"/>
      <c r="M411" s="103"/>
    </row>
    <row r="412" spans="1:13" ht="22.5" customHeight="1">
      <c r="A412" s="50"/>
      <c r="B412" s="17"/>
      <c r="C412" s="102"/>
      <c r="D412" s="48"/>
      <c r="E412" s="49"/>
      <c r="F412" s="49"/>
      <c r="G412" s="49"/>
      <c r="H412" s="49"/>
      <c r="I412" s="49"/>
      <c r="J412" s="49"/>
      <c r="K412" s="24"/>
      <c r="L412" s="24"/>
      <c r="M412" s="103"/>
    </row>
    <row r="413" spans="1:13" ht="22.5" customHeight="1">
      <c r="A413" s="50"/>
      <c r="B413" s="17"/>
      <c r="C413" s="102"/>
      <c r="D413" s="48"/>
      <c r="E413" s="49"/>
      <c r="F413" s="49"/>
      <c r="G413" s="49"/>
      <c r="H413" s="49"/>
      <c r="I413" s="49"/>
      <c r="J413" s="49"/>
      <c r="K413" s="24"/>
      <c r="L413" s="24"/>
      <c r="M413" s="103"/>
    </row>
    <row r="414" spans="1:13" ht="22.5" customHeight="1">
      <c r="A414" s="50"/>
      <c r="B414" s="17"/>
      <c r="C414" s="102"/>
      <c r="D414" s="48"/>
      <c r="E414" s="49"/>
      <c r="F414" s="49"/>
      <c r="G414" s="49"/>
      <c r="H414" s="49"/>
      <c r="I414" s="49"/>
      <c r="J414" s="49"/>
      <c r="K414" s="24"/>
      <c r="L414" s="24"/>
      <c r="M414" s="103"/>
    </row>
    <row r="415" spans="1:13" ht="22.5" customHeight="1">
      <c r="A415" s="50"/>
      <c r="B415" s="17"/>
      <c r="C415" s="102"/>
      <c r="D415" s="48"/>
      <c r="E415" s="49"/>
      <c r="F415" s="49"/>
      <c r="G415" s="49"/>
      <c r="H415" s="49"/>
      <c r="I415" s="49"/>
      <c r="J415" s="49"/>
      <c r="K415" s="24"/>
      <c r="L415" s="24"/>
      <c r="M415" s="103"/>
    </row>
    <row r="416" spans="1:13" ht="22.5" customHeight="1">
      <c r="A416" s="50"/>
      <c r="B416" s="17"/>
      <c r="C416" s="102"/>
      <c r="D416" s="48"/>
      <c r="E416" s="49"/>
      <c r="F416" s="49"/>
      <c r="G416" s="49"/>
      <c r="H416" s="49"/>
      <c r="I416" s="49"/>
      <c r="J416" s="49"/>
      <c r="K416" s="24"/>
      <c r="L416" s="24"/>
      <c r="M416" s="103"/>
    </row>
    <row r="417" spans="1:13" ht="22.5" customHeight="1">
      <c r="A417" s="50"/>
      <c r="B417" s="17"/>
      <c r="C417" s="102"/>
      <c r="D417" s="48"/>
      <c r="E417" s="49"/>
      <c r="F417" s="49"/>
      <c r="G417" s="49"/>
      <c r="H417" s="49"/>
      <c r="I417" s="49"/>
      <c r="J417" s="49"/>
      <c r="K417" s="24"/>
      <c r="L417" s="24"/>
      <c r="M417" s="103"/>
    </row>
    <row r="418" spans="1:13" ht="22.5" customHeight="1">
      <c r="A418" s="50"/>
      <c r="B418" s="17"/>
      <c r="C418" s="102"/>
      <c r="D418" s="48"/>
      <c r="E418" s="49"/>
      <c r="F418" s="49"/>
      <c r="G418" s="49"/>
      <c r="H418" s="49"/>
      <c r="I418" s="49"/>
      <c r="J418" s="49"/>
      <c r="K418" s="24"/>
      <c r="L418" s="24"/>
      <c r="M418" s="103"/>
    </row>
    <row r="419" spans="1:13" ht="22.5" customHeight="1">
      <c r="A419" s="50"/>
      <c r="B419" s="17"/>
      <c r="C419" s="102"/>
      <c r="D419" s="48"/>
      <c r="E419" s="49"/>
      <c r="F419" s="49"/>
      <c r="G419" s="49"/>
      <c r="H419" s="49"/>
      <c r="I419" s="49"/>
      <c r="J419" s="49"/>
      <c r="K419" s="24"/>
      <c r="L419" s="24"/>
      <c r="M419" s="103"/>
    </row>
    <row r="420" spans="1:13" ht="22.5" customHeight="1">
      <c r="A420" s="50"/>
      <c r="B420" s="17"/>
      <c r="C420" s="102"/>
      <c r="D420" s="48"/>
      <c r="E420" s="49"/>
      <c r="F420" s="49"/>
      <c r="G420" s="49"/>
      <c r="H420" s="49"/>
      <c r="I420" s="49"/>
      <c r="J420" s="49"/>
      <c r="K420" s="24"/>
      <c r="L420" s="24"/>
      <c r="M420" s="103"/>
    </row>
    <row r="421" spans="1:13" ht="22.5" customHeight="1">
      <c r="A421" s="50"/>
      <c r="B421" s="17"/>
      <c r="C421" s="102"/>
      <c r="D421" s="48"/>
      <c r="E421" s="49"/>
      <c r="F421" s="49"/>
      <c r="G421" s="49"/>
      <c r="H421" s="49"/>
      <c r="I421" s="49"/>
      <c r="J421" s="49"/>
      <c r="K421" s="24"/>
      <c r="L421" s="24"/>
      <c r="M421" s="103"/>
    </row>
    <row r="422" spans="1:13" ht="22.5" customHeight="1">
      <c r="A422" s="50"/>
      <c r="B422" s="17"/>
      <c r="C422" s="102"/>
      <c r="D422" s="48"/>
      <c r="E422" s="49"/>
      <c r="F422" s="49"/>
      <c r="G422" s="49"/>
      <c r="H422" s="49"/>
      <c r="I422" s="49"/>
      <c r="J422" s="49"/>
      <c r="K422" s="24"/>
      <c r="L422" s="24"/>
      <c r="M422" s="103"/>
    </row>
    <row r="423" spans="1:13" ht="22.5" customHeight="1">
      <c r="A423" s="50"/>
      <c r="B423" s="17"/>
      <c r="C423" s="102"/>
      <c r="D423" s="48"/>
      <c r="E423" s="49"/>
      <c r="F423" s="49"/>
      <c r="G423" s="49"/>
      <c r="H423" s="49"/>
      <c r="I423" s="49"/>
      <c r="J423" s="49"/>
      <c r="K423" s="24"/>
      <c r="L423" s="24"/>
      <c r="M423" s="103"/>
    </row>
    <row r="424" spans="1:13" ht="22.5" customHeight="1">
      <c r="A424" s="50"/>
      <c r="B424" s="17"/>
      <c r="C424" s="102"/>
      <c r="D424" s="48"/>
      <c r="E424" s="49"/>
      <c r="F424" s="49"/>
      <c r="G424" s="49"/>
      <c r="H424" s="49"/>
      <c r="I424" s="49"/>
      <c r="J424" s="49"/>
      <c r="K424" s="24"/>
      <c r="L424" s="24"/>
      <c r="M424" s="103"/>
    </row>
    <row r="425" spans="1:13" ht="22.5" customHeight="1">
      <c r="A425" s="50"/>
      <c r="B425" s="17"/>
      <c r="C425" s="102"/>
      <c r="D425" s="48"/>
      <c r="E425" s="49"/>
      <c r="F425" s="49"/>
      <c r="G425" s="49"/>
      <c r="H425" s="49"/>
      <c r="I425" s="49"/>
      <c r="J425" s="49"/>
      <c r="K425" s="24"/>
      <c r="L425" s="24"/>
      <c r="M425" s="103"/>
    </row>
    <row r="426" spans="1:13" ht="22.5" customHeight="1">
      <c r="A426" s="50"/>
      <c r="B426" s="17"/>
      <c r="C426" s="102"/>
      <c r="D426" s="48"/>
      <c r="E426" s="49"/>
      <c r="F426" s="49"/>
      <c r="G426" s="49"/>
      <c r="H426" s="49"/>
      <c r="I426" s="49"/>
      <c r="J426" s="49"/>
      <c r="K426" s="24"/>
      <c r="L426" s="24"/>
      <c r="M426" s="103"/>
    </row>
    <row r="427" spans="1:13" ht="22.5" customHeight="1">
      <c r="A427" s="50"/>
      <c r="B427" s="17"/>
      <c r="C427" s="102"/>
      <c r="D427" s="48"/>
      <c r="E427" s="49"/>
      <c r="F427" s="49"/>
      <c r="G427" s="49"/>
      <c r="H427" s="49"/>
      <c r="I427" s="49"/>
      <c r="J427" s="49"/>
      <c r="K427" s="24"/>
      <c r="L427" s="24"/>
      <c r="M427" s="103"/>
    </row>
    <row r="428" spans="1:13" ht="22.5" customHeight="1">
      <c r="A428" s="50"/>
      <c r="B428" s="17"/>
      <c r="C428" s="102"/>
      <c r="D428" s="48"/>
      <c r="E428" s="49"/>
      <c r="F428" s="49"/>
      <c r="G428" s="49"/>
      <c r="H428" s="49"/>
      <c r="I428" s="49"/>
      <c r="J428" s="49"/>
      <c r="K428" s="24"/>
      <c r="L428" s="24"/>
      <c r="M428" s="103"/>
    </row>
    <row r="429" spans="1:13" ht="22.5" customHeight="1">
      <c r="A429" s="50"/>
      <c r="B429" s="17"/>
      <c r="C429" s="102"/>
      <c r="D429" s="48"/>
      <c r="E429" s="49"/>
      <c r="F429" s="49"/>
      <c r="G429" s="49"/>
      <c r="H429" s="49"/>
      <c r="I429" s="49"/>
      <c r="J429" s="49"/>
      <c r="K429" s="24"/>
      <c r="L429" s="24"/>
      <c r="M429" s="103"/>
    </row>
    <row r="430" spans="1:13" ht="22.5" customHeight="1">
      <c r="A430" s="50"/>
      <c r="B430" s="17"/>
      <c r="C430" s="102"/>
      <c r="D430" s="48"/>
      <c r="E430" s="49"/>
      <c r="F430" s="49"/>
      <c r="G430" s="49"/>
      <c r="H430" s="49"/>
      <c r="I430" s="49"/>
      <c r="J430" s="49"/>
      <c r="K430" s="24"/>
      <c r="L430" s="24"/>
      <c r="M430" s="103"/>
    </row>
    <row r="431" spans="1:13" ht="22.5" customHeight="1">
      <c r="A431" s="50"/>
      <c r="B431" s="17"/>
      <c r="C431" s="102"/>
      <c r="D431" s="48"/>
      <c r="E431" s="49"/>
      <c r="F431" s="49"/>
      <c r="G431" s="49"/>
      <c r="H431" s="49"/>
      <c r="I431" s="49"/>
      <c r="J431" s="49"/>
      <c r="K431" s="24"/>
      <c r="L431" s="24"/>
      <c r="M431" s="103"/>
    </row>
    <row r="432" spans="1:13" ht="22.5" customHeight="1">
      <c r="A432" s="50"/>
      <c r="B432" s="17"/>
      <c r="C432" s="102"/>
      <c r="D432" s="48"/>
      <c r="E432" s="49"/>
      <c r="F432" s="49"/>
      <c r="G432" s="49"/>
      <c r="H432" s="49"/>
      <c r="I432" s="49"/>
      <c r="J432" s="49"/>
      <c r="K432" s="24"/>
      <c r="L432" s="24"/>
      <c r="M432" s="103"/>
    </row>
    <row r="433" spans="1:13" ht="22.5" customHeight="1">
      <c r="A433" s="50"/>
      <c r="B433" s="17"/>
      <c r="C433" s="102"/>
      <c r="D433" s="48"/>
      <c r="E433" s="49"/>
      <c r="F433" s="49"/>
      <c r="G433" s="49"/>
      <c r="H433" s="49"/>
      <c r="I433" s="49"/>
      <c r="J433" s="49"/>
      <c r="K433" s="24"/>
      <c r="L433" s="24"/>
      <c r="M433" s="103"/>
    </row>
    <row r="434" spans="1:13" ht="22.5" customHeight="1">
      <c r="A434" s="50"/>
      <c r="B434" s="17"/>
      <c r="C434" s="102"/>
      <c r="D434" s="48"/>
      <c r="E434" s="49"/>
      <c r="F434" s="49"/>
      <c r="G434" s="49"/>
      <c r="H434" s="49"/>
      <c r="I434" s="49"/>
      <c r="J434" s="49"/>
      <c r="K434" s="24"/>
      <c r="L434" s="24"/>
      <c r="M434" s="103"/>
    </row>
    <row r="435" spans="1:13" ht="22.5" customHeight="1">
      <c r="A435" s="50"/>
      <c r="B435" s="17"/>
      <c r="C435" s="102"/>
      <c r="D435" s="48"/>
      <c r="E435" s="49"/>
      <c r="F435" s="49"/>
      <c r="G435" s="49"/>
      <c r="H435" s="49"/>
      <c r="I435" s="49"/>
      <c r="J435" s="49"/>
      <c r="K435" s="24"/>
      <c r="L435" s="24"/>
      <c r="M435" s="103"/>
    </row>
    <row r="436" spans="1:13" ht="22.5" customHeight="1">
      <c r="A436" s="50"/>
      <c r="B436" s="17"/>
      <c r="C436" s="102"/>
      <c r="D436" s="48"/>
      <c r="E436" s="49"/>
      <c r="F436" s="49"/>
      <c r="G436" s="49"/>
      <c r="H436" s="49"/>
      <c r="I436" s="49"/>
      <c r="J436" s="49"/>
      <c r="K436" s="24"/>
      <c r="L436" s="24"/>
      <c r="M436" s="103"/>
    </row>
    <row r="437" spans="1:13" ht="22.5" customHeight="1">
      <c r="A437" s="50"/>
      <c r="B437" s="17"/>
      <c r="C437" s="102"/>
      <c r="D437" s="48"/>
      <c r="E437" s="49"/>
      <c r="F437" s="49"/>
      <c r="G437" s="49"/>
      <c r="H437" s="49"/>
      <c r="I437" s="49"/>
      <c r="J437" s="49"/>
      <c r="K437" s="24"/>
      <c r="L437" s="24"/>
      <c r="M437" s="103"/>
    </row>
    <row r="438" spans="1:13" ht="22.5" customHeight="1">
      <c r="A438" s="50"/>
      <c r="B438" s="17"/>
      <c r="C438" s="102"/>
      <c r="D438" s="48"/>
      <c r="E438" s="49"/>
      <c r="F438" s="49"/>
      <c r="G438" s="49"/>
      <c r="H438" s="49"/>
      <c r="I438" s="49"/>
      <c r="J438" s="49"/>
      <c r="K438" s="24"/>
      <c r="L438" s="24"/>
      <c r="M438" s="103"/>
    </row>
    <row r="439" spans="1:13" ht="22.5" customHeight="1">
      <c r="A439" s="50"/>
      <c r="B439" s="17"/>
      <c r="C439" s="102"/>
      <c r="D439" s="48"/>
      <c r="E439" s="49"/>
      <c r="F439" s="49"/>
      <c r="G439" s="49"/>
      <c r="H439" s="49"/>
      <c r="I439" s="49"/>
      <c r="J439" s="49"/>
      <c r="K439" s="24"/>
      <c r="L439" s="24"/>
      <c r="M439" s="103"/>
    </row>
    <row r="440" spans="1:13" ht="22.5" customHeight="1">
      <c r="A440" s="50"/>
      <c r="B440" s="17"/>
      <c r="C440" s="102"/>
      <c r="D440" s="48"/>
      <c r="E440" s="49"/>
      <c r="F440" s="49"/>
      <c r="G440" s="49"/>
      <c r="H440" s="49"/>
      <c r="I440" s="49"/>
      <c r="J440" s="49"/>
      <c r="K440" s="24"/>
      <c r="L440" s="24"/>
      <c r="M440" s="103"/>
    </row>
    <row r="441" spans="1:13" ht="22.5" customHeight="1">
      <c r="A441" s="50"/>
      <c r="B441" s="17"/>
      <c r="C441" s="102"/>
      <c r="D441" s="48"/>
      <c r="E441" s="49"/>
      <c r="F441" s="49"/>
      <c r="G441" s="49"/>
      <c r="H441" s="49"/>
      <c r="I441" s="49"/>
      <c r="J441" s="49"/>
      <c r="K441" s="24"/>
      <c r="L441" s="24"/>
      <c r="M441" s="103"/>
    </row>
    <row r="442" spans="1:13" ht="22.5" customHeight="1">
      <c r="A442" s="50"/>
      <c r="B442" s="17"/>
      <c r="C442" s="102"/>
      <c r="D442" s="48"/>
      <c r="E442" s="49"/>
      <c r="F442" s="49"/>
      <c r="G442" s="49"/>
      <c r="H442" s="49"/>
      <c r="I442" s="49"/>
      <c r="J442" s="49"/>
      <c r="K442" s="24"/>
      <c r="L442" s="24"/>
      <c r="M442" s="103"/>
    </row>
    <row r="443" spans="1:13" ht="22.5" customHeight="1">
      <c r="A443" s="50"/>
      <c r="B443" s="17"/>
      <c r="C443" s="102"/>
      <c r="D443" s="48"/>
      <c r="E443" s="49"/>
      <c r="F443" s="49"/>
      <c r="G443" s="49"/>
      <c r="H443" s="49"/>
      <c r="I443" s="49"/>
      <c r="J443" s="49"/>
      <c r="K443" s="24"/>
      <c r="L443" s="24"/>
      <c r="M443" s="103"/>
    </row>
    <row r="444" spans="1:13" ht="22.5" customHeight="1">
      <c r="A444" s="50"/>
      <c r="B444" s="17"/>
      <c r="C444" s="102"/>
      <c r="D444" s="48"/>
      <c r="E444" s="49"/>
      <c r="F444" s="49"/>
      <c r="G444" s="49"/>
      <c r="H444" s="49"/>
      <c r="I444" s="49"/>
      <c r="J444" s="49"/>
      <c r="K444" s="24"/>
      <c r="L444" s="24"/>
      <c r="M444" s="103"/>
    </row>
    <row r="445" spans="1:13" ht="22.5" customHeight="1">
      <c r="A445" s="50"/>
      <c r="B445" s="17"/>
      <c r="C445" s="102"/>
      <c r="D445" s="48"/>
      <c r="E445" s="49"/>
      <c r="F445" s="49"/>
      <c r="G445" s="49"/>
      <c r="H445" s="49"/>
      <c r="I445" s="49"/>
      <c r="J445" s="49"/>
      <c r="K445" s="24"/>
      <c r="L445" s="24"/>
      <c r="M445" s="103"/>
    </row>
    <row r="446" spans="1:13" ht="22.5" customHeight="1">
      <c r="A446" s="50"/>
      <c r="B446" s="17"/>
      <c r="C446" s="102"/>
      <c r="D446" s="48"/>
      <c r="E446" s="49"/>
      <c r="F446" s="49"/>
      <c r="G446" s="49"/>
      <c r="H446" s="49"/>
      <c r="I446" s="49"/>
      <c r="J446" s="49"/>
      <c r="K446" s="24"/>
      <c r="L446" s="24"/>
      <c r="M446" s="103"/>
    </row>
    <row r="447" spans="1:13" ht="22.5" customHeight="1">
      <c r="A447" s="50"/>
      <c r="B447" s="17"/>
      <c r="C447" s="102"/>
      <c r="D447" s="48"/>
      <c r="E447" s="49"/>
      <c r="F447" s="49"/>
      <c r="G447" s="49"/>
      <c r="H447" s="49"/>
      <c r="I447" s="49"/>
      <c r="J447" s="49"/>
      <c r="K447" s="24"/>
      <c r="L447" s="24"/>
      <c r="M447" s="103"/>
    </row>
    <row r="448" spans="1:13" ht="22.5" customHeight="1">
      <c r="A448" s="50"/>
      <c r="B448" s="17"/>
      <c r="C448" s="102"/>
      <c r="D448" s="48"/>
      <c r="E448" s="49"/>
      <c r="F448" s="49"/>
      <c r="G448" s="49"/>
      <c r="H448" s="49"/>
      <c r="I448" s="49"/>
      <c r="J448" s="49"/>
      <c r="K448" s="24"/>
      <c r="L448" s="24"/>
      <c r="M448" s="103"/>
    </row>
    <row r="449" spans="1:13" ht="22.5" customHeight="1">
      <c r="A449" s="50"/>
      <c r="B449" s="17"/>
      <c r="C449" s="102"/>
      <c r="D449" s="48"/>
      <c r="E449" s="49"/>
      <c r="F449" s="49"/>
      <c r="G449" s="49"/>
      <c r="H449" s="49"/>
      <c r="I449" s="49"/>
      <c r="J449" s="49"/>
      <c r="K449" s="24"/>
      <c r="L449" s="24"/>
      <c r="M449" s="103"/>
    </row>
    <row r="450" spans="1:13" ht="22.5" customHeight="1">
      <c r="A450" s="50"/>
      <c r="B450" s="17"/>
      <c r="C450" s="102"/>
      <c r="D450" s="48"/>
      <c r="E450" s="49"/>
      <c r="F450" s="49"/>
      <c r="G450" s="49"/>
      <c r="H450" s="49"/>
      <c r="I450" s="49"/>
      <c r="J450" s="49"/>
      <c r="K450" s="24"/>
      <c r="L450" s="24"/>
      <c r="M450" s="103"/>
    </row>
    <row r="451" spans="1:13" ht="22.5" customHeight="1">
      <c r="A451" s="50"/>
      <c r="B451" s="17"/>
      <c r="C451" s="102"/>
      <c r="D451" s="48"/>
      <c r="E451" s="49"/>
      <c r="F451" s="49"/>
      <c r="G451" s="49"/>
      <c r="H451" s="49"/>
      <c r="I451" s="49"/>
      <c r="J451" s="49"/>
      <c r="K451" s="24"/>
      <c r="L451" s="24"/>
      <c r="M451" s="103"/>
    </row>
    <row r="452" spans="1:13" ht="22.5" customHeight="1">
      <c r="A452" s="50"/>
      <c r="B452" s="17"/>
      <c r="C452" s="102"/>
      <c r="D452" s="48"/>
      <c r="E452" s="49"/>
      <c r="F452" s="49"/>
      <c r="G452" s="49"/>
      <c r="H452" s="49"/>
      <c r="I452" s="49"/>
      <c r="J452" s="49"/>
      <c r="K452" s="24"/>
      <c r="L452" s="24"/>
      <c r="M452" s="103"/>
    </row>
    <row r="453" spans="1:13" ht="22.5" customHeight="1">
      <c r="A453" s="50"/>
      <c r="B453" s="17"/>
      <c r="C453" s="102"/>
      <c r="D453" s="48"/>
      <c r="E453" s="49"/>
      <c r="F453" s="49"/>
      <c r="G453" s="49"/>
      <c r="H453" s="49"/>
      <c r="I453" s="49"/>
      <c r="J453" s="49"/>
      <c r="K453" s="24"/>
      <c r="L453" s="24"/>
      <c r="M453" s="103"/>
    </row>
    <row r="454" spans="1:13" ht="22.5" customHeight="1">
      <c r="A454" s="50"/>
      <c r="B454" s="17"/>
      <c r="C454" s="102"/>
      <c r="D454" s="48"/>
      <c r="E454" s="49"/>
      <c r="F454" s="49"/>
      <c r="G454" s="49"/>
      <c r="H454" s="49"/>
      <c r="I454" s="49"/>
      <c r="J454" s="49"/>
      <c r="K454" s="24"/>
      <c r="L454" s="24"/>
      <c r="M454" s="103"/>
    </row>
    <row r="455" spans="1:13" ht="22.5" customHeight="1">
      <c r="A455" s="50"/>
      <c r="B455" s="17"/>
      <c r="C455" s="102"/>
      <c r="D455" s="48"/>
      <c r="E455" s="49"/>
      <c r="F455" s="49"/>
      <c r="G455" s="49"/>
      <c r="H455" s="49"/>
      <c r="I455" s="49"/>
      <c r="J455" s="49"/>
      <c r="K455" s="24"/>
      <c r="L455" s="24"/>
      <c r="M455" s="103"/>
    </row>
    <row r="456" spans="1:13" ht="22.5" customHeight="1">
      <c r="A456" s="50"/>
      <c r="B456" s="17"/>
      <c r="C456" s="102"/>
      <c r="D456" s="48"/>
      <c r="E456" s="49"/>
      <c r="F456" s="49"/>
      <c r="G456" s="49"/>
      <c r="H456" s="49"/>
      <c r="I456" s="49"/>
      <c r="J456" s="49"/>
      <c r="K456" s="24"/>
      <c r="L456" s="24"/>
      <c r="M456" s="103"/>
    </row>
    <row r="457" spans="1:13" ht="22.5" customHeight="1">
      <c r="A457" s="50"/>
      <c r="B457" s="17"/>
      <c r="C457" s="102"/>
      <c r="D457" s="48"/>
      <c r="E457" s="49"/>
      <c r="F457" s="49"/>
      <c r="G457" s="49"/>
      <c r="H457" s="49"/>
      <c r="I457" s="49"/>
      <c r="J457" s="49"/>
      <c r="K457" s="24"/>
      <c r="L457" s="24"/>
      <c r="M457" s="103"/>
    </row>
    <row r="458" spans="1:13" ht="22.5" customHeight="1">
      <c r="A458" s="50"/>
      <c r="B458" s="17"/>
      <c r="C458" s="102"/>
      <c r="D458" s="48"/>
      <c r="E458" s="49"/>
      <c r="F458" s="49"/>
      <c r="G458" s="49"/>
      <c r="H458" s="49"/>
      <c r="I458" s="49"/>
      <c r="J458" s="49"/>
      <c r="K458" s="24"/>
      <c r="L458" s="24"/>
      <c r="M458" s="103"/>
    </row>
    <row r="459" spans="1:13" ht="22.5" customHeight="1">
      <c r="A459" s="50"/>
      <c r="B459" s="17"/>
      <c r="C459" s="102"/>
      <c r="D459" s="48"/>
      <c r="E459" s="49"/>
      <c r="F459" s="49"/>
      <c r="G459" s="49"/>
      <c r="H459" s="49"/>
      <c r="I459" s="49"/>
      <c r="J459" s="49"/>
      <c r="K459" s="24"/>
      <c r="L459" s="24"/>
      <c r="M459" s="103"/>
    </row>
    <row r="460" spans="1:13" ht="22.5" customHeight="1">
      <c r="A460" s="50"/>
      <c r="B460" s="17"/>
      <c r="C460" s="102"/>
      <c r="D460" s="48"/>
      <c r="E460" s="49"/>
      <c r="F460" s="49"/>
      <c r="G460" s="49"/>
      <c r="H460" s="49"/>
      <c r="I460" s="49"/>
      <c r="J460" s="49"/>
      <c r="K460" s="24"/>
      <c r="L460" s="24"/>
      <c r="M460" s="103"/>
    </row>
    <row r="461" spans="1:13" ht="22.5" customHeight="1">
      <c r="A461" s="50"/>
      <c r="B461" s="17"/>
      <c r="C461" s="102"/>
      <c r="D461" s="48"/>
      <c r="E461" s="49"/>
      <c r="F461" s="49"/>
      <c r="G461" s="49"/>
      <c r="H461" s="49"/>
      <c r="I461" s="49"/>
      <c r="J461" s="49"/>
      <c r="K461" s="24"/>
      <c r="L461" s="24"/>
      <c r="M461" s="103"/>
    </row>
    <row r="462" spans="1:13" ht="22.5" customHeight="1">
      <c r="A462" s="50"/>
      <c r="B462" s="17"/>
      <c r="C462" s="102"/>
      <c r="D462" s="48"/>
      <c r="E462" s="49"/>
      <c r="F462" s="49"/>
      <c r="G462" s="49"/>
      <c r="H462" s="49"/>
      <c r="I462" s="49"/>
      <c r="J462" s="49"/>
      <c r="K462" s="24"/>
      <c r="L462" s="24"/>
      <c r="M462" s="103"/>
    </row>
    <row r="463" spans="1:13" ht="22.5" customHeight="1">
      <c r="A463" s="50"/>
      <c r="B463" s="17"/>
      <c r="C463" s="102"/>
      <c r="D463" s="48"/>
      <c r="E463" s="49"/>
      <c r="F463" s="49"/>
      <c r="G463" s="49"/>
      <c r="H463" s="49"/>
      <c r="I463" s="49"/>
      <c r="J463" s="49"/>
      <c r="K463" s="24"/>
      <c r="L463" s="24"/>
      <c r="M463" s="103"/>
    </row>
    <row r="464" spans="1:13" ht="22.5" customHeight="1">
      <c r="A464" s="50"/>
      <c r="B464" s="17"/>
      <c r="C464" s="102"/>
      <c r="D464" s="48"/>
      <c r="E464" s="49"/>
      <c r="F464" s="49"/>
      <c r="G464" s="49"/>
      <c r="H464" s="49"/>
      <c r="I464" s="49"/>
      <c r="J464" s="49"/>
      <c r="K464" s="24"/>
      <c r="L464" s="24"/>
      <c r="M464" s="103"/>
    </row>
    <row r="465" spans="1:13" ht="22.5" customHeight="1">
      <c r="A465" s="50"/>
      <c r="B465" s="17"/>
      <c r="C465" s="102"/>
      <c r="D465" s="48"/>
      <c r="E465" s="49"/>
      <c r="F465" s="49"/>
      <c r="G465" s="49"/>
      <c r="H465" s="49"/>
      <c r="I465" s="49"/>
      <c r="J465" s="49"/>
      <c r="K465" s="24"/>
      <c r="L465" s="24"/>
      <c r="M465" s="103"/>
    </row>
    <row r="466" spans="1:13" ht="22.5" customHeight="1">
      <c r="A466" s="50"/>
      <c r="B466" s="17"/>
      <c r="C466" s="102"/>
      <c r="D466" s="48"/>
      <c r="E466" s="49"/>
      <c r="F466" s="49"/>
      <c r="G466" s="49"/>
      <c r="H466" s="49"/>
      <c r="I466" s="49"/>
      <c r="J466" s="49"/>
      <c r="K466" s="24"/>
      <c r="L466" s="24"/>
      <c r="M466" s="103"/>
    </row>
    <row r="467" spans="1:13" ht="22.5" customHeight="1">
      <c r="A467" s="50"/>
      <c r="B467" s="17"/>
      <c r="C467" s="102"/>
      <c r="D467" s="48"/>
      <c r="E467" s="49"/>
      <c r="F467" s="49"/>
      <c r="G467" s="49"/>
      <c r="H467" s="49"/>
      <c r="I467" s="49"/>
      <c r="J467" s="49"/>
      <c r="K467" s="24"/>
      <c r="L467" s="24"/>
      <c r="M467" s="103"/>
    </row>
    <row r="468" spans="1:13" ht="22.5" customHeight="1">
      <c r="A468" s="50"/>
      <c r="B468" s="17"/>
      <c r="C468" s="102"/>
      <c r="D468" s="48"/>
      <c r="E468" s="49"/>
      <c r="F468" s="49"/>
      <c r="G468" s="49"/>
      <c r="H468" s="49"/>
      <c r="I468" s="49"/>
      <c r="J468" s="49"/>
      <c r="K468" s="24"/>
      <c r="L468" s="24"/>
      <c r="M468" s="103"/>
    </row>
    <row r="469" spans="1:13" ht="22.5" customHeight="1">
      <c r="A469" s="50"/>
      <c r="B469" s="17"/>
      <c r="C469" s="102"/>
      <c r="D469" s="48"/>
      <c r="E469" s="49"/>
      <c r="F469" s="49"/>
      <c r="G469" s="49"/>
      <c r="H469" s="49"/>
      <c r="I469" s="49"/>
      <c r="J469" s="49"/>
      <c r="K469" s="24"/>
      <c r="L469" s="24"/>
      <c r="M469" s="103"/>
    </row>
    <row r="470" spans="1:13" ht="22.5" customHeight="1">
      <c r="A470" s="50"/>
      <c r="B470" s="17"/>
      <c r="C470" s="102"/>
      <c r="D470" s="48"/>
      <c r="E470" s="49"/>
      <c r="F470" s="49"/>
      <c r="G470" s="49"/>
      <c r="H470" s="49"/>
      <c r="I470" s="49"/>
      <c r="J470" s="49"/>
      <c r="K470" s="24"/>
      <c r="L470" s="24"/>
      <c r="M470" s="103"/>
    </row>
    <row r="471" spans="1:13" ht="22.5" customHeight="1">
      <c r="A471" s="50"/>
      <c r="B471" s="17"/>
      <c r="C471" s="102"/>
      <c r="D471" s="48"/>
      <c r="E471" s="49"/>
      <c r="F471" s="49"/>
      <c r="G471" s="49"/>
      <c r="H471" s="49"/>
      <c r="I471" s="49"/>
      <c r="J471" s="49"/>
      <c r="K471" s="24"/>
      <c r="L471" s="24"/>
      <c r="M471" s="103"/>
    </row>
    <row r="472" spans="1:13" ht="22.5" customHeight="1">
      <c r="A472" s="50"/>
      <c r="B472" s="17"/>
      <c r="C472" s="102"/>
      <c r="D472" s="48"/>
      <c r="E472" s="49"/>
      <c r="F472" s="49"/>
      <c r="G472" s="49"/>
      <c r="H472" s="49"/>
      <c r="I472" s="49"/>
      <c r="J472" s="49"/>
      <c r="K472" s="24"/>
      <c r="L472" s="24"/>
      <c r="M472" s="103"/>
    </row>
    <row r="473" spans="1:13" ht="22.5" customHeight="1">
      <c r="A473" s="50"/>
      <c r="B473" s="17"/>
      <c r="C473" s="102"/>
      <c r="D473" s="48"/>
      <c r="E473" s="49"/>
      <c r="F473" s="49"/>
      <c r="G473" s="49"/>
      <c r="H473" s="49"/>
      <c r="I473" s="49"/>
      <c r="J473" s="49"/>
      <c r="K473" s="24"/>
      <c r="L473" s="24"/>
      <c r="M473" s="103"/>
    </row>
    <row r="474" spans="1:13" ht="22.5" customHeight="1">
      <c r="A474" s="50"/>
      <c r="B474" s="17"/>
      <c r="C474" s="102"/>
      <c r="D474" s="48"/>
      <c r="E474" s="49"/>
      <c r="F474" s="49"/>
      <c r="G474" s="49"/>
      <c r="H474" s="49"/>
      <c r="I474" s="49"/>
      <c r="J474" s="49"/>
      <c r="K474" s="24"/>
      <c r="L474" s="24"/>
      <c r="M474" s="103"/>
    </row>
    <row r="475" spans="1:13" ht="22.5" customHeight="1">
      <c r="A475" s="50"/>
      <c r="B475" s="17"/>
      <c r="C475" s="102"/>
      <c r="D475" s="48"/>
      <c r="E475" s="49"/>
      <c r="F475" s="49"/>
      <c r="G475" s="49"/>
      <c r="H475" s="49"/>
      <c r="I475" s="49"/>
      <c r="J475" s="49"/>
      <c r="K475" s="24"/>
      <c r="L475" s="24"/>
      <c r="M475" s="103"/>
    </row>
    <row r="476" spans="1:13" ht="22.5" customHeight="1">
      <c r="A476" s="50"/>
      <c r="B476" s="17"/>
      <c r="C476" s="102"/>
      <c r="D476" s="48"/>
      <c r="E476" s="49"/>
      <c r="F476" s="49"/>
      <c r="G476" s="49"/>
      <c r="H476" s="49"/>
      <c r="I476" s="49"/>
      <c r="J476" s="49"/>
      <c r="K476" s="24"/>
      <c r="L476" s="24"/>
      <c r="M476" s="103"/>
    </row>
    <row r="477" spans="1:13" ht="22.5" customHeight="1">
      <c r="A477" s="50"/>
      <c r="B477" s="17"/>
      <c r="C477" s="102"/>
      <c r="D477" s="48"/>
      <c r="E477" s="49"/>
      <c r="F477" s="49"/>
      <c r="G477" s="49"/>
      <c r="H477" s="49"/>
      <c r="I477" s="49"/>
      <c r="J477" s="49"/>
      <c r="K477" s="24"/>
      <c r="L477" s="24"/>
      <c r="M477" s="103"/>
    </row>
    <row r="478" spans="1:13" ht="22.5" customHeight="1">
      <c r="A478" s="50"/>
      <c r="B478" s="17"/>
      <c r="C478" s="102"/>
      <c r="D478" s="48"/>
      <c r="E478" s="49"/>
      <c r="F478" s="49"/>
      <c r="G478" s="49"/>
      <c r="H478" s="49"/>
      <c r="I478" s="49"/>
      <c r="J478" s="49"/>
      <c r="K478" s="24"/>
      <c r="L478" s="24"/>
      <c r="M478" s="103"/>
    </row>
    <row r="479" spans="1:13" ht="22.5" customHeight="1">
      <c r="A479" s="50"/>
      <c r="B479" s="17"/>
      <c r="C479" s="102"/>
      <c r="D479" s="48"/>
      <c r="E479" s="49"/>
      <c r="F479" s="49"/>
      <c r="G479" s="49"/>
      <c r="H479" s="49"/>
      <c r="I479" s="49"/>
      <c r="J479" s="49"/>
      <c r="K479" s="24"/>
      <c r="L479" s="24"/>
      <c r="M479" s="103"/>
    </row>
    <row r="480" spans="1:13" ht="22.5" customHeight="1">
      <c r="A480" s="50"/>
      <c r="B480" s="17"/>
      <c r="C480" s="102"/>
      <c r="D480" s="48"/>
      <c r="E480" s="49"/>
      <c r="F480" s="49"/>
      <c r="G480" s="49"/>
      <c r="H480" s="49"/>
      <c r="I480" s="49"/>
      <c r="J480" s="49"/>
      <c r="K480" s="24"/>
      <c r="L480" s="24"/>
      <c r="M480" s="103"/>
    </row>
    <row r="481" spans="1:13" ht="22.5" customHeight="1">
      <c r="A481" s="50"/>
      <c r="B481" s="17"/>
      <c r="C481" s="102"/>
      <c r="D481" s="48"/>
      <c r="E481" s="49"/>
      <c r="F481" s="49"/>
      <c r="G481" s="49"/>
      <c r="H481" s="49"/>
      <c r="I481" s="49"/>
      <c r="J481" s="49"/>
      <c r="K481" s="24"/>
      <c r="L481" s="24"/>
      <c r="M481" s="103"/>
    </row>
    <row r="482" spans="1:13" ht="22.5" customHeight="1">
      <c r="A482" s="50"/>
      <c r="B482" s="17"/>
      <c r="C482" s="102"/>
      <c r="D482" s="48"/>
      <c r="E482" s="49"/>
      <c r="F482" s="49"/>
      <c r="G482" s="49"/>
      <c r="H482" s="49"/>
      <c r="I482" s="49"/>
      <c r="J482" s="49"/>
      <c r="K482" s="24"/>
      <c r="L482" s="24"/>
      <c r="M482" s="103"/>
    </row>
    <row r="483" spans="1:13" ht="22.5" customHeight="1">
      <c r="A483" s="50"/>
      <c r="B483" s="17"/>
      <c r="C483" s="102"/>
      <c r="D483" s="48"/>
      <c r="E483" s="49"/>
      <c r="F483" s="49"/>
      <c r="G483" s="49"/>
      <c r="H483" s="49"/>
      <c r="I483" s="49"/>
      <c r="J483" s="49"/>
      <c r="K483" s="24"/>
      <c r="L483" s="24"/>
      <c r="M483" s="103"/>
    </row>
    <row r="484" spans="1:13" ht="22.5" customHeight="1">
      <c r="A484" s="50"/>
      <c r="B484" s="17"/>
      <c r="C484" s="102"/>
      <c r="D484" s="48"/>
      <c r="E484" s="49"/>
      <c r="F484" s="49"/>
      <c r="G484" s="49"/>
      <c r="H484" s="49"/>
      <c r="I484" s="49"/>
      <c r="J484" s="49"/>
      <c r="K484" s="24"/>
      <c r="L484" s="24"/>
      <c r="M484" s="103"/>
    </row>
    <row r="485" spans="1:13" ht="22.5" customHeight="1">
      <c r="A485" s="50"/>
      <c r="B485" s="17"/>
      <c r="C485" s="102"/>
      <c r="D485" s="48"/>
      <c r="E485" s="49"/>
      <c r="F485" s="49"/>
      <c r="G485" s="49"/>
      <c r="H485" s="49"/>
      <c r="I485" s="49"/>
      <c r="J485" s="49"/>
      <c r="K485" s="24"/>
      <c r="L485" s="24"/>
      <c r="M485" s="103"/>
    </row>
    <row r="486" spans="1:13" ht="22.5" customHeight="1">
      <c r="A486" s="50"/>
      <c r="B486" s="17"/>
      <c r="C486" s="102"/>
      <c r="D486" s="48"/>
      <c r="E486" s="49"/>
      <c r="F486" s="49"/>
      <c r="G486" s="49"/>
      <c r="H486" s="49"/>
      <c r="I486" s="49"/>
      <c r="J486" s="49"/>
      <c r="K486" s="24"/>
      <c r="L486" s="24"/>
      <c r="M486" s="103"/>
    </row>
    <row r="487" spans="1:13" ht="22.5" customHeight="1">
      <c r="A487" s="50"/>
      <c r="B487" s="17"/>
      <c r="C487" s="102"/>
      <c r="D487" s="48"/>
      <c r="E487" s="49"/>
      <c r="F487" s="49"/>
      <c r="G487" s="49"/>
      <c r="H487" s="49"/>
      <c r="I487" s="49"/>
      <c r="J487" s="49"/>
      <c r="K487" s="24"/>
      <c r="L487" s="24"/>
      <c r="M487" s="103"/>
    </row>
    <row r="488" spans="1:13" ht="22.5" customHeight="1">
      <c r="A488" s="50"/>
      <c r="B488" s="17"/>
      <c r="C488" s="102"/>
      <c r="D488" s="48"/>
      <c r="E488" s="49"/>
      <c r="F488" s="49"/>
      <c r="G488" s="49"/>
      <c r="H488" s="49"/>
      <c r="I488" s="49"/>
      <c r="J488" s="49"/>
      <c r="K488" s="24"/>
      <c r="L488" s="24"/>
      <c r="M488" s="103"/>
    </row>
    <row r="489" spans="1:13" ht="22.5" customHeight="1">
      <c r="A489" s="50"/>
      <c r="B489" s="17"/>
      <c r="C489" s="102"/>
      <c r="D489" s="48"/>
      <c r="E489" s="49"/>
      <c r="F489" s="49"/>
      <c r="G489" s="49"/>
      <c r="H489" s="49"/>
      <c r="I489" s="49"/>
      <c r="J489" s="49"/>
      <c r="K489" s="24"/>
      <c r="L489" s="24"/>
      <c r="M489" s="103"/>
    </row>
    <row r="490" spans="1:13" ht="22.5" customHeight="1">
      <c r="A490" s="50"/>
      <c r="B490" s="17"/>
      <c r="C490" s="102"/>
      <c r="D490" s="48"/>
      <c r="E490" s="49"/>
      <c r="F490" s="49"/>
      <c r="G490" s="49"/>
      <c r="H490" s="49"/>
      <c r="I490" s="49"/>
      <c r="J490" s="49"/>
      <c r="K490" s="24"/>
      <c r="L490" s="24"/>
      <c r="M490" s="103"/>
    </row>
    <row r="491" spans="1:13" ht="22.5" customHeight="1">
      <c r="A491" s="50"/>
      <c r="B491" s="17"/>
      <c r="C491" s="102"/>
      <c r="D491" s="48"/>
      <c r="E491" s="49"/>
      <c r="F491" s="49"/>
      <c r="G491" s="49"/>
      <c r="H491" s="49"/>
      <c r="I491" s="49"/>
      <c r="J491" s="49"/>
      <c r="K491" s="24"/>
      <c r="L491" s="24"/>
      <c r="M491" s="103"/>
    </row>
    <row r="492" spans="1:13" ht="22.5" customHeight="1">
      <c r="A492" s="50"/>
      <c r="B492" s="17"/>
      <c r="C492" s="102"/>
      <c r="D492" s="48"/>
      <c r="E492" s="49"/>
      <c r="F492" s="49"/>
      <c r="G492" s="49"/>
      <c r="H492" s="49"/>
      <c r="I492" s="49"/>
      <c r="J492" s="49"/>
      <c r="K492" s="24"/>
      <c r="L492" s="24"/>
      <c r="M492" s="103"/>
    </row>
    <row r="493" spans="1:13" ht="22.5" customHeight="1">
      <c r="A493" s="50"/>
      <c r="B493" s="17"/>
      <c r="C493" s="102"/>
      <c r="D493" s="48"/>
      <c r="E493" s="49"/>
      <c r="F493" s="49"/>
      <c r="G493" s="49"/>
      <c r="H493" s="49"/>
      <c r="I493" s="49"/>
      <c r="J493" s="49"/>
      <c r="K493" s="24"/>
      <c r="L493" s="24"/>
      <c r="M493" s="103"/>
    </row>
    <row r="494" spans="1:13" ht="22.5" customHeight="1">
      <c r="A494" s="50"/>
      <c r="B494" s="17"/>
      <c r="C494" s="102"/>
      <c r="D494" s="48"/>
      <c r="E494" s="49"/>
      <c r="F494" s="49"/>
      <c r="G494" s="49"/>
      <c r="H494" s="49"/>
      <c r="I494" s="49"/>
      <c r="J494" s="49"/>
      <c r="K494" s="24"/>
      <c r="L494" s="24"/>
      <c r="M494" s="103"/>
    </row>
    <row r="495" spans="1:13" ht="22.5" customHeight="1">
      <c r="A495" s="50"/>
      <c r="B495" s="17"/>
      <c r="C495" s="102"/>
      <c r="D495" s="48"/>
      <c r="E495" s="49"/>
      <c r="F495" s="49"/>
      <c r="G495" s="49"/>
      <c r="H495" s="49"/>
      <c r="I495" s="49"/>
      <c r="J495" s="49"/>
      <c r="K495" s="24"/>
      <c r="L495" s="24"/>
      <c r="M495" s="103"/>
    </row>
    <row r="496" spans="1:13" ht="22.5" customHeight="1">
      <c r="A496" s="50"/>
      <c r="B496" s="17"/>
      <c r="C496" s="102"/>
      <c r="D496" s="48"/>
      <c r="E496" s="49"/>
      <c r="F496" s="49"/>
      <c r="G496" s="49"/>
      <c r="H496" s="49"/>
      <c r="I496" s="49"/>
      <c r="J496" s="49"/>
      <c r="K496" s="24"/>
      <c r="L496" s="24"/>
      <c r="M496" s="103"/>
    </row>
    <row r="497" spans="1:13" ht="22.5" customHeight="1">
      <c r="A497" s="50"/>
      <c r="B497" s="17"/>
      <c r="C497" s="102"/>
      <c r="D497" s="48"/>
      <c r="E497" s="49"/>
      <c r="F497" s="49"/>
      <c r="G497" s="49"/>
      <c r="H497" s="49"/>
      <c r="I497" s="49"/>
      <c r="J497" s="49"/>
      <c r="K497" s="24"/>
      <c r="L497" s="24"/>
      <c r="M497" s="103"/>
    </row>
    <row r="498" spans="1:13" ht="22.5" customHeight="1">
      <c r="A498" s="50"/>
      <c r="B498" s="17"/>
      <c r="C498" s="102"/>
      <c r="D498" s="48"/>
      <c r="E498" s="49"/>
      <c r="F498" s="49"/>
      <c r="G498" s="49"/>
      <c r="H498" s="49"/>
      <c r="I498" s="49"/>
      <c r="J498" s="49"/>
      <c r="K498" s="24"/>
      <c r="L498" s="24"/>
      <c r="M498" s="103"/>
    </row>
    <row r="499" spans="1:13" ht="22.5" customHeight="1">
      <c r="A499" s="50"/>
      <c r="B499" s="17"/>
      <c r="C499" s="102"/>
      <c r="D499" s="48"/>
      <c r="E499" s="49"/>
      <c r="F499" s="49"/>
      <c r="G499" s="49"/>
      <c r="H499" s="49"/>
      <c r="I499" s="49"/>
      <c r="J499" s="49"/>
      <c r="K499" s="24"/>
      <c r="L499" s="24"/>
      <c r="M499" s="103"/>
    </row>
    <row r="500" spans="1:13" ht="22.5" customHeight="1">
      <c r="A500" s="50"/>
      <c r="B500" s="17"/>
      <c r="C500" s="102"/>
      <c r="D500" s="48"/>
      <c r="E500" s="49"/>
      <c r="F500" s="49"/>
      <c r="G500" s="49"/>
      <c r="H500" s="49"/>
      <c r="I500" s="49"/>
      <c r="J500" s="49"/>
      <c r="K500" s="24"/>
      <c r="L500" s="24"/>
      <c r="M500" s="103"/>
    </row>
    <row r="501" spans="1:13" ht="22.5" customHeight="1">
      <c r="A501" s="50"/>
      <c r="B501" s="17"/>
      <c r="C501" s="102"/>
      <c r="D501" s="48"/>
      <c r="E501" s="49"/>
      <c r="F501" s="49"/>
      <c r="G501" s="49"/>
      <c r="H501" s="49"/>
      <c r="I501" s="49"/>
      <c r="J501" s="49"/>
      <c r="K501" s="24"/>
      <c r="L501" s="24"/>
      <c r="M501" s="103"/>
    </row>
    <row r="502" spans="1:13" ht="22.5" customHeight="1">
      <c r="A502" s="50"/>
      <c r="B502" s="17"/>
      <c r="C502" s="102"/>
      <c r="D502" s="48"/>
      <c r="E502" s="49"/>
      <c r="F502" s="49"/>
      <c r="G502" s="49"/>
      <c r="H502" s="49"/>
      <c r="I502" s="49"/>
      <c r="J502" s="49"/>
      <c r="K502" s="24"/>
      <c r="L502" s="24"/>
      <c r="M502" s="103"/>
    </row>
    <row r="503" spans="1:13" ht="22.5" customHeight="1">
      <c r="A503" s="50"/>
      <c r="B503" s="17"/>
      <c r="C503" s="102"/>
      <c r="D503" s="48"/>
      <c r="E503" s="49"/>
      <c r="F503" s="49"/>
      <c r="G503" s="49"/>
      <c r="H503" s="49"/>
      <c r="I503" s="49"/>
      <c r="J503" s="49"/>
      <c r="K503" s="24"/>
      <c r="L503" s="24"/>
      <c r="M503" s="103"/>
    </row>
    <row r="504" spans="1:13" ht="22.5" customHeight="1">
      <c r="A504" s="50"/>
      <c r="B504" s="17"/>
      <c r="C504" s="102"/>
      <c r="D504" s="48"/>
      <c r="E504" s="49"/>
      <c r="F504" s="49"/>
      <c r="G504" s="49"/>
      <c r="H504" s="49"/>
      <c r="I504" s="49"/>
      <c r="J504" s="49"/>
      <c r="K504" s="24"/>
      <c r="L504" s="24"/>
      <c r="M504" s="103"/>
    </row>
    <row r="505" spans="1:13" ht="22.5" customHeight="1">
      <c r="A505" s="50"/>
      <c r="B505" s="17"/>
      <c r="C505" s="102"/>
      <c r="D505" s="48"/>
      <c r="E505" s="49"/>
      <c r="F505" s="49"/>
      <c r="G505" s="49"/>
      <c r="H505" s="49"/>
      <c r="I505" s="49"/>
      <c r="J505" s="49"/>
      <c r="K505" s="24"/>
      <c r="L505" s="24"/>
      <c r="M505" s="103"/>
    </row>
    <row r="506" spans="1:13" ht="22.5" customHeight="1">
      <c r="A506" s="50"/>
      <c r="B506" s="17"/>
      <c r="C506" s="102"/>
      <c r="D506" s="48"/>
      <c r="E506" s="49"/>
      <c r="F506" s="49"/>
      <c r="G506" s="49"/>
      <c r="H506" s="49"/>
      <c r="I506" s="49"/>
      <c r="J506" s="49"/>
      <c r="K506" s="24"/>
      <c r="L506" s="24"/>
      <c r="M506" s="103"/>
    </row>
    <row r="507" spans="1:13" ht="22.5" customHeight="1">
      <c r="A507" s="50"/>
      <c r="B507" s="17"/>
      <c r="C507" s="102"/>
      <c r="D507" s="48"/>
      <c r="E507" s="49"/>
      <c r="F507" s="49"/>
      <c r="G507" s="49"/>
      <c r="H507" s="49"/>
      <c r="I507" s="49"/>
      <c r="J507" s="49"/>
      <c r="K507" s="24"/>
      <c r="L507" s="24"/>
      <c r="M507" s="103"/>
    </row>
    <row r="508" spans="1:13" ht="22.5" customHeight="1">
      <c r="A508" s="50"/>
      <c r="B508" s="17"/>
      <c r="C508" s="102"/>
      <c r="D508" s="48"/>
      <c r="E508" s="49"/>
      <c r="F508" s="49"/>
      <c r="G508" s="49"/>
      <c r="H508" s="49"/>
      <c r="I508" s="49"/>
      <c r="J508" s="49"/>
      <c r="K508" s="24"/>
      <c r="L508" s="24"/>
      <c r="M508" s="103"/>
    </row>
    <row r="509" spans="1:13" ht="22.5" customHeight="1">
      <c r="A509" s="50"/>
      <c r="B509" s="17"/>
      <c r="C509" s="102"/>
      <c r="D509" s="48"/>
      <c r="E509" s="49"/>
      <c r="F509" s="49"/>
      <c r="G509" s="49"/>
      <c r="H509" s="49"/>
      <c r="I509" s="49"/>
      <c r="J509" s="49"/>
      <c r="K509" s="24"/>
      <c r="L509" s="24"/>
      <c r="M509" s="103"/>
    </row>
    <row r="510" spans="1:13" ht="22.5" customHeight="1">
      <c r="A510" s="50"/>
      <c r="B510" s="17"/>
      <c r="C510" s="102"/>
      <c r="D510" s="48"/>
      <c r="E510" s="49"/>
      <c r="F510" s="49"/>
      <c r="G510" s="49"/>
      <c r="H510" s="49"/>
      <c r="I510" s="49"/>
      <c r="J510" s="49"/>
      <c r="K510" s="24"/>
      <c r="L510" s="24"/>
      <c r="M510" s="103"/>
    </row>
    <row r="511" spans="1:13" ht="22.5" customHeight="1">
      <c r="A511" s="50"/>
      <c r="B511" s="17"/>
      <c r="C511" s="102"/>
      <c r="D511" s="48"/>
      <c r="E511" s="49"/>
      <c r="F511" s="49"/>
      <c r="G511" s="49"/>
      <c r="H511" s="49"/>
      <c r="I511" s="49"/>
      <c r="J511" s="49"/>
      <c r="K511" s="24"/>
      <c r="L511" s="24"/>
      <c r="M511" s="103"/>
    </row>
    <row r="512" spans="1:13" ht="22.5" customHeight="1">
      <c r="A512" s="50"/>
      <c r="B512" s="17"/>
      <c r="C512" s="102"/>
      <c r="D512" s="48"/>
      <c r="E512" s="49"/>
      <c r="F512" s="49"/>
      <c r="G512" s="49"/>
      <c r="H512" s="49"/>
      <c r="I512" s="49"/>
      <c r="J512" s="49"/>
      <c r="K512" s="24"/>
      <c r="L512" s="24"/>
      <c r="M512" s="103"/>
    </row>
    <row r="513" spans="1:13" ht="22.5" customHeight="1">
      <c r="A513" s="50"/>
      <c r="B513" s="17"/>
      <c r="C513" s="102"/>
      <c r="D513" s="48"/>
      <c r="E513" s="49"/>
      <c r="F513" s="49"/>
      <c r="G513" s="49"/>
      <c r="H513" s="49"/>
      <c r="I513" s="49"/>
      <c r="J513" s="49"/>
      <c r="K513" s="24"/>
      <c r="L513" s="24"/>
      <c r="M513" s="103"/>
    </row>
    <row r="514" spans="1:13" ht="22.5" customHeight="1">
      <c r="A514" s="50"/>
      <c r="B514" s="17"/>
      <c r="C514" s="102"/>
      <c r="D514" s="48"/>
      <c r="E514" s="49"/>
      <c r="F514" s="49"/>
      <c r="G514" s="49"/>
      <c r="H514" s="49"/>
      <c r="I514" s="49"/>
      <c r="J514" s="49"/>
      <c r="K514" s="24"/>
      <c r="L514" s="24"/>
      <c r="M514" s="103"/>
    </row>
    <row r="515" spans="1:13" ht="22.5" customHeight="1">
      <c r="A515" s="50"/>
      <c r="B515" s="17"/>
      <c r="C515" s="102"/>
      <c r="D515" s="48"/>
      <c r="E515" s="49"/>
      <c r="F515" s="49"/>
      <c r="G515" s="49"/>
      <c r="H515" s="49"/>
      <c r="I515" s="49"/>
      <c r="J515" s="49"/>
      <c r="K515" s="24"/>
      <c r="L515" s="24"/>
      <c r="M515" s="103"/>
    </row>
    <row r="516" spans="1:13" ht="22.5" customHeight="1">
      <c r="A516" s="50"/>
      <c r="B516" s="17"/>
      <c r="C516" s="102"/>
      <c r="D516" s="48"/>
      <c r="E516" s="49"/>
      <c r="F516" s="49"/>
      <c r="G516" s="49"/>
      <c r="H516" s="49"/>
      <c r="I516" s="49"/>
      <c r="J516" s="49"/>
      <c r="K516" s="24"/>
      <c r="L516" s="24"/>
      <c r="M516" s="103"/>
    </row>
    <row r="517" spans="1:13" ht="22.5" customHeight="1">
      <c r="A517" s="50"/>
      <c r="B517" s="17"/>
      <c r="C517" s="102"/>
      <c r="D517" s="48"/>
      <c r="E517" s="49"/>
      <c r="F517" s="49"/>
      <c r="G517" s="49"/>
      <c r="H517" s="49"/>
      <c r="I517" s="49"/>
      <c r="J517" s="49"/>
      <c r="K517" s="24"/>
      <c r="L517" s="24"/>
      <c r="M517" s="103"/>
    </row>
    <row r="518" spans="1:13" ht="22.5" customHeight="1">
      <c r="A518" s="50"/>
      <c r="B518" s="17"/>
      <c r="C518" s="102"/>
      <c r="D518" s="48"/>
      <c r="E518" s="49"/>
      <c r="F518" s="49"/>
      <c r="G518" s="49"/>
      <c r="H518" s="49"/>
      <c r="I518" s="49"/>
      <c r="J518" s="49"/>
      <c r="K518" s="24"/>
      <c r="L518" s="24"/>
      <c r="M518" s="103"/>
    </row>
    <row r="519" spans="1:13" ht="22.5" customHeight="1">
      <c r="A519" s="50"/>
      <c r="B519" s="17"/>
      <c r="C519" s="102"/>
      <c r="D519" s="48"/>
      <c r="E519" s="49"/>
      <c r="F519" s="49"/>
      <c r="G519" s="49"/>
      <c r="H519" s="49"/>
      <c r="I519" s="49"/>
      <c r="J519" s="49"/>
      <c r="K519" s="24"/>
      <c r="L519" s="24"/>
      <c r="M519" s="103"/>
    </row>
    <row r="520" spans="1:13" ht="22.5" customHeight="1">
      <c r="A520" s="50"/>
      <c r="B520" s="17"/>
      <c r="C520" s="102"/>
      <c r="D520" s="48"/>
      <c r="E520" s="49"/>
      <c r="F520" s="49"/>
      <c r="G520" s="49"/>
      <c r="H520" s="49"/>
      <c r="I520" s="49"/>
      <c r="J520" s="49"/>
      <c r="K520" s="24"/>
      <c r="L520" s="24"/>
      <c r="M520" s="103"/>
    </row>
    <row r="521" spans="1:13" ht="22.5" customHeight="1">
      <c r="A521" s="50"/>
      <c r="B521" s="17"/>
      <c r="C521" s="102"/>
      <c r="D521" s="48"/>
      <c r="E521" s="49"/>
      <c r="F521" s="49"/>
      <c r="G521" s="49"/>
      <c r="H521" s="49"/>
      <c r="I521" s="49"/>
      <c r="J521" s="49"/>
      <c r="K521" s="24"/>
      <c r="L521" s="24"/>
      <c r="M521" s="103"/>
    </row>
    <row r="522" spans="1:13" ht="22.5" customHeight="1">
      <c r="A522" s="50"/>
      <c r="B522" s="17"/>
      <c r="C522" s="102"/>
      <c r="D522" s="48"/>
      <c r="E522" s="49"/>
      <c r="F522" s="49"/>
      <c r="G522" s="49"/>
      <c r="H522" s="49"/>
      <c r="I522" s="49"/>
      <c r="J522" s="49"/>
      <c r="K522" s="24"/>
      <c r="L522" s="24"/>
      <c r="M522" s="103"/>
    </row>
    <row r="523" spans="1:13" ht="22.5" customHeight="1">
      <c r="A523" s="50"/>
      <c r="B523" s="17"/>
      <c r="C523" s="102"/>
      <c r="D523" s="48"/>
      <c r="E523" s="49"/>
      <c r="F523" s="49"/>
      <c r="G523" s="49"/>
      <c r="H523" s="49"/>
      <c r="I523" s="49"/>
      <c r="J523" s="49"/>
      <c r="K523" s="24"/>
      <c r="L523" s="24"/>
      <c r="M523" s="103"/>
    </row>
    <row r="524" spans="1:13" ht="22.5" customHeight="1">
      <c r="A524" s="50"/>
      <c r="B524" s="17"/>
      <c r="C524" s="102"/>
      <c r="D524" s="48"/>
      <c r="E524" s="49"/>
      <c r="F524" s="49"/>
      <c r="G524" s="49"/>
      <c r="H524" s="49"/>
      <c r="I524" s="49"/>
      <c r="J524" s="49"/>
      <c r="K524" s="24"/>
      <c r="L524" s="24"/>
      <c r="M524" s="103"/>
    </row>
    <row r="525" spans="1:13" ht="22.5" customHeight="1">
      <c r="A525" s="50"/>
      <c r="B525" s="17"/>
      <c r="C525" s="102"/>
      <c r="D525" s="48"/>
      <c r="E525" s="49"/>
      <c r="F525" s="49"/>
      <c r="G525" s="49"/>
      <c r="H525" s="49"/>
      <c r="I525" s="49"/>
      <c r="J525" s="49"/>
      <c r="K525" s="24"/>
      <c r="L525" s="24"/>
      <c r="M525" s="103"/>
    </row>
    <row r="526" spans="1:13" ht="22.5" customHeight="1">
      <c r="A526" s="50"/>
      <c r="B526" s="17"/>
      <c r="C526" s="102"/>
      <c r="D526" s="48"/>
      <c r="E526" s="49"/>
      <c r="F526" s="49"/>
      <c r="G526" s="49"/>
      <c r="H526" s="49"/>
      <c r="I526" s="49"/>
      <c r="J526" s="49"/>
      <c r="K526" s="24"/>
      <c r="L526" s="24"/>
      <c r="M526" s="103"/>
    </row>
    <row r="527" spans="1:13" ht="22.5" customHeight="1">
      <c r="A527" s="50"/>
      <c r="B527" s="17"/>
      <c r="C527" s="102"/>
      <c r="D527" s="48"/>
      <c r="E527" s="49"/>
      <c r="F527" s="49"/>
      <c r="G527" s="49"/>
      <c r="H527" s="49"/>
      <c r="I527" s="49"/>
      <c r="J527" s="49"/>
      <c r="K527" s="24"/>
      <c r="L527" s="24"/>
      <c r="M527" s="103"/>
    </row>
    <row r="528" spans="1:13" ht="22.5" customHeight="1">
      <c r="A528" s="50"/>
      <c r="B528" s="17"/>
      <c r="C528" s="102"/>
      <c r="D528" s="48"/>
      <c r="E528" s="49"/>
      <c r="F528" s="49"/>
      <c r="G528" s="49"/>
      <c r="H528" s="49"/>
      <c r="I528" s="49"/>
      <c r="J528" s="49"/>
      <c r="K528" s="24"/>
      <c r="L528" s="24"/>
      <c r="M528" s="103"/>
    </row>
    <row r="529" spans="1:13" ht="22.5" customHeight="1">
      <c r="A529" s="50"/>
      <c r="B529" s="17"/>
      <c r="C529" s="102"/>
      <c r="D529" s="48"/>
      <c r="E529" s="49"/>
      <c r="F529" s="49"/>
      <c r="G529" s="49"/>
      <c r="H529" s="49"/>
      <c r="I529" s="49"/>
      <c r="J529" s="49"/>
      <c r="K529" s="24"/>
      <c r="L529" s="24"/>
      <c r="M529" s="103"/>
    </row>
    <row r="530" spans="1:13" ht="22.5" customHeight="1">
      <c r="A530" s="50"/>
      <c r="B530" s="17"/>
      <c r="C530" s="102"/>
      <c r="D530" s="48"/>
      <c r="E530" s="49"/>
      <c r="F530" s="49"/>
      <c r="G530" s="49"/>
      <c r="H530" s="49"/>
      <c r="I530" s="49"/>
      <c r="J530" s="49"/>
      <c r="K530" s="24"/>
      <c r="L530" s="24"/>
      <c r="M530" s="103"/>
    </row>
    <row r="531" spans="1:13" ht="22.5" customHeight="1">
      <c r="A531" s="50"/>
      <c r="B531" s="17"/>
      <c r="C531" s="102"/>
      <c r="D531" s="48"/>
      <c r="E531" s="49"/>
      <c r="F531" s="49"/>
      <c r="G531" s="49"/>
      <c r="H531" s="49"/>
      <c r="I531" s="49"/>
      <c r="J531" s="49"/>
      <c r="K531" s="24"/>
      <c r="L531" s="24"/>
      <c r="M531" s="103"/>
    </row>
    <row r="532" spans="1:13" ht="22.5" customHeight="1">
      <c r="A532" s="50"/>
      <c r="B532" s="17"/>
      <c r="C532" s="102"/>
      <c r="D532" s="48"/>
      <c r="E532" s="49"/>
      <c r="F532" s="49"/>
      <c r="G532" s="49"/>
      <c r="H532" s="49"/>
      <c r="I532" s="49"/>
      <c r="J532" s="49"/>
      <c r="K532" s="24"/>
      <c r="L532" s="24"/>
      <c r="M532" s="103"/>
    </row>
    <row r="533" spans="1:13" ht="22.5" customHeight="1">
      <c r="A533" s="50"/>
      <c r="B533" s="17"/>
      <c r="C533" s="102"/>
      <c r="D533" s="48"/>
      <c r="E533" s="49"/>
      <c r="F533" s="49"/>
      <c r="G533" s="49"/>
      <c r="H533" s="49"/>
      <c r="I533" s="49"/>
      <c r="J533" s="49"/>
      <c r="K533" s="24"/>
      <c r="L533" s="24"/>
      <c r="M533" s="103"/>
    </row>
    <row r="534" spans="1:13" ht="22.5" customHeight="1">
      <c r="A534" s="50"/>
      <c r="B534" s="17"/>
      <c r="C534" s="102"/>
      <c r="D534" s="48"/>
      <c r="E534" s="49"/>
      <c r="F534" s="49"/>
      <c r="G534" s="49"/>
      <c r="H534" s="49"/>
      <c r="I534" s="49"/>
      <c r="J534" s="49"/>
      <c r="K534" s="24"/>
      <c r="L534" s="24"/>
      <c r="M534" s="103"/>
    </row>
    <row r="535" spans="1:13" ht="22.5" customHeight="1">
      <c r="A535" s="50"/>
      <c r="B535" s="17"/>
      <c r="C535" s="102"/>
      <c r="D535" s="48"/>
      <c r="E535" s="49"/>
      <c r="F535" s="49"/>
      <c r="G535" s="49"/>
      <c r="H535" s="49"/>
      <c r="I535" s="49"/>
      <c r="J535" s="49"/>
      <c r="K535" s="24"/>
      <c r="L535" s="24"/>
      <c r="M535" s="103"/>
    </row>
    <row r="536" spans="1:13" ht="22.5" customHeight="1">
      <c r="A536" s="50"/>
      <c r="B536" s="17"/>
      <c r="C536" s="102"/>
      <c r="D536" s="48"/>
      <c r="E536" s="49"/>
      <c r="F536" s="49"/>
      <c r="G536" s="49"/>
      <c r="H536" s="49"/>
      <c r="I536" s="49"/>
      <c r="J536" s="49"/>
      <c r="K536" s="24"/>
      <c r="L536" s="24"/>
      <c r="M536" s="103"/>
    </row>
    <row r="537" spans="1:13" ht="22.5" customHeight="1">
      <c r="A537" s="50"/>
      <c r="B537" s="17"/>
      <c r="C537" s="102"/>
      <c r="D537" s="48"/>
      <c r="E537" s="49"/>
      <c r="F537" s="49"/>
      <c r="G537" s="49"/>
      <c r="H537" s="49"/>
      <c r="I537" s="49"/>
      <c r="J537" s="49"/>
      <c r="K537" s="24"/>
      <c r="L537" s="24"/>
      <c r="M537" s="103"/>
    </row>
    <row r="538" spans="1:13" ht="22.5" customHeight="1">
      <c r="A538" s="50"/>
      <c r="B538" s="17"/>
      <c r="C538" s="102"/>
      <c r="D538" s="48"/>
      <c r="E538" s="49"/>
      <c r="F538" s="49"/>
      <c r="G538" s="49"/>
      <c r="H538" s="49"/>
      <c r="I538" s="49"/>
      <c r="J538" s="49"/>
      <c r="K538" s="24"/>
      <c r="L538" s="24"/>
      <c r="M538" s="103"/>
    </row>
    <row r="539" spans="1:13" ht="22.5" customHeight="1">
      <c r="A539" s="50"/>
      <c r="B539" s="17"/>
      <c r="C539" s="102"/>
      <c r="D539" s="48"/>
      <c r="E539" s="49"/>
      <c r="F539" s="49"/>
      <c r="G539" s="49"/>
      <c r="H539" s="49"/>
      <c r="I539" s="49"/>
      <c r="J539" s="49"/>
      <c r="K539" s="24"/>
      <c r="L539" s="24"/>
      <c r="M539" s="103"/>
    </row>
    <row r="540" spans="1:13" ht="22.5" customHeight="1">
      <c r="A540" s="50"/>
      <c r="B540" s="17"/>
      <c r="C540" s="102"/>
      <c r="D540" s="48"/>
      <c r="E540" s="49"/>
      <c r="F540" s="49"/>
      <c r="G540" s="49"/>
      <c r="H540" s="49"/>
      <c r="I540" s="49"/>
      <c r="J540" s="49"/>
      <c r="K540" s="24"/>
      <c r="L540" s="24"/>
      <c r="M540" s="103"/>
    </row>
    <row r="541" spans="1:13" ht="22.5" customHeight="1">
      <c r="A541" s="50"/>
      <c r="B541" s="17"/>
      <c r="C541" s="102"/>
      <c r="D541" s="48"/>
      <c r="E541" s="49"/>
      <c r="F541" s="49"/>
      <c r="G541" s="49"/>
      <c r="H541" s="49"/>
      <c r="I541" s="49"/>
      <c r="J541" s="49"/>
      <c r="K541" s="24"/>
      <c r="L541" s="24"/>
      <c r="M541" s="103"/>
    </row>
    <row r="542" spans="1:13" ht="22.5" customHeight="1">
      <c r="A542" s="50"/>
      <c r="B542" s="17"/>
      <c r="C542" s="102"/>
      <c r="D542" s="48"/>
      <c r="E542" s="49"/>
      <c r="F542" s="49"/>
      <c r="G542" s="49"/>
      <c r="H542" s="49"/>
      <c r="I542" s="49"/>
      <c r="J542" s="49"/>
      <c r="K542" s="24"/>
      <c r="L542" s="24"/>
      <c r="M542" s="103"/>
    </row>
    <row r="543" spans="1:13" ht="22.5" customHeight="1">
      <c r="A543" s="50"/>
      <c r="B543" s="17"/>
      <c r="C543" s="102"/>
      <c r="D543" s="48"/>
      <c r="E543" s="49"/>
      <c r="F543" s="49"/>
      <c r="G543" s="49"/>
      <c r="H543" s="49"/>
      <c r="I543" s="49"/>
      <c r="J543" s="49"/>
      <c r="K543" s="24"/>
      <c r="L543" s="24"/>
      <c r="M543" s="103"/>
    </row>
    <row r="544" spans="1:13" ht="22.5" customHeight="1">
      <c r="A544" s="50"/>
      <c r="B544" s="17"/>
      <c r="C544" s="102"/>
      <c r="D544" s="48"/>
      <c r="E544" s="49"/>
      <c r="F544" s="49"/>
      <c r="G544" s="49"/>
      <c r="H544" s="49"/>
      <c r="I544" s="49"/>
      <c r="J544" s="49"/>
      <c r="K544" s="24"/>
      <c r="L544" s="24"/>
      <c r="M544" s="103"/>
    </row>
    <row r="545" spans="1:13" ht="22.5" customHeight="1">
      <c r="A545" s="50"/>
      <c r="B545" s="17"/>
      <c r="C545" s="102"/>
      <c r="D545" s="48"/>
      <c r="E545" s="49"/>
      <c r="F545" s="49"/>
      <c r="G545" s="49"/>
      <c r="H545" s="49"/>
      <c r="I545" s="49"/>
      <c r="J545" s="49"/>
      <c r="K545" s="24"/>
      <c r="L545" s="24"/>
      <c r="M545" s="103"/>
    </row>
    <row r="546" spans="1:13" ht="22.5" customHeight="1">
      <c r="A546" s="50"/>
      <c r="B546" s="17"/>
      <c r="C546" s="102"/>
      <c r="D546" s="48"/>
      <c r="E546" s="49"/>
      <c r="F546" s="49"/>
      <c r="G546" s="49"/>
      <c r="H546" s="49"/>
      <c r="I546" s="49"/>
      <c r="J546" s="49"/>
      <c r="K546" s="24"/>
      <c r="L546" s="24"/>
      <c r="M546" s="103"/>
    </row>
    <row r="547" spans="1:13" ht="22.5" customHeight="1">
      <c r="A547" s="50"/>
      <c r="B547" s="17"/>
      <c r="C547" s="102"/>
      <c r="D547" s="48"/>
      <c r="E547" s="49"/>
      <c r="F547" s="49"/>
      <c r="G547" s="49"/>
      <c r="H547" s="49"/>
      <c r="I547" s="49"/>
      <c r="J547" s="49"/>
      <c r="K547" s="24"/>
      <c r="L547" s="24"/>
      <c r="M547" s="103"/>
    </row>
    <row r="548" spans="1:13" ht="22.5" customHeight="1">
      <c r="A548" s="50"/>
      <c r="B548" s="17"/>
      <c r="C548" s="102"/>
      <c r="D548" s="48"/>
      <c r="E548" s="49"/>
      <c r="F548" s="49"/>
      <c r="G548" s="49"/>
      <c r="H548" s="49"/>
      <c r="I548" s="49"/>
      <c r="J548" s="49"/>
      <c r="K548" s="24"/>
      <c r="L548" s="24"/>
      <c r="M548" s="103"/>
    </row>
    <row r="549" spans="1:13" ht="22.5" customHeight="1">
      <c r="A549" s="50"/>
      <c r="B549" s="17"/>
      <c r="C549" s="102"/>
      <c r="D549" s="48"/>
      <c r="E549" s="49"/>
      <c r="F549" s="49"/>
      <c r="G549" s="49"/>
      <c r="H549" s="49"/>
      <c r="I549" s="49"/>
      <c r="J549" s="49"/>
      <c r="K549" s="24"/>
      <c r="L549" s="24"/>
      <c r="M549" s="103"/>
    </row>
    <row r="550" spans="1:13" ht="22.5" customHeight="1">
      <c r="A550" s="50"/>
      <c r="B550" s="17"/>
      <c r="C550" s="102"/>
      <c r="D550" s="48"/>
      <c r="E550" s="49"/>
      <c r="F550" s="49"/>
      <c r="G550" s="49"/>
      <c r="H550" s="49"/>
      <c r="I550" s="49"/>
      <c r="J550" s="49"/>
      <c r="K550" s="24"/>
      <c r="L550" s="24"/>
      <c r="M550" s="103"/>
    </row>
    <row r="551" spans="1:13" ht="22.5" customHeight="1">
      <c r="A551" s="50"/>
      <c r="B551" s="17"/>
      <c r="C551" s="102"/>
      <c r="D551" s="48"/>
      <c r="E551" s="49"/>
      <c r="F551" s="49"/>
      <c r="G551" s="49"/>
      <c r="H551" s="49"/>
      <c r="I551" s="49"/>
      <c r="J551" s="49"/>
      <c r="K551" s="24"/>
      <c r="L551" s="24"/>
      <c r="M551" s="103"/>
    </row>
    <row r="552" spans="1:13" ht="22.5" customHeight="1">
      <c r="A552" s="50"/>
      <c r="B552" s="17"/>
      <c r="C552" s="102"/>
      <c r="D552" s="48"/>
      <c r="E552" s="49"/>
      <c r="F552" s="49"/>
      <c r="G552" s="49"/>
      <c r="H552" s="49"/>
      <c r="I552" s="49"/>
      <c r="J552" s="49"/>
      <c r="K552" s="24"/>
      <c r="L552" s="24"/>
      <c r="M552" s="103"/>
    </row>
    <row r="553" spans="1:13" ht="22.5" customHeight="1">
      <c r="A553" s="50"/>
      <c r="B553" s="17"/>
      <c r="C553" s="102"/>
      <c r="D553" s="48"/>
      <c r="E553" s="49"/>
      <c r="F553" s="49"/>
      <c r="G553" s="49"/>
      <c r="H553" s="49"/>
      <c r="I553" s="49"/>
      <c r="J553" s="49"/>
      <c r="K553" s="24"/>
      <c r="L553" s="24"/>
      <c r="M553" s="103"/>
    </row>
    <row r="554" spans="1:13" ht="22.5" customHeight="1">
      <c r="A554" s="50"/>
      <c r="B554" s="17"/>
      <c r="C554" s="102"/>
      <c r="D554" s="48"/>
      <c r="E554" s="49"/>
      <c r="F554" s="49"/>
      <c r="G554" s="49"/>
      <c r="H554" s="49"/>
      <c r="I554" s="49"/>
      <c r="J554" s="49"/>
      <c r="K554" s="24"/>
      <c r="L554" s="24"/>
      <c r="M554" s="103"/>
    </row>
    <row r="555" spans="1:13" ht="22.5" customHeight="1">
      <c r="A555" s="50"/>
      <c r="B555" s="17"/>
      <c r="C555" s="102"/>
      <c r="D555" s="48"/>
      <c r="E555" s="49"/>
      <c r="F555" s="49"/>
      <c r="G555" s="49"/>
      <c r="H555" s="49"/>
      <c r="I555" s="49"/>
      <c r="J555" s="49"/>
      <c r="K555" s="24"/>
      <c r="L555" s="24"/>
      <c r="M555" s="103"/>
    </row>
    <row r="556" spans="1:13" ht="22.5" customHeight="1">
      <c r="A556" s="50"/>
      <c r="B556" s="17"/>
      <c r="C556" s="102"/>
      <c r="D556" s="48"/>
      <c r="E556" s="49"/>
      <c r="F556" s="49"/>
      <c r="G556" s="49"/>
      <c r="H556" s="49"/>
      <c r="I556" s="49"/>
      <c r="J556" s="49"/>
      <c r="K556" s="24"/>
      <c r="L556" s="24"/>
      <c r="M556" s="103"/>
    </row>
    <row r="557" spans="1:13" ht="22.5" customHeight="1">
      <c r="A557" s="50"/>
      <c r="B557" s="17"/>
      <c r="C557" s="102"/>
      <c r="D557" s="48"/>
      <c r="E557" s="49"/>
      <c r="F557" s="49"/>
      <c r="G557" s="49"/>
      <c r="H557" s="49"/>
      <c r="I557" s="49"/>
      <c r="J557" s="49"/>
      <c r="K557" s="24"/>
      <c r="L557" s="24"/>
      <c r="M557" s="103"/>
    </row>
    <row r="558" spans="1:13" ht="22.5" customHeight="1">
      <c r="A558" s="50"/>
      <c r="B558" s="17"/>
      <c r="C558" s="102"/>
      <c r="D558" s="48"/>
      <c r="E558" s="49"/>
      <c r="F558" s="49"/>
      <c r="G558" s="49"/>
      <c r="H558" s="49"/>
      <c r="I558" s="49"/>
      <c r="J558" s="49"/>
      <c r="K558" s="24"/>
      <c r="L558" s="24"/>
      <c r="M558" s="103"/>
    </row>
    <row r="559" spans="1:13" ht="22.5" customHeight="1">
      <c r="A559" s="50"/>
      <c r="B559" s="17"/>
      <c r="C559" s="102"/>
      <c r="D559" s="48"/>
      <c r="E559" s="49"/>
      <c r="F559" s="49"/>
      <c r="G559" s="49"/>
      <c r="H559" s="49"/>
      <c r="I559" s="49"/>
      <c r="J559" s="49"/>
      <c r="K559" s="24"/>
      <c r="L559" s="24"/>
      <c r="M559" s="103"/>
    </row>
    <row r="560" spans="1:13" ht="22.5" customHeight="1">
      <c r="A560" s="50"/>
      <c r="B560" s="17"/>
      <c r="C560" s="102"/>
      <c r="D560" s="48"/>
      <c r="E560" s="49"/>
      <c r="F560" s="49"/>
      <c r="G560" s="49"/>
      <c r="H560" s="49"/>
      <c r="I560" s="49"/>
      <c r="J560" s="49"/>
      <c r="K560" s="24"/>
      <c r="L560" s="24"/>
      <c r="M560" s="103"/>
    </row>
    <row r="561" spans="1:13" ht="22.5" customHeight="1">
      <c r="A561" s="50"/>
      <c r="B561" s="17"/>
      <c r="C561" s="102"/>
      <c r="D561" s="48"/>
      <c r="E561" s="49"/>
      <c r="F561" s="49"/>
      <c r="G561" s="49"/>
      <c r="H561" s="49"/>
      <c r="I561" s="49"/>
      <c r="J561" s="49"/>
      <c r="K561" s="24"/>
      <c r="L561" s="24"/>
      <c r="M561" s="103"/>
    </row>
    <row r="562" spans="1:13" ht="22.5" customHeight="1">
      <c r="A562" s="50"/>
      <c r="B562" s="17"/>
      <c r="C562" s="102"/>
      <c r="D562" s="48"/>
      <c r="E562" s="49"/>
      <c r="F562" s="49"/>
      <c r="G562" s="49"/>
      <c r="H562" s="49"/>
      <c r="I562" s="49"/>
      <c r="J562" s="49"/>
      <c r="K562" s="24"/>
      <c r="L562" s="24"/>
      <c r="M562" s="103"/>
    </row>
    <row r="563" spans="1:13" ht="22.5" customHeight="1">
      <c r="A563" s="50"/>
      <c r="B563" s="17"/>
      <c r="C563" s="102"/>
      <c r="D563" s="48"/>
      <c r="E563" s="49"/>
      <c r="F563" s="49"/>
      <c r="G563" s="49"/>
      <c r="H563" s="49"/>
      <c r="I563" s="49"/>
      <c r="J563" s="49"/>
      <c r="K563" s="24"/>
      <c r="L563" s="24"/>
      <c r="M563" s="103"/>
    </row>
    <row r="564" spans="1:13" ht="22.5" customHeight="1">
      <c r="A564" s="50"/>
      <c r="B564" s="17"/>
      <c r="C564" s="102"/>
      <c r="D564" s="48"/>
      <c r="E564" s="49"/>
      <c r="F564" s="49"/>
      <c r="G564" s="49"/>
      <c r="H564" s="49"/>
      <c r="I564" s="49"/>
      <c r="J564" s="49"/>
      <c r="K564" s="24"/>
      <c r="L564" s="24"/>
      <c r="M564" s="103"/>
    </row>
    <row r="565" spans="1:13" ht="22.5" customHeight="1">
      <c r="A565" s="50"/>
      <c r="B565" s="17"/>
      <c r="C565" s="102"/>
      <c r="D565" s="48"/>
      <c r="E565" s="49"/>
      <c r="F565" s="49"/>
      <c r="G565" s="49"/>
      <c r="H565" s="49"/>
      <c r="I565" s="49"/>
      <c r="J565" s="49"/>
      <c r="K565" s="24"/>
      <c r="L565" s="24"/>
      <c r="M565" s="103"/>
    </row>
    <row r="566" spans="1:13" ht="22.5" customHeight="1">
      <c r="A566" s="50"/>
      <c r="B566" s="17"/>
      <c r="C566" s="102"/>
      <c r="D566" s="48"/>
      <c r="E566" s="49"/>
      <c r="F566" s="49"/>
      <c r="G566" s="49"/>
      <c r="H566" s="49"/>
      <c r="I566" s="49"/>
      <c r="J566" s="49"/>
      <c r="K566" s="24"/>
      <c r="L566" s="24"/>
      <c r="M566" s="103"/>
    </row>
    <row r="567" spans="1:13" ht="22.5" customHeight="1">
      <c r="A567" s="50"/>
      <c r="B567" s="17"/>
      <c r="C567" s="102"/>
      <c r="D567" s="48"/>
      <c r="E567" s="49"/>
      <c r="F567" s="49"/>
      <c r="G567" s="49"/>
      <c r="H567" s="49"/>
      <c r="I567" s="49"/>
      <c r="J567" s="49"/>
      <c r="K567" s="24"/>
      <c r="L567" s="24"/>
      <c r="M567" s="103"/>
    </row>
    <row r="568" spans="1:13" ht="22.5" customHeight="1">
      <c r="A568" s="50"/>
      <c r="B568" s="17"/>
      <c r="C568" s="102"/>
      <c r="D568" s="48"/>
      <c r="E568" s="49"/>
      <c r="F568" s="49"/>
      <c r="G568" s="49"/>
      <c r="H568" s="49"/>
      <c r="I568" s="49"/>
      <c r="J568" s="49"/>
      <c r="K568" s="24"/>
      <c r="L568" s="24"/>
      <c r="M568" s="103"/>
    </row>
    <row r="569" spans="1:13" ht="22.5" customHeight="1">
      <c r="A569" s="50"/>
      <c r="B569" s="17"/>
      <c r="C569" s="102"/>
      <c r="D569" s="48"/>
      <c r="E569" s="49"/>
      <c r="F569" s="49"/>
      <c r="G569" s="49"/>
      <c r="H569" s="49"/>
      <c r="I569" s="49"/>
      <c r="J569" s="49"/>
      <c r="K569" s="24"/>
      <c r="L569" s="24"/>
      <c r="M569" s="103"/>
    </row>
    <row r="570" spans="1:13" ht="22.5" customHeight="1">
      <c r="A570" s="50"/>
      <c r="B570" s="17"/>
      <c r="C570" s="102"/>
      <c r="D570" s="48"/>
      <c r="E570" s="49"/>
      <c r="F570" s="49"/>
      <c r="G570" s="49"/>
      <c r="H570" s="49"/>
      <c r="I570" s="49"/>
      <c r="J570" s="49"/>
      <c r="K570" s="24"/>
      <c r="L570" s="24"/>
      <c r="M570" s="103"/>
    </row>
    <row r="571" spans="1:13" ht="22.5" customHeight="1">
      <c r="A571" s="50"/>
      <c r="B571" s="17"/>
      <c r="C571" s="102"/>
      <c r="D571" s="48"/>
      <c r="E571" s="49"/>
      <c r="F571" s="49"/>
      <c r="G571" s="49"/>
      <c r="H571" s="49"/>
      <c r="I571" s="49"/>
      <c r="J571" s="49"/>
      <c r="K571" s="24"/>
      <c r="L571" s="24"/>
      <c r="M571" s="103"/>
    </row>
    <row r="572" spans="1:13" ht="22.5" customHeight="1">
      <c r="A572" s="50"/>
      <c r="B572" s="17"/>
      <c r="C572" s="102"/>
      <c r="D572" s="48"/>
      <c r="E572" s="49"/>
      <c r="F572" s="49"/>
      <c r="G572" s="49"/>
      <c r="H572" s="49"/>
      <c r="I572" s="49"/>
      <c r="J572" s="49"/>
      <c r="K572" s="24"/>
      <c r="L572" s="24"/>
      <c r="M572" s="103"/>
    </row>
    <row r="573" spans="1:13" ht="22.5" customHeight="1">
      <c r="A573" s="50"/>
      <c r="B573" s="17"/>
      <c r="C573" s="102"/>
      <c r="D573" s="48"/>
      <c r="E573" s="49"/>
      <c r="F573" s="49"/>
      <c r="G573" s="49"/>
      <c r="H573" s="49"/>
      <c r="I573" s="49"/>
      <c r="J573" s="49"/>
      <c r="K573" s="24"/>
      <c r="L573" s="24"/>
      <c r="M573" s="103"/>
    </row>
    <row r="574" spans="1:13" ht="22.5" customHeight="1">
      <c r="A574" s="50"/>
      <c r="B574" s="17"/>
      <c r="C574" s="102"/>
      <c r="D574" s="48"/>
      <c r="E574" s="49"/>
      <c r="F574" s="49"/>
      <c r="G574" s="49"/>
      <c r="H574" s="49"/>
      <c r="I574" s="49"/>
      <c r="J574" s="49"/>
      <c r="K574" s="24"/>
      <c r="L574" s="24"/>
      <c r="M574" s="103"/>
    </row>
    <row r="575" spans="1:13" ht="22.5" customHeight="1">
      <c r="A575" s="50"/>
      <c r="B575" s="17"/>
      <c r="C575" s="102"/>
      <c r="D575" s="48"/>
      <c r="E575" s="49"/>
      <c r="F575" s="49"/>
      <c r="G575" s="49"/>
      <c r="H575" s="49"/>
      <c r="I575" s="49"/>
      <c r="J575" s="49"/>
      <c r="K575" s="24"/>
      <c r="L575" s="24"/>
      <c r="M575" s="103"/>
    </row>
    <row r="576" spans="1:13" ht="22.5" customHeight="1">
      <c r="A576" s="50"/>
      <c r="B576" s="17"/>
      <c r="C576" s="102"/>
      <c r="D576" s="48"/>
      <c r="E576" s="49"/>
      <c r="F576" s="49"/>
      <c r="G576" s="49"/>
      <c r="H576" s="49"/>
      <c r="I576" s="49"/>
      <c r="J576" s="49"/>
      <c r="K576" s="24"/>
      <c r="L576" s="24"/>
      <c r="M576" s="103"/>
    </row>
    <row r="577" spans="1:13" ht="22.5" customHeight="1">
      <c r="A577" s="50"/>
      <c r="B577" s="17"/>
      <c r="C577" s="102"/>
      <c r="D577" s="48"/>
      <c r="E577" s="49"/>
      <c r="F577" s="49"/>
      <c r="G577" s="49"/>
      <c r="H577" s="49"/>
      <c r="I577" s="49"/>
      <c r="J577" s="49"/>
      <c r="K577" s="24"/>
      <c r="L577" s="24"/>
      <c r="M577" s="103"/>
    </row>
    <row r="578" spans="1:13" ht="22.5" customHeight="1">
      <c r="A578" s="50"/>
      <c r="B578" s="17"/>
      <c r="C578" s="102"/>
      <c r="D578" s="48"/>
      <c r="E578" s="49"/>
      <c r="F578" s="49"/>
      <c r="G578" s="49"/>
      <c r="H578" s="49"/>
      <c r="I578" s="49"/>
      <c r="J578" s="49"/>
      <c r="K578" s="24"/>
      <c r="L578" s="24"/>
      <c r="M578" s="103"/>
    </row>
    <row r="579" spans="1:13" ht="22.5" customHeight="1">
      <c r="A579" s="50"/>
      <c r="B579" s="17"/>
      <c r="C579" s="102"/>
      <c r="D579" s="48"/>
      <c r="E579" s="49"/>
      <c r="F579" s="49"/>
      <c r="G579" s="49"/>
      <c r="H579" s="49"/>
      <c r="I579" s="49"/>
      <c r="J579" s="49"/>
      <c r="K579" s="24"/>
      <c r="L579" s="24"/>
      <c r="M579" s="103"/>
    </row>
    <row r="580" spans="1:13" ht="22.5" customHeight="1">
      <c r="A580" s="50"/>
      <c r="B580" s="17"/>
      <c r="C580" s="102"/>
      <c r="D580" s="48"/>
      <c r="E580" s="49"/>
      <c r="F580" s="49"/>
      <c r="G580" s="49"/>
      <c r="H580" s="49"/>
      <c r="I580" s="49"/>
      <c r="J580" s="49"/>
      <c r="K580" s="24"/>
      <c r="L580" s="24"/>
      <c r="M580" s="103"/>
    </row>
    <row r="581" spans="1:13" ht="22.5" customHeight="1">
      <c r="A581" s="50"/>
      <c r="B581" s="17"/>
      <c r="C581" s="102"/>
      <c r="D581" s="48"/>
      <c r="E581" s="49"/>
      <c r="F581" s="49"/>
      <c r="G581" s="49"/>
      <c r="H581" s="49"/>
      <c r="I581" s="49"/>
      <c r="J581" s="49"/>
      <c r="K581" s="24"/>
      <c r="L581" s="24"/>
      <c r="M581" s="103"/>
    </row>
    <row r="582" spans="1:13" ht="22.5" customHeight="1">
      <c r="A582" s="50"/>
      <c r="B582" s="17"/>
      <c r="C582" s="102"/>
      <c r="D582" s="48"/>
      <c r="E582" s="49"/>
      <c r="F582" s="49"/>
      <c r="G582" s="49"/>
      <c r="H582" s="49"/>
      <c r="I582" s="49"/>
      <c r="J582" s="49"/>
      <c r="K582" s="24"/>
      <c r="L582" s="24"/>
      <c r="M582" s="103"/>
    </row>
    <row r="583" spans="1:13" ht="22.5" customHeight="1">
      <c r="A583" s="50"/>
      <c r="B583" s="17"/>
      <c r="C583" s="102"/>
      <c r="D583" s="48"/>
      <c r="E583" s="49"/>
      <c r="F583" s="49"/>
      <c r="G583" s="49"/>
      <c r="H583" s="49"/>
      <c r="I583" s="49"/>
      <c r="J583" s="49"/>
      <c r="K583" s="24"/>
      <c r="L583" s="24"/>
      <c r="M583" s="103"/>
    </row>
    <row r="584" spans="1:13" ht="22.5" customHeight="1">
      <c r="A584" s="50"/>
      <c r="B584" s="17"/>
      <c r="C584" s="102"/>
      <c r="D584" s="48"/>
      <c r="E584" s="49"/>
      <c r="F584" s="49"/>
      <c r="G584" s="49"/>
      <c r="H584" s="49"/>
      <c r="I584" s="49"/>
      <c r="J584" s="49"/>
      <c r="K584" s="24"/>
      <c r="L584" s="24"/>
      <c r="M584" s="103"/>
    </row>
    <row r="585" spans="1:13" ht="22.5" customHeight="1">
      <c r="A585" s="50"/>
      <c r="B585" s="17"/>
      <c r="C585" s="102"/>
      <c r="D585" s="48"/>
      <c r="E585" s="49"/>
      <c r="F585" s="49"/>
      <c r="G585" s="49"/>
      <c r="H585" s="49"/>
      <c r="I585" s="49"/>
      <c r="J585" s="49"/>
      <c r="K585" s="24"/>
      <c r="L585" s="24"/>
      <c r="M585" s="103"/>
    </row>
    <row r="586" spans="1:13" ht="22.5" customHeight="1">
      <c r="A586" s="50"/>
      <c r="B586" s="17"/>
      <c r="C586" s="102"/>
      <c r="D586" s="48"/>
      <c r="E586" s="49"/>
      <c r="F586" s="49"/>
      <c r="G586" s="49"/>
      <c r="H586" s="49"/>
      <c r="I586" s="49"/>
      <c r="J586" s="49"/>
      <c r="K586" s="24"/>
      <c r="L586" s="24"/>
      <c r="M586" s="103"/>
    </row>
    <row r="587" spans="1:13" ht="22.5" customHeight="1">
      <c r="A587" s="50"/>
      <c r="B587" s="17"/>
      <c r="C587" s="102"/>
      <c r="D587" s="48"/>
      <c r="E587" s="49"/>
      <c r="F587" s="49"/>
      <c r="G587" s="49"/>
      <c r="H587" s="49"/>
      <c r="I587" s="49"/>
      <c r="J587" s="49"/>
      <c r="K587" s="24"/>
      <c r="L587" s="24"/>
      <c r="M587" s="103"/>
    </row>
    <row r="588" spans="1:13" ht="22.5" customHeight="1">
      <c r="A588" s="50"/>
      <c r="B588" s="17"/>
      <c r="C588" s="102"/>
      <c r="D588" s="48"/>
      <c r="E588" s="49"/>
      <c r="F588" s="49"/>
      <c r="G588" s="49"/>
      <c r="H588" s="49"/>
      <c r="I588" s="49"/>
      <c r="J588" s="49"/>
      <c r="K588" s="24"/>
      <c r="L588" s="24"/>
      <c r="M588" s="103"/>
    </row>
    <row r="589" spans="1:13" ht="22.5" customHeight="1">
      <c r="A589" s="50"/>
      <c r="B589" s="17"/>
      <c r="C589" s="102"/>
      <c r="D589" s="48"/>
      <c r="E589" s="49"/>
      <c r="F589" s="49"/>
      <c r="G589" s="49"/>
      <c r="H589" s="49"/>
      <c r="I589" s="49"/>
      <c r="J589" s="49"/>
      <c r="K589" s="24"/>
      <c r="L589" s="24"/>
      <c r="M589" s="103"/>
    </row>
    <row r="590" spans="1:13" ht="22.5" customHeight="1">
      <c r="A590" s="50"/>
      <c r="B590" s="17"/>
      <c r="C590" s="102"/>
      <c r="D590" s="48"/>
      <c r="E590" s="49"/>
      <c r="F590" s="49"/>
      <c r="G590" s="49"/>
      <c r="H590" s="49"/>
      <c r="I590" s="49"/>
      <c r="J590" s="49"/>
      <c r="K590" s="24"/>
      <c r="L590" s="24"/>
      <c r="M590" s="103"/>
    </row>
    <row r="591" spans="1:13" ht="22.5" customHeight="1">
      <c r="A591" s="50"/>
      <c r="B591" s="17"/>
      <c r="C591" s="102"/>
      <c r="D591" s="48"/>
      <c r="E591" s="49"/>
      <c r="F591" s="49"/>
      <c r="G591" s="49"/>
      <c r="H591" s="49"/>
      <c r="I591" s="49"/>
      <c r="J591" s="49"/>
      <c r="K591" s="24"/>
      <c r="L591" s="24"/>
      <c r="M591" s="103"/>
    </row>
    <row r="592" spans="1:13" ht="22.5" customHeight="1">
      <c r="A592" s="50"/>
      <c r="B592" s="17"/>
      <c r="C592" s="102"/>
      <c r="D592" s="48"/>
      <c r="E592" s="49"/>
      <c r="F592" s="49"/>
      <c r="G592" s="49"/>
      <c r="H592" s="49"/>
      <c r="I592" s="49"/>
      <c r="J592" s="49"/>
      <c r="K592" s="24"/>
      <c r="L592" s="24"/>
      <c r="M592" s="103"/>
    </row>
    <row r="593" spans="1:13" ht="22.5" customHeight="1">
      <c r="A593" s="50"/>
      <c r="B593" s="17"/>
      <c r="C593" s="102"/>
      <c r="D593" s="48"/>
      <c r="E593" s="49"/>
      <c r="F593" s="49"/>
      <c r="G593" s="49"/>
      <c r="H593" s="49"/>
      <c r="I593" s="49"/>
      <c r="J593" s="49"/>
      <c r="K593" s="24"/>
      <c r="L593" s="24"/>
      <c r="M593" s="103"/>
    </row>
    <row r="594" spans="1:13" ht="22.5" customHeight="1">
      <c r="A594" s="50"/>
      <c r="B594" s="17"/>
      <c r="C594" s="102"/>
      <c r="D594" s="48"/>
      <c r="E594" s="49"/>
      <c r="F594" s="49"/>
      <c r="G594" s="49"/>
      <c r="H594" s="49"/>
      <c r="I594" s="49"/>
      <c r="J594" s="49"/>
      <c r="K594" s="24"/>
      <c r="L594" s="24"/>
      <c r="M594" s="103"/>
    </row>
    <row r="595" spans="1:13" ht="22.5" customHeight="1">
      <c r="A595" s="50"/>
      <c r="B595" s="17"/>
      <c r="C595" s="102"/>
      <c r="D595" s="48"/>
      <c r="E595" s="49"/>
      <c r="F595" s="49"/>
      <c r="G595" s="49"/>
      <c r="H595" s="49"/>
      <c r="I595" s="49"/>
      <c r="J595" s="49"/>
      <c r="K595" s="24"/>
      <c r="L595" s="24"/>
      <c r="M595" s="103"/>
    </row>
    <row r="596" spans="1:13" ht="22.5" customHeight="1">
      <c r="A596" s="50"/>
      <c r="B596" s="17"/>
      <c r="C596" s="102"/>
      <c r="D596" s="48"/>
      <c r="E596" s="49"/>
      <c r="F596" s="49"/>
      <c r="G596" s="49"/>
      <c r="H596" s="49"/>
      <c r="I596" s="49"/>
      <c r="J596" s="49"/>
      <c r="K596" s="24"/>
      <c r="L596" s="24"/>
      <c r="M596" s="103"/>
    </row>
    <row r="597" spans="1:13" ht="22.5" customHeight="1">
      <c r="A597" s="50"/>
      <c r="B597" s="17"/>
      <c r="C597" s="102"/>
      <c r="D597" s="48"/>
      <c r="E597" s="49"/>
      <c r="F597" s="49"/>
      <c r="G597" s="49"/>
      <c r="H597" s="49"/>
      <c r="I597" s="49"/>
      <c r="J597" s="49"/>
      <c r="K597" s="24"/>
      <c r="L597" s="24"/>
      <c r="M597" s="103"/>
    </row>
    <row r="598" spans="1:13" ht="22.5" customHeight="1">
      <c r="A598" s="50"/>
      <c r="B598" s="17"/>
      <c r="C598" s="102"/>
      <c r="D598" s="48"/>
      <c r="E598" s="49"/>
      <c r="F598" s="49"/>
      <c r="G598" s="49"/>
      <c r="H598" s="49"/>
      <c r="I598" s="49"/>
      <c r="J598" s="49"/>
      <c r="K598" s="24"/>
      <c r="L598" s="24"/>
      <c r="M598" s="103"/>
    </row>
    <row r="599" spans="1:13" ht="22.5" customHeight="1">
      <c r="A599" s="50"/>
      <c r="B599" s="17"/>
      <c r="C599" s="102"/>
      <c r="D599" s="48"/>
      <c r="E599" s="49"/>
      <c r="F599" s="49"/>
      <c r="G599" s="49"/>
      <c r="H599" s="49"/>
      <c r="I599" s="49"/>
      <c r="J599" s="49"/>
      <c r="K599" s="24"/>
      <c r="L599" s="24"/>
      <c r="M599" s="103"/>
    </row>
    <row r="600" spans="1:13" ht="22.5" customHeight="1">
      <c r="A600" s="50"/>
      <c r="B600" s="17"/>
      <c r="C600" s="102"/>
      <c r="D600" s="48"/>
      <c r="E600" s="49"/>
      <c r="F600" s="49"/>
      <c r="G600" s="49"/>
      <c r="H600" s="49"/>
      <c r="I600" s="49"/>
      <c r="J600" s="49"/>
      <c r="K600" s="24"/>
      <c r="L600" s="24"/>
      <c r="M600" s="103"/>
    </row>
    <row r="601" spans="1:13" ht="22.5" customHeight="1">
      <c r="A601" s="50"/>
      <c r="B601" s="17"/>
      <c r="C601" s="102"/>
      <c r="D601" s="48"/>
      <c r="E601" s="49"/>
      <c r="F601" s="49"/>
      <c r="G601" s="49"/>
      <c r="H601" s="49"/>
      <c r="I601" s="49"/>
      <c r="J601" s="49"/>
      <c r="K601" s="24"/>
      <c r="L601" s="24"/>
      <c r="M601" s="103"/>
    </row>
    <row r="602" spans="1:13" ht="22.5" customHeight="1">
      <c r="A602" s="50"/>
      <c r="B602" s="17"/>
      <c r="C602" s="102"/>
      <c r="D602" s="48"/>
      <c r="E602" s="49"/>
      <c r="F602" s="49"/>
      <c r="G602" s="49"/>
      <c r="H602" s="49"/>
      <c r="I602" s="49"/>
      <c r="J602" s="49"/>
      <c r="K602" s="24"/>
      <c r="L602" s="24"/>
      <c r="M602" s="103"/>
    </row>
    <row r="603" spans="1:13" ht="22.5" customHeight="1">
      <c r="A603" s="50"/>
      <c r="B603" s="17"/>
      <c r="C603" s="102"/>
      <c r="D603" s="48"/>
      <c r="E603" s="49"/>
      <c r="F603" s="49"/>
      <c r="G603" s="49"/>
      <c r="H603" s="49"/>
      <c r="I603" s="49"/>
      <c r="J603" s="49"/>
      <c r="K603" s="24"/>
      <c r="L603" s="24"/>
      <c r="M603" s="103"/>
    </row>
    <row r="604" spans="1:13" ht="22.5" customHeight="1">
      <c r="A604" s="50"/>
      <c r="B604" s="17"/>
      <c r="C604" s="102"/>
      <c r="D604" s="48"/>
      <c r="E604" s="49"/>
      <c r="F604" s="49"/>
      <c r="G604" s="49"/>
      <c r="H604" s="49"/>
      <c r="I604" s="49"/>
      <c r="J604" s="49"/>
      <c r="K604" s="24"/>
      <c r="L604" s="24"/>
      <c r="M604" s="103"/>
    </row>
    <row r="605" spans="1:13" ht="22.5" customHeight="1">
      <c r="A605" s="50"/>
      <c r="B605" s="17"/>
      <c r="C605" s="102"/>
      <c r="D605" s="48"/>
      <c r="E605" s="49"/>
      <c r="F605" s="49"/>
      <c r="G605" s="49"/>
      <c r="H605" s="49"/>
      <c r="I605" s="49"/>
      <c r="J605" s="49"/>
      <c r="K605" s="24"/>
      <c r="L605" s="24"/>
      <c r="M605" s="103"/>
    </row>
    <row r="606" spans="1:13" ht="22.5" customHeight="1">
      <c r="A606" s="50"/>
      <c r="B606" s="17"/>
      <c r="C606" s="102"/>
      <c r="D606" s="48"/>
      <c r="E606" s="49"/>
      <c r="F606" s="49"/>
      <c r="G606" s="49"/>
      <c r="H606" s="49"/>
      <c r="I606" s="49"/>
      <c r="J606" s="49"/>
      <c r="K606" s="24"/>
      <c r="L606" s="24"/>
      <c r="M606" s="103"/>
    </row>
    <row r="607" spans="1:13" ht="22.5" customHeight="1">
      <c r="A607" s="50"/>
      <c r="B607" s="17"/>
      <c r="C607" s="102"/>
      <c r="D607" s="48"/>
      <c r="E607" s="49"/>
      <c r="F607" s="49"/>
      <c r="G607" s="49"/>
      <c r="H607" s="49"/>
      <c r="I607" s="49"/>
      <c r="J607" s="49"/>
      <c r="K607" s="24"/>
      <c r="L607" s="24"/>
      <c r="M607" s="103"/>
    </row>
    <row r="608" spans="1:13" ht="22.5" customHeight="1">
      <c r="A608" s="50"/>
      <c r="B608" s="17"/>
      <c r="C608" s="102"/>
      <c r="D608" s="48"/>
      <c r="E608" s="49"/>
      <c r="F608" s="49"/>
      <c r="G608" s="49"/>
      <c r="H608" s="49"/>
      <c r="I608" s="49"/>
      <c r="J608" s="49"/>
      <c r="K608" s="24"/>
      <c r="L608" s="24"/>
      <c r="M608" s="103"/>
    </row>
    <row r="609" spans="1:13" ht="22.5" customHeight="1">
      <c r="A609" s="50"/>
      <c r="B609" s="17"/>
      <c r="C609" s="102"/>
      <c r="D609" s="48"/>
      <c r="E609" s="49"/>
      <c r="F609" s="49"/>
      <c r="G609" s="49"/>
      <c r="H609" s="49"/>
      <c r="I609" s="49"/>
      <c r="J609" s="49"/>
      <c r="K609" s="24"/>
      <c r="L609" s="24"/>
      <c r="M609" s="103"/>
    </row>
    <row r="610" spans="1:13" ht="22.5" customHeight="1">
      <c r="A610" s="50"/>
      <c r="B610" s="17"/>
      <c r="C610" s="102"/>
      <c r="D610" s="48"/>
      <c r="E610" s="49"/>
      <c r="F610" s="49"/>
      <c r="G610" s="49"/>
      <c r="H610" s="49"/>
      <c r="I610" s="49"/>
      <c r="J610" s="49"/>
      <c r="K610" s="24"/>
      <c r="L610" s="24"/>
      <c r="M610" s="103"/>
    </row>
    <row r="611" spans="1:13" ht="22.5" customHeight="1">
      <c r="A611" s="50"/>
      <c r="B611" s="17"/>
      <c r="C611" s="102"/>
      <c r="D611" s="48"/>
      <c r="E611" s="49"/>
      <c r="F611" s="49"/>
      <c r="G611" s="49"/>
      <c r="H611" s="49"/>
      <c r="I611" s="49"/>
      <c r="J611" s="49"/>
      <c r="K611" s="24"/>
      <c r="L611" s="24"/>
      <c r="M611" s="103"/>
    </row>
    <row r="612" spans="1:13" ht="22.5" customHeight="1">
      <c r="A612" s="50"/>
      <c r="B612" s="17"/>
      <c r="C612" s="102"/>
      <c r="D612" s="48"/>
      <c r="E612" s="49"/>
      <c r="F612" s="49"/>
      <c r="G612" s="49"/>
      <c r="H612" s="49"/>
      <c r="I612" s="49"/>
      <c r="J612" s="49"/>
      <c r="K612" s="24"/>
      <c r="L612" s="24"/>
      <c r="M612" s="103"/>
    </row>
    <row r="613" spans="1:13" ht="22.5" customHeight="1">
      <c r="A613" s="50"/>
      <c r="B613" s="17"/>
      <c r="C613" s="102"/>
      <c r="D613" s="48"/>
      <c r="E613" s="49"/>
      <c r="F613" s="49"/>
      <c r="G613" s="49"/>
      <c r="H613" s="49"/>
      <c r="I613" s="49"/>
      <c r="J613" s="49"/>
      <c r="K613" s="24"/>
      <c r="L613" s="24"/>
      <c r="M613" s="103"/>
    </row>
    <row r="614" spans="1:13" ht="22.5" customHeight="1">
      <c r="A614" s="50"/>
      <c r="B614" s="17"/>
      <c r="C614" s="102"/>
      <c r="D614" s="48"/>
      <c r="E614" s="49"/>
      <c r="F614" s="49"/>
      <c r="G614" s="49"/>
      <c r="H614" s="49"/>
      <c r="I614" s="49"/>
      <c r="J614" s="49"/>
      <c r="K614" s="24"/>
      <c r="L614" s="24"/>
      <c r="M614" s="103"/>
    </row>
    <row r="615" spans="1:13" ht="22.5" customHeight="1">
      <c r="A615" s="50"/>
      <c r="B615" s="17"/>
      <c r="C615" s="102"/>
      <c r="D615" s="48"/>
      <c r="E615" s="49"/>
      <c r="F615" s="49"/>
      <c r="G615" s="49"/>
      <c r="H615" s="49"/>
      <c r="I615" s="49"/>
      <c r="J615" s="49"/>
      <c r="K615" s="24"/>
      <c r="L615" s="24"/>
      <c r="M615" s="103"/>
    </row>
    <row r="616" spans="1:13" ht="22.5" customHeight="1">
      <c r="A616" s="50"/>
      <c r="B616" s="17"/>
      <c r="C616" s="102"/>
      <c r="D616" s="48"/>
      <c r="E616" s="49"/>
      <c r="F616" s="49"/>
      <c r="G616" s="49"/>
      <c r="H616" s="49"/>
      <c r="I616" s="49"/>
      <c r="J616" s="49"/>
      <c r="K616" s="24"/>
      <c r="L616" s="24"/>
      <c r="M616" s="103"/>
    </row>
    <row r="617" spans="1:13" ht="22.5" customHeight="1">
      <c r="A617" s="50"/>
      <c r="B617" s="17"/>
      <c r="C617" s="102"/>
      <c r="D617" s="48"/>
      <c r="E617" s="49"/>
      <c r="F617" s="49"/>
      <c r="G617" s="49"/>
      <c r="H617" s="49"/>
      <c r="I617" s="49"/>
      <c r="J617" s="49"/>
      <c r="K617" s="24"/>
      <c r="L617" s="24"/>
      <c r="M617" s="103"/>
    </row>
    <row r="618" spans="1:13" ht="22.5" customHeight="1">
      <c r="A618" s="50"/>
      <c r="B618" s="17"/>
      <c r="C618" s="102"/>
      <c r="D618" s="48"/>
      <c r="E618" s="49"/>
      <c r="F618" s="49"/>
      <c r="G618" s="49"/>
      <c r="H618" s="49"/>
      <c r="I618" s="49"/>
      <c r="J618" s="49"/>
      <c r="K618" s="24"/>
      <c r="L618" s="24"/>
      <c r="M618" s="103"/>
    </row>
    <row r="619" spans="1:13" ht="22.5" customHeight="1">
      <c r="A619" s="50"/>
      <c r="B619" s="17"/>
      <c r="C619" s="102"/>
      <c r="D619" s="48"/>
      <c r="E619" s="49"/>
      <c r="F619" s="49"/>
      <c r="G619" s="49"/>
      <c r="H619" s="49"/>
      <c r="I619" s="49"/>
      <c r="J619" s="49"/>
      <c r="K619" s="24"/>
      <c r="L619" s="24"/>
      <c r="M619" s="103"/>
    </row>
    <row r="620" spans="1:13" ht="22.5" customHeight="1">
      <c r="A620" s="50"/>
      <c r="B620" s="17"/>
      <c r="C620" s="102"/>
      <c r="D620" s="48"/>
      <c r="E620" s="49"/>
      <c r="F620" s="49"/>
      <c r="G620" s="49"/>
      <c r="H620" s="49"/>
      <c r="I620" s="49"/>
      <c r="J620" s="49"/>
      <c r="K620" s="24"/>
      <c r="L620" s="24"/>
      <c r="M620" s="103"/>
    </row>
    <row r="621" spans="1:13" ht="22.5" customHeight="1">
      <c r="A621" s="50"/>
      <c r="B621" s="17"/>
      <c r="C621" s="102"/>
      <c r="D621" s="48"/>
      <c r="E621" s="49"/>
      <c r="F621" s="49"/>
      <c r="G621" s="49"/>
      <c r="H621" s="49"/>
      <c r="I621" s="49"/>
      <c r="J621" s="49"/>
      <c r="K621" s="24"/>
      <c r="L621" s="24"/>
      <c r="M621" s="103"/>
    </row>
    <row r="622" spans="1:13" ht="22.5" customHeight="1">
      <c r="A622" s="50"/>
      <c r="B622" s="17"/>
      <c r="C622" s="102"/>
      <c r="D622" s="48"/>
      <c r="E622" s="49"/>
      <c r="F622" s="49"/>
      <c r="G622" s="49"/>
      <c r="H622" s="49"/>
      <c r="I622" s="49"/>
      <c r="J622" s="49"/>
      <c r="K622" s="24"/>
      <c r="L622" s="24"/>
      <c r="M622" s="103"/>
    </row>
    <row r="623" spans="1:13" ht="22.5" customHeight="1">
      <c r="A623" s="50"/>
      <c r="B623" s="17"/>
      <c r="C623" s="102"/>
      <c r="D623" s="48"/>
      <c r="E623" s="49"/>
      <c r="F623" s="49"/>
      <c r="G623" s="49"/>
      <c r="H623" s="49"/>
      <c r="I623" s="49"/>
      <c r="J623" s="49"/>
      <c r="K623" s="24"/>
      <c r="L623" s="24"/>
      <c r="M623" s="103"/>
    </row>
    <row r="624" spans="1:13" ht="22.5" customHeight="1">
      <c r="A624" s="50"/>
      <c r="B624" s="17"/>
      <c r="C624" s="102"/>
      <c r="D624" s="48"/>
      <c r="E624" s="49"/>
      <c r="F624" s="49"/>
      <c r="G624" s="49"/>
      <c r="H624" s="49"/>
      <c r="I624" s="49"/>
      <c r="J624" s="49"/>
      <c r="K624" s="24"/>
      <c r="L624" s="24"/>
      <c r="M624" s="103"/>
    </row>
    <row r="625" spans="1:13" ht="22.5" customHeight="1">
      <c r="A625" s="50"/>
      <c r="B625" s="17"/>
      <c r="C625" s="102"/>
      <c r="D625" s="48"/>
      <c r="E625" s="49"/>
      <c r="F625" s="49"/>
      <c r="G625" s="49"/>
      <c r="H625" s="49"/>
      <c r="I625" s="49"/>
      <c r="J625" s="49"/>
      <c r="K625" s="24"/>
      <c r="L625" s="24"/>
      <c r="M625" s="103"/>
    </row>
    <row r="626" spans="1:13" ht="22.5" customHeight="1">
      <c r="A626" s="50"/>
      <c r="B626" s="17"/>
      <c r="C626" s="102"/>
      <c r="D626" s="48"/>
      <c r="E626" s="49"/>
      <c r="F626" s="49"/>
      <c r="G626" s="49"/>
      <c r="H626" s="49"/>
      <c r="I626" s="49"/>
      <c r="J626" s="49"/>
      <c r="K626" s="24"/>
      <c r="L626" s="24"/>
      <c r="M626" s="103"/>
    </row>
    <row r="627" spans="1:13" ht="22.5" customHeight="1">
      <c r="A627" s="50"/>
      <c r="B627" s="17"/>
      <c r="C627" s="102"/>
      <c r="D627" s="48"/>
      <c r="E627" s="49"/>
      <c r="F627" s="49"/>
      <c r="G627" s="49"/>
      <c r="H627" s="49"/>
      <c r="I627" s="49"/>
      <c r="J627" s="49"/>
      <c r="K627" s="24"/>
      <c r="L627" s="24"/>
      <c r="M627" s="103"/>
    </row>
    <row r="628" spans="1:13" ht="22.5" customHeight="1">
      <c r="A628" s="50"/>
      <c r="B628" s="17"/>
      <c r="C628" s="102"/>
      <c r="D628" s="48"/>
      <c r="E628" s="49"/>
      <c r="F628" s="49"/>
      <c r="G628" s="49"/>
      <c r="H628" s="49"/>
      <c r="I628" s="49"/>
      <c r="J628" s="49"/>
      <c r="K628" s="24"/>
      <c r="L628" s="24"/>
      <c r="M628" s="103"/>
    </row>
    <row r="629" spans="1:13" ht="22.5" customHeight="1">
      <c r="A629" s="50"/>
      <c r="B629" s="17"/>
      <c r="C629" s="102"/>
      <c r="D629" s="48"/>
      <c r="E629" s="49"/>
      <c r="F629" s="49"/>
      <c r="G629" s="49"/>
      <c r="H629" s="49"/>
      <c r="I629" s="49"/>
      <c r="J629" s="49"/>
      <c r="K629" s="24"/>
      <c r="L629" s="24"/>
      <c r="M629" s="103"/>
    </row>
    <row r="630" spans="1:13" ht="22.5" customHeight="1">
      <c r="A630" s="50"/>
      <c r="B630" s="17"/>
      <c r="C630" s="102"/>
      <c r="D630" s="48"/>
      <c r="E630" s="49"/>
      <c r="F630" s="49"/>
      <c r="G630" s="49"/>
      <c r="H630" s="49"/>
      <c r="I630" s="49"/>
      <c r="J630" s="49"/>
      <c r="K630" s="24"/>
      <c r="L630" s="24"/>
      <c r="M630" s="103"/>
    </row>
    <row r="631" spans="1:13" ht="22.5" customHeight="1">
      <c r="A631" s="50"/>
      <c r="B631" s="17"/>
      <c r="C631" s="102"/>
      <c r="D631" s="48"/>
      <c r="E631" s="49"/>
      <c r="F631" s="49"/>
      <c r="G631" s="49"/>
      <c r="H631" s="49"/>
      <c r="I631" s="49"/>
      <c r="J631" s="49"/>
      <c r="K631" s="24"/>
      <c r="L631" s="24"/>
      <c r="M631" s="103"/>
    </row>
    <row r="632" spans="1:13" ht="22.5" customHeight="1">
      <c r="A632" s="50"/>
      <c r="B632" s="17"/>
      <c r="C632" s="102"/>
      <c r="D632" s="48"/>
      <c r="E632" s="49"/>
      <c r="F632" s="49"/>
      <c r="G632" s="49"/>
      <c r="H632" s="49"/>
      <c r="I632" s="49"/>
      <c r="J632" s="49"/>
      <c r="K632" s="24"/>
      <c r="L632" s="24"/>
      <c r="M632" s="103"/>
    </row>
    <row r="633" spans="1:13" ht="22.5" customHeight="1">
      <c r="A633" s="50"/>
      <c r="B633" s="17"/>
      <c r="C633" s="102"/>
      <c r="D633" s="48"/>
      <c r="E633" s="49"/>
      <c r="F633" s="49"/>
      <c r="G633" s="49"/>
      <c r="H633" s="49"/>
      <c r="I633" s="49"/>
      <c r="J633" s="49"/>
      <c r="K633" s="24"/>
      <c r="L633" s="24"/>
      <c r="M633" s="103"/>
    </row>
    <row r="634" spans="1:13" ht="22.5" customHeight="1">
      <c r="A634" s="50"/>
      <c r="B634" s="17"/>
      <c r="C634" s="102"/>
      <c r="D634" s="48"/>
      <c r="E634" s="49"/>
      <c r="F634" s="49"/>
      <c r="G634" s="49"/>
      <c r="H634" s="49"/>
      <c r="I634" s="49"/>
      <c r="J634" s="49"/>
      <c r="K634" s="24"/>
      <c r="L634" s="24"/>
      <c r="M634" s="103"/>
    </row>
    <row r="635" spans="1:13" ht="22.5" customHeight="1">
      <c r="A635" s="50"/>
      <c r="B635" s="17"/>
      <c r="C635" s="102"/>
      <c r="D635" s="48"/>
      <c r="E635" s="49"/>
      <c r="F635" s="49"/>
      <c r="G635" s="49"/>
      <c r="H635" s="49"/>
      <c r="I635" s="49"/>
      <c r="J635" s="49"/>
      <c r="K635" s="24"/>
      <c r="L635" s="24"/>
      <c r="M635" s="103"/>
    </row>
    <row r="636" spans="1:13" ht="22.5" customHeight="1">
      <c r="A636" s="50"/>
      <c r="B636" s="17"/>
      <c r="C636" s="102"/>
      <c r="D636" s="48"/>
      <c r="E636" s="49"/>
      <c r="F636" s="49"/>
      <c r="G636" s="49"/>
      <c r="H636" s="49"/>
      <c r="I636" s="49"/>
      <c r="J636" s="49"/>
      <c r="K636" s="24"/>
      <c r="L636" s="24"/>
      <c r="M636" s="103"/>
    </row>
    <row r="637" spans="1:13" ht="22.5" customHeight="1">
      <c r="A637" s="50"/>
      <c r="B637" s="17"/>
      <c r="C637" s="102"/>
      <c r="D637" s="48"/>
      <c r="E637" s="49"/>
      <c r="F637" s="49"/>
      <c r="G637" s="49"/>
      <c r="H637" s="49"/>
      <c r="I637" s="49"/>
      <c r="J637" s="49"/>
      <c r="K637" s="24"/>
      <c r="L637" s="24"/>
      <c r="M637" s="103"/>
    </row>
    <row r="638" spans="1:13" ht="22.5" customHeight="1">
      <c r="A638" s="50"/>
      <c r="B638" s="17"/>
      <c r="C638" s="102"/>
      <c r="D638" s="48"/>
      <c r="E638" s="49"/>
      <c r="F638" s="49"/>
      <c r="G638" s="49"/>
      <c r="H638" s="49"/>
      <c r="I638" s="49"/>
      <c r="J638" s="49"/>
      <c r="K638" s="24"/>
      <c r="L638" s="24"/>
      <c r="M638" s="103"/>
    </row>
    <row r="639" spans="1:13" ht="22.5" customHeight="1">
      <c r="A639" s="50"/>
      <c r="B639" s="17"/>
      <c r="C639" s="102"/>
      <c r="D639" s="48"/>
      <c r="E639" s="49"/>
      <c r="F639" s="49"/>
      <c r="G639" s="49"/>
      <c r="H639" s="49"/>
      <c r="I639" s="49"/>
      <c r="J639" s="49"/>
      <c r="K639" s="24"/>
      <c r="L639" s="24"/>
      <c r="M639" s="103"/>
    </row>
    <row r="640" spans="1:13" ht="22.5" customHeight="1">
      <c r="A640" s="50"/>
      <c r="B640" s="17"/>
      <c r="C640" s="102"/>
      <c r="D640" s="48"/>
      <c r="E640" s="49"/>
      <c r="F640" s="49"/>
      <c r="G640" s="49"/>
      <c r="H640" s="49"/>
      <c r="I640" s="49"/>
      <c r="J640" s="49"/>
      <c r="K640" s="24"/>
      <c r="L640" s="24"/>
      <c r="M640" s="103"/>
    </row>
    <row r="641" spans="1:13" ht="22.5" customHeight="1">
      <c r="A641" s="50"/>
      <c r="B641" s="17"/>
      <c r="C641" s="102"/>
      <c r="D641" s="48"/>
      <c r="E641" s="49"/>
      <c r="F641" s="49"/>
      <c r="G641" s="49"/>
      <c r="H641" s="49"/>
      <c r="I641" s="49"/>
      <c r="J641" s="49"/>
      <c r="K641" s="24"/>
      <c r="L641" s="24"/>
      <c r="M641" s="103"/>
    </row>
    <row r="642" spans="1:13" ht="22.5" customHeight="1">
      <c r="A642" s="50"/>
      <c r="B642" s="17"/>
      <c r="C642" s="102"/>
      <c r="D642" s="48"/>
      <c r="E642" s="49"/>
      <c r="F642" s="49"/>
      <c r="G642" s="49"/>
      <c r="H642" s="49"/>
      <c r="I642" s="49"/>
      <c r="J642" s="49"/>
      <c r="K642" s="24"/>
      <c r="L642" s="24"/>
      <c r="M642" s="103"/>
    </row>
    <row r="643" spans="1:13" ht="22.5" customHeight="1">
      <c r="A643" s="50"/>
      <c r="B643" s="17"/>
      <c r="C643" s="102"/>
      <c r="D643" s="48"/>
      <c r="E643" s="49"/>
      <c r="F643" s="49"/>
      <c r="G643" s="49"/>
      <c r="H643" s="49"/>
      <c r="I643" s="49"/>
      <c r="J643" s="49"/>
      <c r="K643" s="24"/>
      <c r="L643" s="24"/>
      <c r="M643" s="103"/>
    </row>
    <row r="644" spans="1:13" ht="22.5" customHeight="1">
      <c r="A644" s="50"/>
      <c r="B644" s="17"/>
      <c r="C644" s="102"/>
      <c r="D644" s="48"/>
      <c r="E644" s="49"/>
      <c r="F644" s="49"/>
      <c r="G644" s="49"/>
      <c r="H644" s="49"/>
      <c r="I644" s="49"/>
      <c r="J644" s="49"/>
      <c r="K644" s="24"/>
      <c r="L644" s="24"/>
      <c r="M644" s="103"/>
    </row>
    <row r="645" spans="1:13" ht="22.5" customHeight="1">
      <c r="A645" s="50"/>
      <c r="B645" s="17"/>
      <c r="C645" s="102"/>
      <c r="D645" s="48"/>
      <c r="E645" s="49"/>
      <c r="F645" s="49"/>
      <c r="G645" s="49"/>
      <c r="H645" s="49"/>
      <c r="I645" s="49"/>
      <c r="J645" s="49"/>
      <c r="K645" s="24"/>
      <c r="L645" s="24"/>
      <c r="M645" s="103"/>
    </row>
    <row r="646" spans="1:13" ht="22.5" customHeight="1">
      <c r="A646" s="50"/>
      <c r="B646" s="17"/>
      <c r="C646" s="102"/>
      <c r="D646" s="48"/>
      <c r="E646" s="49"/>
      <c r="F646" s="49"/>
      <c r="G646" s="49"/>
      <c r="H646" s="49"/>
      <c r="I646" s="49"/>
      <c r="J646" s="49"/>
      <c r="K646" s="24"/>
      <c r="L646" s="24"/>
      <c r="M646" s="103"/>
    </row>
    <row r="647" spans="1:13" ht="22.5" customHeight="1">
      <c r="A647" s="50"/>
      <c r="B647" s="17"/>
      <c r="C647" s="102"/>
      <c r="D647" s="48"/>
      <c r="E647" s="49"/>
      <c r="F647" s="49"/>
      <c r="G647" s="49"/>
      <c r="H647" s="49"/>
      <c r="I647" s="49"/>
      <c r="J647" s="49"/>
      <c r="K647" s="24"/>
      <c r="L647" s="24"/>
      <c r="M647" s="103"/>
    </row>
    <row r="648" spans="1:13" ht="22.5" customHeight="1">
      <c r="A648" s="50"/>
      <c r="B648" s="17"/>
      <c r="C648" s="102"/>
      <c r="D648" s="48"/>
      <c r="E648" s="49"/>
      <c r="F648" s="49"/>
      <c r="G648" s="49"/>
      <c r="H648" s="49"/>
      <c r="I648" s="49"/>
      <c r="J648" s="49"/>
      <c r="K648" s="24"/>
      <c r="L648" s="24"/>
      <c r="M648" s="103"/>
    </row>
    <row r="649" spans="1:13" ht="22.5" customHeight="1">
      <c r="A649" s="50"/>
      <c r="B649" s="17"/>
      <c r="C649" s="102"/>
      <c r="D649" s="48"/>
      <c r="E649" s="49"/>
      <c r="F649" s="49"/>
      <c r="G649" s="49"/>
      <c r="H649" s="49"/>
      <c r="I649" s="49"/>
      <c r="J649" s="49"/>
      <c r="K649" s="24"/>
      <c r="L649" s="24"/>
      <c r="M649" s="103"/>
    </row>
    <row r="650" spans="1:13" ht="22.5" customHeight="1">
      <c r="A650" s="50"/>
      <c r="B650" s="17"/>
      <c r="C650" s="102"/>
      <c r="D650" s="48"/>
      <c r="E650" s="49"/>
      <c r="F650" s="49"/>
      <c r="G650" s="49"/>
      <c r="H650" s="49"/>
      <c r="I650" s="49"/>
      <c r="J650" s="49"/>
      <c r="K650" s="24"/>
      <c r="L650" s="24"/>
      <c r="M650" s="103"/>
    </row>
    <row r="651" spans="1:13" ht="22.5" customHeight="1">
      <c r="A651" s="50"/>
      <c r="B651" s="17"/>
      <c r="C651" s="102"/>
      <c r="D651" s="48"/>
      <c r="E651" s="49"/>
      <c r="F651" s="49"/>
      <c r="G651" s="49"/>
      <c r="H651" s="49"/>
      <c r="I651" s="49"/>
      <c r="J651" s="49"/>
      <c r="K651" s="24"/>
      <c r="L651" s="24"/>
      <c r="M651" s="103"/>
    </row>
    <row r="652" spans="1:13" ht="22.5" customHeight="1">
      <c r="A652" s="50"/>
      <c r="B652" s="17"/>
      <c r="C652" s="102"/>
      <c r="D652" s="48"/>
      <c r="E652" s="49"/>
      <c r="F652" s="49"/>
      <c r="G652" s="49"/>
      <c r="H652" s="49"/>
      <c r="I652" s="49"/>
      <c r="J652" s="49"/>
      <c r="K652" s="24"/>
      <c r="L652" s="24"/>
      <c r="M652" s="103"/>
    </row>
    <row r="653" spans="1:13" ht="22.5" customHeight="1">
      <c r="A653" s="50"/>
      <c r="B653" s="17"/>
      <c r="C653" s="102"/>
      <c r="D653" s="48"/>
      <c r="E653" s="49"/>
      <c r="F653" s="49"/>
      <c r="G653" s="49"/>
      <c r="H653" s="49"/>
      <c r="I653" s="49"/>
      <c r="J653" s="49"/>
      <c r="K653" s="24"/>
      <c r="L653" s="24"/>
      <c r="M653" s="103"/>
    </row>
    <row r="654" spans="1:13" ht="22.5" customHeight="1">
      <c r="A654" s="50"/>
      <c r="B654" s="17"/>
      <c r="C654" s="102"/>
      <c r="D654" s="48"/>
      <c r="E654" s="49"/>
      <c r="F654" s="49"/>
      <c r="G654" s="49"/>
      <c r="H654" s="49"/>
      <c r="I654" s="49"/>
      <c r="J654" s="49"/>
      <c r="K654" s="24"/>
      <c r="L654" s="24"/>
      <c r="M654" s="103"/>
    </row>
    <row r="655" spans="1:13" ht="22.5" customHeight="1">
      <c r="A655" s="50"/>
      <c r="B655" s="17"/>
      <c r="C655" s="102"/>
      <c r="D655" s="48"/>
      <c r="E655" s="49"/>
      <c r="F655" s="49"/>
      <c r="G655" s="49"/>
      <c r="H655" s="49"/>
      <c r="I655" s="49"/>
      <c r="J655" s="49"/>
      <c r="K655" s="24"/>
      <c r="L655" s="24"/>
      <c r="M655" s="103"/>
    </row>
    <row r="656" spans="1:13" ht="22.5" customHeight="1">
      <c r="A656" s="50"/>
      <c r="B656" s="17"/>
      <c r="C656" s="102"/>
      <c r="D656" s="48"/>
      <c r="E656" s="49"/>
      <c r="F656" s="49"/>
      <c r="G656" s="49"/>
      <c r="H656" s="49"/>
      <c r="I656" s="49"/>
      <c r="J656" s="49"/>
      <c r="K656" s="24"/>
      <c r="L656" s="24"/>
      <c r="M656" s="103"/>
    </row>
    <row r="657" spans="1:13" ht="22.5" customHeight="1">
      <c r="A657" s="50"/>
      <c r="B657" s="17"/>
      <c r="C657" s="102"/>
      <c r="D657" s="48"/>
      <c r="E657" s="49"/>
      <c r="F657" s="49"/>
      <c r="G657" s="49"/>
      <c r="H657" s="49"/>
      <c r="I657" s="49"/>
      <c r="J657" s="49"/>
      <c r="K657" s="24"/>
      <c r="L657" s="24"/>
      <c r="M657" s="103"/>
    </row>
    <row r="658" spans="1:13" ht="22.5" customHeight="1">
      <c r="A658" s="50"/>
      <c r="B658" s="17"/>
      <c r="C658" s="102"/>
      <c r="D658" s="48"/>
      <c r="E658" s="49"/>
      <c r="F658" s="49"/>
      <c r="G658" s="49"/>
      <c r="H658" s="49"/>
      <c r="I658" s="49"/>
      <c r="J658" s="49"/>
      <c r="K658" s="24"/>
      <c r="L658" s="24"/>
      <c r="M658" s="103"/>
    </row>
    <row r="659" spans="1:13" ht="22.5" customHeight="1">
      <c r="A659" s="50"/>
      <c r="B659" s="17"/>
      <c r="C659" s="102"/>
      <c r="D659" s="48"/>
      <c r="E659" s="49"/>
      <c r="F659" s="49"/>
      <c r="G659" s="49"/>
      <c r="H659" s="49"/>
      <c r="I659" s="49"/>
      <c r="J659" s="49"/>
      <c r="K659" s="24"/>
      <c r="L659" s="24"/>
      <c r="M659" s="103"/>
    </row>
    <row r="660" spans="1:13" ht="22.5" customHeight="1">
      <c r="A660" s="50"/>
      <c r="B660" s="17"/>
      <c r="C660" s="102"/>
      <c r="D660" s="48"/>
      <c r="E660" s="49"/>
      <c r="F660" s="49"/>
      <c r="G660" s="49"/>
      <c r="H660" s="49"/>
      <c r="I660" s="49"/>
      <c r="J660" s="49"/>
      <c r="K660" s="24"/>
      <c r="L660" s="24"/>
      <c r="M660" s="103"/>
    </row>
    <row r="661" spans="1:13" ht="22.5" customHeight="1">
      <c r="A661" s="50"/>
      <c r="B661" s="17"/>
      <c r="C661" s="102"/>
      <c r="D661" s="48"/>
      <c r="E661" s="49"/>
      <c r="F661" s="49"/>
      <c r="G661" s="49"/>
      <c r="H661" s="49"/>
      <c r="I661" s="49"/>
      <c r="J661" s="49"/>
      <c r="K661" s="24"/>
      <c r="L661" s="24"/>
      <c r="M661" s="103"/>
    </row>
    <row r="662" spans="1:13" ht="22.5" customHeight="1">
      <c r="A662" s="50"/>
      <c r="B662" s="17"/>
      <c r="C662" s="102"/>
      <c r="D662" s="48"/>
      <c r="E662" s="49"/>
      <c r="F662" s="49"/>
      <c r="G662" s="49"/>
      <c r="H662" s="49"/>
      <c r="I662" s="49"/>
      <c r="J662" s="49"/>
      <c r="K662" s="24"/>
      <c r="L662" s="24"/>
      <c r="M662" s="103"/>
    </row>
    <row r="663" spans="1:13" ht="22.5" customHeight="1">
      <c r="A663" s="50"/>
      <c r="B663" s="17"/>
      <c r="C663" s="102"/>
      <c r="D663" s="48"/>
      <c r="E663" s="49"/>
      <c r="F663" s="49"/>
      <c r="G663" s="49"/>
      <c r="H663" s="49"/>
      <c r="I663" s="49"/>
      <c r="J663" s="49"/>
      <c r="K663" s="24"/>
      <c r="L663" s="24"/>
      <c r="M663" s="103"/>
    </row>
    <row r="664" spans="1:13" ht="22.5" customHeight="1">
      <c r="A664" s="50"/>
      <c r="B664" s="17"/>
      <c r="C664" s="102"/>
      <c r="D664" s="48"/>
      <c r="E664" s="49"/>
      <c r="F664" s="49"/>
      <c r="G664" s="49"/>
      <c r="H664" s="49"/>
      <c r="I664" s="49"/>
      <c r="J664" s="49"/>
      <c r="K664" s="24"/>
      <c r="L664" s="24"/>
      <c r="M664" s="103"/>
    </row>
    <row r="665" spans="1:13" ht="22.5" customHeight="1">
      <c r="A665" s="50"/>
      <c r="B665" s="17"/>
      <c r="C665" s="102"/>
      <c r="D665" s="48"/>
      <c r="E665" s="49"/>
      <c r="F665" s="49"/>
      <c r="G665" s="49"/>
      <c r="H665" s="49"/>
      <c r="I665" s="49"/>
      <c r="J665" s="49"/>
      <c r="K665" s="24"/>
      <c r="L665" s="24"/>
      <c r="M665" s="103"/>
    </row>
    <row r="666" spans="1:13" ht="22.5" customHeight="1">
      <c r="A666" s="50"/>
      <c r="B666" s="17"/>
      <c r="C666" s="102"/>
      <c r="D666" s="48"/>
      <c r="E666" s="49"/>
      <c r="F666" s="49"/>
      <c r="G666" s="49"/>
      <c r="H666" s="49"/>
      <c r="I666" s="49"/>
      <c r="J666" s="49"/>
      <c r="K666" s="24"/>
      <c r="L666" s="24"/>
      <c r="M666" s="103"/>
    </row>
    <row r="667" spans="1:13" ht="22.5" customHeight="1">
      <c r="A667" s="50"/>
      <c r="B667" s="17"/>
      <c r="C667" s="102"/>
      <c r="D667" s="48"/>
      <c r="E667" s="49"/>
      <c r="F667" s="49"/>
      <c r="G667" s="49"/>
      <c r="H667" s="49"/>
      <c r="I667" s="49"/>
      <c r="J667" s="49"/>
      <c r="K667" s="24"/>
      <c r="L667" s="24"/>
      <c r="M667" s="103"/>
    </row>
    <row r="668" spans="1:13" ht="22.5" customHeight="1">
      <c r="A668" s="50"/>
      <c r="B668" s="17"/>
      <c r="C668" s="102"/>
      <c r="D668" s="48"/>
      <c r="E668" s="49"/>
      <c r="F668" s="49"/>
      <c r="G668" s="49"/>
      <c r="H668" s="49"/>
      <c r="I668" s="49"/>
      <c r="J668" s="49"/>
      <c r="K668" s="24"/>
      <c r="L668" s="24"/>
      <c r="M668" s="103"/>
    </row>
    <row r="669" spans="1:13" ht="22.5" customHeight="1">
      <c r="A669" s="50"/>
      <c r="B669" s="17"/>
      <c r="C669" s="102"/>
      <c r="D669" s="48"/>
      <c r="E669" s="49"/>
      <c r="F669" s="49"/>
      <c r="G669" s="49"/>
      <c r="H669" s="49"/>
      <c r="I669" s="49"/>
      <c r="J669" s="49"/>
      <c r="K669" s="24"/>
      <c r="L669" s="24"/>
      <c r="M669" s="103"/>
    </row>
    <row r="670" spans="1:13" ht="22.5" customHeight="1">
      <c r="A670" s="50"/>
      <c r="B670" s="17"/>
      <c r="C670" s="102"/>
      <c r="D670" s="48"/>
      <c r="E670" s="49"/>
      <c r="F670" s="49"/>
      <c r="G670" s="49"/>
      <c r="H670" s="49"/>
      <c r="I670" s="49"/>
      <c r="J670" s="49"/>
      <c r="K670" s="24"/>
      <c r="L670" s="24"/>
      <c r="M670" s="103"/>
    </row>
    <row r="671" spans="1:13" ht="22.5" customHeight="1">
      <c r="A671" s="50"/>
      <c r="B671" s="17"/>
      <c r="C671" s="102"/>
      <c r="D671" s="48"/>
      <c r="E671" s="49"/>
      <c r="F671" s="49"/>
      <c r="G671" s="49"/>
      <c r="H671" s="49"/>
      <c r="I671" s="49"/>
      <c r="J671" s="49"/>
      <c r="K671" s="24"/>
      <c r="L671" s="24"/>
      <c r="M671" s="103"/>
    </row>
    <row r="672" spans="1:13" ht="22.5" customHeight="1">
      <c r="A672" s="50"/>
      <c r="B672" s="17"/>
      <c r="C672" s="102"/>
      <c r="D672" s="48"/>
      <c r="E672" s="49"/>
      <c r="F672" s="49"/>
      <c r="G672" s="49"/>
      <c r="H672" s="49"/>
      <c r="I672" s="49"/>
      <c r="J672" s="49"/>
      <c r="K672" s="24"/>
      <c r="L672" s="24"/>
      <c r="M672" s="103"/>
    </row>
    <row r="673" spans="1:13" ht="22.5" customHeight="1">
      <c r="A673" s="50"/>
      <c r="B673" s="17"/>
      <c r="C673" s="102"/>
      <c r="D673" s="48"/>
      <c r="E673" s="49"/>
      <c r="F673" s="49"/>
      <c r="G673" s="49"/>
      <c r="H673" s="49"/>
      <c r="I673" s="49"/>
      <c r="J673" s="49"/>
      <c r="K673" s="24"/>
      <c r="L673" s="24"/>
      <c r="M673" s="103"/>
    </row>
    <row r="674" spans="1:13" ht="22.5" customHeight="1">
      <c r="A674" s="50"/>
      <c r="B674" s="17"/>
      <c r="C674" s="102"/>
      <c r="D674" s="48"/>
      <c r="E674" s="49"/>
      <c r="F674" s="49"/>
      <c r="G674" s="49"/>
      <c r="H674" s="49"/>
      <c r="I674" s="49"/>
      <c r="J674" s="49"/>
      <c r="K674" s="24"/>
      <c r="L674" s="24"/>
      <c r="M674" s="103"/>
    </row>
    <row r="675" spans="1:13" ht="22.5" customHeight="1">
      <c r="A675" s="50"/>
      <c r="B675" s="17"/>
      <c r="C675" s="102"/>
      <c r="D675" s="48"/>
      <c r="E675" s="49"/>
      <c r="F675" s="49"/>
      <c r="G675" s="49"/>
      <c r="H675" s="49"/>
      <c r="I675" s="49"/>
      <c r="J675" s="49"/>
      <c r="K675" s="24"/>
      <c r="L675" s="24"/>
      <c r="M675" s="103"/>
    </row>
    <row r="676" spans="1:13" ht="22.5" customHeight="1">
      <c r="A676" s="50"/>
      <c r="B676" s="17"/>
      <c r="C676" s="102"/>
      <c r="D676" s="48"/>
      <c r="E676" s="49"/>
      <c r="F676" s="49"/>
      <c r="G676" s="49"/>
      <c r="H676" s="49"/>
      <c r="I676" s="49"/>
      <c r="J676" s="49"/>
      <c r="K676" s="24"/>
      <c r="L676" s="24"/>
      <c r="M676" s="103"/>
    </row>
    <row r="677" spans="1:13" ht="22.5" customHeight="1">
      <c r="A677" s="50"/>
      <c r="B677" s="17"/>
      <c r="C677" s="102"/>
      <c r="D677" s="48"/>
      <c r="E677" s="49"/>
      <c r="F677" s="49"/>
      <c r="G677" s="49"/>
      <c r="H677" s="49"/>
      <c r="I677" s="49"/>
      <c r="J677" s="49"/>
      <c r="K677" s="24"/>
      <c r="L677" s="24"/>
      <c r="M677" s="103"/>
    </row>
    <row r="678" spans="1:13" ht="22.5" customHeight="1">
      <c r="A678" s="50"/>
      <c r="B678" s="17"/>
      <c r="C678" s="102"/>
      <c r="D678" s="48"/>
      <c r="E678" s="49"/>
      <c r="F678" s="49"/>
      <c r="G678" s="49"/>
      <c r="H678" s="49"/>
      <c r="I678" s="49"/>
      <c r="J678" s="49"/>
      <c r="K678" s="24"/>
      <c r="L678" s="24"/>
      <c r="M678" s="103"/>
    </row>
    <row r="679" spans="1:13" ht="22.5" customHeight="1">
      <c r="A679" s="50"/>
      <c r="B679" s="17"/>
      <c r="C679" s="102"/>
      <c r="D679" s="48"/>
      <c r="E679" s="49"/>
      <c r="F679" s="49"/>
      <c r="G679" s="49"/>
      <c r="H679" s="49"/>
      <c r="I679" s="49"/>
      <c r="J679" s="49"/>
      <c r="K679" s="24"/>
      <c r="L679" s="24"/>
      <c r="M679" s="103"/>
    </row>
    <row r="680" spans="1:13" ht="22.5" customHeight="1">
      <c r="A680" s="50"/>
      <c r="B680" s="17"/>
      <c r="C680" s="102"/>
      <c r="D680" s="48"/>
      <c r="E680" s="49"/>
      <c r="F680" s="49"/>
      <c r="G680" s="49"/>
      <c r="H680" s="49"/>
      <c r="I680" s="49"/>
      <c r="J680" s="49"/>
      <c r="K680" s="24"/>
      <c r="L680" s="24"/>
      <c r="M680" s="103"/>
    </row>
    <row r="681" spans="1:13" ht="22.5" customHeight="1">
      <c r="A681" s="50"/>
      <c r="B681" s="17"/>
      <c r="C681" s="102"/>
      <c r="D681" s="48"/>
      <c r="E681" s="49"/>
      <c r="F681" s="49"/>
      <c r="G681" s="49"/>
      <c r="H681" s="49"/>
      <c r="I681" s="49"/>
      <c r="J681" s="49"/>
      <c r="K681" s="24"/>
      <c r="L681" s="24"/>
      <c r="M681" s="103"/>
    </row>
    <row r="682" spans="1:13" ht="22.5" customHeight="1">
      <c r="A682" s="50"/>
      <c r="B682" s="17"/>
      <c r="C682" s="102"/>
      <c r="D682" s="48"/>
      <c r="E682" s="49"/>
      <c r="F682" s="49"/>
      <c r="G682" s="49"/>
      <c r="H682" s="49"/>
      <c r="I682" s="49"/>
      <c r="J682" s="49"/>
      <c r="K682" s="24"/>
      <c r="L682" s="24"/>
      <c r="M682" s="103"/>
    </row>
    <row r="683" spans="1:13" ht="22.5" customHeight="1">
      <c r="A683" s="50"/>
      <c r="B683" s="17"/>
      <c r="C683" s="102"/>
      <c r="D683" s="48"/>
      <c r="E683" s="49"/>
      <c r="F683" s="49"/>
      <c r="G683" s="49"/>
      <c r="H683" s="49"/>
      <c r="I683" s="49"/>
      <c r="J683" s="49"/>
      <c r="K683" s="24"/>
      <c r="L683" s="24"/>
      <c r="M683" s="103"/>
    </row>
    <row r="684" spans="1:13" ht="22.5" customHeight="1">
      <c r="A684" s="50"/>
      <c r="B684" s="17"/>
      <c r="C684" s="102"/>
      <c r="D684" s="48"/>
      <c r="E684" s="49"/>
      <c r="F684" s="49"/>
      <c r="G684" s="49"/>
      <c r="H684" s="49"/>
      <c r="I684" s="49"/>
      <c r="J684" s="49"/>
      <c r="K684" s="24"/>
      <c r="L684" s="24"/>
      <c r="M684" s="103"/>
    </row>
    <row r="685" spans="1:13" ht="22.5" customHeight="1">
      <c r="A685" s="50"/>
      <c r="B685" s="17"/>
      <c r="C685" s="102"/>
      <c r="D685" s="48"/>
      <c r="E685" s="49"/>
      <c r="F685" s="49"/>
      <c r="G685" s="49"/>
      <c r="H685" s="49"/>
      <c r="I685" s="49"/>
      <c r="J685" s="49"/>
      <c r="K685" s="24"/>
      <c r="L685" s="24"/>
      <c r="M685" s="103"/>
    </row>
    <row r="686" spans="1:13" ht="22.5" customHeight="1">
      <c r="A686" s="50"/>
      <c r="B686" s="17"/>
      <c r="C686" s="102"/>
      <c r="D686" s="48"/>
      <c r="E686" s="49"/>
      <c r="F686" s="49"/>
      <c r="G686" s="49"/>
      <c r="H686" s="49"/>
      <c r="I686" s="49"/>
      <c r="J686" s="49"/>
      <c r="K686" s="24"/>
      <c r="L686" s="24"/>
      <c r="M686" s="103"/>
    </row>
    <row r="687" spans="1:13" ht="22.5" customHeight="1">
      <c r="A687" s="50"/>
      <c r="B687" s="17"/>
      <c r="C687" s="102"/>
      <c r="D687" s="48"/>
      <c r="E687" s="49"/>
      <c r="F687" s="49"/>
      <c r="G687" s="49"/>
      <c r="H687" s="49"/>
      <c r="I687" s="49"/>
      <c r="J687" s="49"/>
      <c r="K687" s="24"/>
      <c r="L687" s="24"/>
      <c r="M687" s="103"/>
    </row>
    <row r="688" spans="1:13" ht="22.5" customHeight="1">
      <c r="A688" s="50"/>
      <c r="B688" s="17"/>
      <c r="C688" s="102"/>
      <c r="D688" s="48"/>
      <c r="E688" s="49"/>
      <c r="F688" s="49"/>
      <c r="G688" s="49"/>
      <c r="H688" s="49"/>
      <c r="I688" s="49"/>
      <c r="J688" s="49"/>
      <c r="K688" s="24"/>
      <c r="L688" s="24"/>
      <c r="M688" s="103"/>
    </row>
    <row r="689" spans="1:13" ht="22.5" customHeight="1">
      <c r="A689" s="50"/>
      <c r="B689" s="17"/>
      <c r="C689" s="102"/>
      <c r="D689" s="48"/>
      <c r="E689" s="49"/>
      <c r="F689" s="49"/>
      <c r="G689" s="49"/>
      <c r="H689" s="49"/>
      <c r="I689" s="49"/>
      <c r="J689" s="49"/>
      <c r="K689" s="24"/>
      <c r="L689" s="24"/>
      <c r="M689" s="103"/>
    </row>
    <row r="690" spans="1:13" ht="22.5" customHeight="1">
      <c r="A690" s="50"/>
      <c r="B690" s="17"/>
      <c r="C690" s="102"/>
      <c r="D690" s="48"/>
      <c r="E690" s="49"/>
      <c r="F690" s="49"/>
      <c r="G690" s="49"/>
      <c r="H690" s="49"/>
      <c r="I690" s="49"/>
      <c r="J690" s="49"/>
      <c r="K690" s="24"/>
      <c r="L690" s="24"/>
      <c r="M690" s="103"/>
    </row>
    <row r="691" spans="1:13" ht="22.5" customHeight="1">
      <c r="A691" s="50"/>
      <c r="B691" s="17"/>
      <c r="C691" s="102"/>
      <c r="D691" s="48"/>
      <c r="E691" s="49"/>
      <c r="F691" s="49"/>
      <c r="G691" s="49"/>
      <c r="H691" s="49"/>
      <c r="I691" s="49"/>
      <c r="J691" s="49"/>
      <c r="K691" s="24"/>
      <c r="L691" s="24"/>
      <c r="M691" s="103"/>
    </row>
    <row r="692" spans="1:13" ht="22.5" customHeight="1">
      <c r="A692" s="50"/>
      <c r="B692" s="17"/>
      <c r="C692" s="102"/>
      <c r="D692" s="48"/>
      <c r="E692" s="49"/>
      <c r="F692" s="49"/>
      <c r="G692" s="49"/>
      <c r="H692" s="49"/>
      <c r="I692" s="49"/>
      <c r="J692" s="49"/>
      <c r="K692" s="24"/>
      <c r="L692" s="24"/>
      <c r="M692" s="103"/>
    </row>
    <row r="693" spans="1:13" ht="22.5" customHeight="1">
      <c r="A693" s="50"/>
      <c r="B693" s="17"/>
      <c r="C693" s="102"/>
      <c r="D693" s="48"/>
      <c r="E693" s="49"/>
      <c r="F693" s="49"/>
      <c r="G693" s="49"/>
      <c r="H693" s="49"/>
      <c r="I693" s="49"/>
      <c r="J693" s="49"/>
      <c r="K693" s="24"/>
      <c r="L693" s="24"/>
      <c r="M693" s="103"/>
    </row>
    <row r="694" spans="1:13" ht="22.5" customHeight="1">
      <c r="A694" s="50"/>
      <c r="B694" s="17"/>
      <c r="C694" s="102"/>
      <c r="D694" s="48"/>
      <c r="E694" s="49"/>
      <c r="F694" s="49"/>
      <c r="G694" s="49"/>
      <c r="H694" s="49"/>
      <c r="I694" s="49"/>
      <c r="J694" s="49"/>
      <c r="K694" s="24"/>
      <c r="L694" s="24"/>
      <c r="M694" s="103"/>
    </row>
    <row r="695" spans="1:13" ht="22.5" customHeight="1">
      <c r="A695" s="50"/>
      <c r="B695" s="17"/>
      <c r="C695" s="102"/>
      <c r="D695" s="48"/>
      <c r="E695" s="49"/>
      <c r="F695" s="49"/>
      <c r="G695" s="49"/>
      <c r="H695" s="49"/>
      <c r="I695" s="49"/>
      <c r="J695" s="49"/>
      <c r="K695" s="24"/>
      <c r="L695" s="24"/>
      <c r="M695" s="103"/>
    </row>
    <row r="696" spans="1:13" ht="22.5" customHeight="1">
      <c r="A696" s="50"/>
      <c r="B696" s="17"/>
      <c r="C696" s="102"/>
      <c r="D696" s="48"/>
      <c r="E696" s="49"/>
      <c r="F696" s="49"/>
      <c r="G696" s="49"/>
      <c r="H696" s="49"/>
      <c r="I696" s="49"/>
      <c r="J696" s="49"/>
      <c r="K696" s="24"/>
      <c r="L696" s="24"/>
      <c r="M696" s="103"/>
    </row>
    <row r="697" spans="1:13" ht="22.5" customHeight="1">
      <c r="A697" s="50"/>
      <c r="B697" s="17"/>
      <c r="C697" s="102"/>
      <c r="D697" s="48"/>
      <c r="E697" s="49"/>
      <c r="F697" s="49"/>
      <c r="G697" s="49"/>
      <c r="H697" s="49"/>
      <c r="I697" s="49"/>
      <c r="J697" s="49"/>
      <c r="K697" s="24"/>
      <c r="L697" s="24"/>
      <c r="M697" s="103"/>
    </row>
    <row r="698" spans="1:13" ht="22.5" customHeight="1">
      <c r="A698" s="50"/>
      <c r="B698" s="17"/>
      <c r="C698" s="102"/>
      <c r="D698" s="48"/>
      <c r="E698" s="49"/>
      <c r="F698" s="49"/>
      <c r="G698" s="49"/>
      <c r="H698" s="49"/>
      <c r="I698" s="49"/>
      <c r="J698" s="49"/>
      <c r="K698" s="24"/>
      <c r="L698" s="24"/>
      <c r="M698" s="103"/>
    </row>
    <row r="699" spans="1:13" ht="22.5" customHeight="1">
      <c r="A699" s="50"/>
      <c r="B699" s="17"/>
      <c r="C699" s="102"/>
      <c r="D699" s="48"/>
      <c r="E699" s="49"/>
      <c r="F699" s="49"/>
      <c r="G699" s="49"/>
      <c r="H699" s="49"/>
      <c r="I699" s="49"/>
      <c r="J699" s="49"/>
      <c r="K699" s="24"/>
      <c r="L699" s="24"/>
      <c r="M699" s="103"/>
    </row>
    <row r="700" spans="1:13" ht="22.5" customHeight="1">
      <c r="A700" s="50"/>
      <c r="B700" s="17"/>
      <c r="C700" s="102"/>
      <c r="D700" s="48"/>
      <c r="E700" s="49"/>
      <c r="F700" s="49"/>
      <c r="G700" s="49"/>
      <c r="H700" s="49"/>
      <c r="I700" s="49"/>
      <c r="J700" s="49"/>
      <c r="K700" s="24"/>
      <c r="L700" s="24"/>
      <c r="M700" s="103"/>
    </row>
    <row r="701" spans="1:13" ht="22.5" customHeight="1">
      <c r="A701" s="50"/>
      <c r="B701" s="17"/>
      <c r="C701" s="102"/>
      <c r="D701" s="48"/>
      <c r="E701" s="49"/>
      <c r="F701" s="49"/>
      <c r="G701" s="49"/>
      <c r="H701" s="49"/>
      <c r="I701" s="49"/>
      <c r="J701" s="49"/>
      <c r="K701" s="24"/>
      <c r="L701" s="24"/>
      <c r="M701" s="103"/>
    </row>
    <row r="702" spans="1:13" ht="22.5" customHeight="1">
      <c r="A702" s="50"/>
      <c r="B702" s="17"/>
      <c r="C702" s="102"/>
      <c r="D702" s="48"/>
      <c r="E702" s="49"/>
      <c r="F702" s="49"/>
      <c r="G702" s="49"/>
      <c r="H702" s="49"/>
      <c r="I702" s="49"/>
      <c r="J702" s="49"/>
      <c r="K702" s="24"/>
      <c r="L702" s="24"/>
      <c r="M702" s="103"/>
    </row>
    <row r="703" spans="1:13" ht="22.5" customHeight="1">
      <c r="A703" s="50"/>
      <c r="B703" s="17"/>
      <c r="C703" s="102"/>
      <c r="D703" s="48"/>
      <c r="E703" s="49"/>
      <c r="F703" s="49"/>
      <c r="G703" s="49"/>
      <c r="H703" s="49"/>
      <c r="I703" s="49"/>
      <c r="J703" s="49"/>
      <c r="K703" s="24"/>
      <c r="L703" s="24"/>
      <c r="M703" s="103"/>
    </row>
    <row r="704" spans="1:13" ht="22.5" customHeight="1">
      <c r="A704" s="50"/>
      <c r="B704" s="17"/>
      <c r="C704" s="102"/>
      <c r="D704" s="48"/>
      <c r="E704" s="49"/>
      <c r="F704" s="49"/>
      <c r="G704" s="49"/>
      <c r="H704" s="49"/>
      <c r="I704" s="49"/>
      <c r="J704" s="49"/>
      <c r="K704" s="24"/>
      <c r="L704" s="24"/>
      <c r="M704" s="103"/>
    </row>
    <row r="705" spans="1:13" ht="22.5" customHeight="1">
      <c r="A705" s="50"/>
      <c r="B705" s="17"/>
      <c r="C705" s="102"/>
      <c r="D705" s="48"/>
      <c r="E705" s="49"/>
      <c r="F705" s="49"/>
      <c r="G705" s="49"/>
      <c r="H705" s="49"/>
      <c r="I705" s="49"/>
      <c r="J705" s="49"/>
      <c r="K705" s="24"/>
      <c r="L705" s="24"/>
      <c r="M705" s="103"/>
    </row>
    <row r="706" spans="1:13" ht="22.5" customHeight="1">
      <c r="A706" s="50"/>
      <c r="B706" s="17"/>
      <c r="C706" s="102"/>
      <c r="D706" s="48"/>
      <c r="E706" s="49"/>
      <c r="F706" s="49"/>
      <c r="G706" s="49"/>
      <c r="H706" s="49"/>
      <c r="I706" s="49"/>
      <c r="J706" s="49"/>
      <c r="K706" s="24"/>
      <c r="L706" s="24"/>
      <c r="M706" s="103"/>
    </row>
    <row r="707" spans="1:13" ht="22.5" customHeight="1">
      <c r="A707" s="50"/>
      <c r="B707" s="17"/>
      <c r="C707" s="102"/>
      <c r="D707" s="48"/>
      <c r="E707" s="49"/>
      <c r="F707" s="49"/>
      <c r="G707" s="49"/>
      <c r="H707" s="49"/>
      <c r="I707" s="49"/>
      <c r="J707" s="49"/>
      <c r="K707" s="24"/>
      <c r="L707" s="24"/>
      <c r="M707" s="103"/>
    </row>
    <row r="708" spans="1:13" ht="22.5" customHeight="1">
      <c r="A708" s="50"/>
      <c r="B708" s="17"/>
      <c r="C708" s="102"/>
      <c r="D708" s="48"/>
      <c r="E708" s="49"/>
      <c r="F708" s="49"/>
      <c r="G708" s="49"/>
      <c r="H708" s="49"/>
      <c r="I708" s="49"/>
      <c r="J708" s="49"/>
      <c r="K708" s="24"/>
      <c r="L708" s="24"/>
      <c r="M708" s="103"/>
    </row>
    <row r="709" spans="1:13" ht="22.5" customHeight="1">
      <c r="A709" s="50"/>
      <c r="B709" s="17"/>
      <c r="C709" s="102"/>
      <c r="D709" s="48"/>
      <c r="E709" s="49"/>
      <c r="F709" s="49"/>
      <c r="G709" s="49"/>
      <c r="H709" s="49"/>
      <c r="I709" s="49"/>
      <c r="J709" s="49"/>
      <c r="K709" s="24"/>
      <c r="L709" s="24"/>
      <c r="M709" s="103"/>
    </row>
    <row r="710" spans="1:13" ht="22.5" customHeight="1">
      <c r="A710" s="50"/>
      <c r="B710" s="17"/>
      <c r="C710" s="102"/>
      <c r="D710" s="48"/>
      <c r="E710" s="49"/>
      <c r="F710" s="49"/>
      <c r="G710" s="49"/>
      <c r="H710" s="49"/>
      <c r="I710" s="49"/>
      <c r="J710" s="49"/>
      <c r="K710" s="24"/>
      <c r="L710" s="24"/>
      <c r="M710" s="103"/>
    </row>
    <row r="711" spans="1:13" ht="22.5" customHeight="1">
      <c r="A711" s="50"/>
      <c r="B711" s="17"/>
      <c r="C711" s="102"/>
      <c r="D711" s="48"/>
      <c r="E711" s="49"/>
      <c r="F711" s="49"/>
      <c r="G711" s="49"/>
      <c r="H711" s="49"/>
      <c r="I711" s="49"/>
      <c r="J711" s="49"/>
      <c r="K711" s="24"/>
      <c r="L711" s="24"/>
      <c r="M711" s="103"/>
    </row>
    <row r="712" spans="1:13" ht="22.5" customHeight="1">
      <c r="A712" s="50"/>
      <c r="B712" s="17"/>
      <c r="C712" s="102"/>
      <c r="D712" s="48"/>
      <c r="E712" s="49"/>
      <c r="F712" s="49"/>
      <c r="G712" s="49"/>
      <c r="H712" s="49"/>
      <c r="I712" s="49"/>
      <c r="J712" s="49"/>
      <c r="K712" s="24"/>
      <c r="L712" s="24"/>
      <c r="M712" s="103"/>
    </row>
    <row r="713" spans="1:13" ht="22.5" customHeight="1">
      <c r="A713" s="50"/>
      <c r="B713" s="17"/>
      <c r="C713" s="102"/>
      <c r="D713" s="48"/>
      <c r="E713" s="49"/>
      <c r="F713" s="49"/>
      <c r="G713" s="49"/>
      <c r="H713" s="49"/>
      <c r="I713" s="49"/>
      <c r="J713" s="49"/>
      <c r="K713" s="24"/>
      <c r="L713" s="24"/>
      <c r="M713" s="103"/>
    </row>
    <row r="714" spans="1:13" ht="22.5" customHeight="1">
      <c r="A714" s="50"/>
      <c r="B714" s="17"/>
      <c r="C714" s="102"/>
      <c r="D714" s="48"/>
      <c r="E714" s="49"/>
      <c r="F714" s="49"/>
      <c r="G714" s="49"/>
      <c r="H714" s="49"/>
      <c r="I714" s="49"/>
      <c r="J714" s="49"/>
      <c r="K714" s="24"/>
      <c r="L714" s="24"/>
      <c r="M714" s="103"/>
    </row>
    <row r="715" spans="1:13" ht="22.5" customHeight="1">
      <c r="A715" s="50"/>
      <c r="B715" s="17"/>
      <c r="C715" s="102"/>
      <c r="D715" s="48"/>
      <c r="E715" s="49"/>
      <c r="F715" s="49"/>
      <c r="G715" s="49"/>
      <c r="H715" s="49"/>
      <c r="I715" s="49"/>
      <c r="J715" s="49"/>
      <c r="K715" s="24"/>
      <c r="L715" s="24"/>
      <c r="M715" s="103"/>
    </row>
    <row r="716" spans="1:13" ht="22.5" customHeight="1">
      <c r="A716" s="50"/>
      <c r="B716" s="17"/>
      <c r="C716" s="102"/>
      <c r="D716" s="48"/>
      <c r="E716" s="49"/>
      <c r="F716" s="49"/>
      <c r="G716" s="49"/>
      <c r="H716" s="49"/>
      <c r="I716" s="49"/>
      <c r="J716" s="49"/>
      <c r="K716" s="24"/>
      <c r="L716" s="24"/>
      <c r="M716" s="103"/>
    </row>
    <row r="717" spans="1:13" ht="22.5" customHeight="1">
      <c r="A717" s="50"/>
      <c r="B717" s="17"/>
      <c r="C717" s="102"/>
      <c r="D717" s="48"/>
      <c r="E717" s="49"/>
      <c r="F717" s="49"/>
      <c r="G717" s="49"/>
      <c r="H717" s="49"/>
      <c r="I717" s="49"/>
      <c r="J717" s="49"/>
      <c r="K717" s="24"/>
      <c r="L717" s="24"/>
      <c r="M717" s="103"/>
    </row>
    <row r="718" spans="1:13" ht="22.5" customHeight="1">
      <c r="A718" s="50"/>
      <c r="B718" s="17"/>
      <c r="C718" s="102"/>
      <c r="D718" s="48"/>
      <c r="E718" s="49"/>
      <c r="F718" s="49"/>
      <c r="G718" s="49"/>
      <c r="H718" s="49"/>
      <c r="I718" s="49"/>
      <c r="J718" s="49"/>
      <c r="K718" s="24"/>
      <c r="L718" s="24"/>
      <c r="M718" s="103"/>
    </row>
    <row r="719" spans="1:13" ht="22.5" customHeight="1">
      <c r="A719" s="50"/>
      <c r="B719" s="17"/>
      <c r="C719" s="102"/>
      <c r="D719" s="48"/>
      <c r="E719" s="49"/>
      <c r="F719" s="49"/>
      <c r="G719" s="49"/>
      <c r="H719" s="49"/>
      <c r="I719" s="49"/>
      <c r="J719" s="49"/>
      <c r="K719" s="24"/>
      <c r="L719" s="24"/>
      <c r="M719" s="103"/>
    </row>
    <row r="720" spans="1:13" ht="22.5" customHeight="1">
      <c r="A720" s="50"/>
      <c r="B720" s="17"/>
      <c r="C720" s="102"/>
      <c r="D720" s="48"/>
      <c r="E720" s="49"/>
      <c r="F720" s="49"/>
      <c r="G720" s="49"/>
      <c r="H720" s="49"/>
      <c r="I720" s="49"/>
      <c r="J720" s="49"/>
      <c r="K720" s="24"/>
      <c r="L720" s="24"/>
      <c r="M720" s="103"/>
    </row>
    <row r="721" spans="1:13" ht="22.5" customHeight="1">
      <c r="A721" s="50"/>
      <c r="B721" s="17"/>
      <c r="C721" s="102"/>
      <c r="D721" s="48"/>
      <c r="E721" s="49"/>
      <c r="F721" s="49"/>
      <c r="G721" s="49"/>
      <c r="H721" s="49"/>
      <c r="I721" s="49"/>
      <c r="J721" s="49"/>
      <c r="K721" s="24"/>
      <c r="L721" s="24"/>
      <c r="M721" s="103"/>
    </row>
    <row r="722" spans="1:13" ht="22.5" customHeight="1">
      <c r="A722" s="50"/>
      <c r="B722" s="17"/>
      <c r="C722" s="102"/>
      <c r="D722" s="48"/>
      <c r="E722" s="49"/>
      <c r="F722" s="49"/>
      <c r="G722" s="49"/>
      <c r="H722" s="49"/>
      <c r="I722" s="49"/>
      <c r="J722" s="49"/>
      <c r="K722" s="24"/>
      <c r="L722" s="24"/>
      <c r="M722" s="103"/>
    </row>
    <row r="723" spans="1:13" ht="22.5" customHeight="1">
      <c r="A723" s="50"/>
      <c r="B723" s="17"/>
      <c r="C723" s="102"/>
      <c r="D723" s="48"/>
      <c r="E723" s="49"/>
      <c r="F723" s="49"/>
      <c r="G723" s="49"/>
      <c r="H723" s="49"/>
      <c r="I723" s="49"/>
      <c r="J723" s="49"/>
      <c r="K723" s="24"/>
      <c r="L723" s="24"/>
      <c r="M723" s="103"/>
    </row>
    <row r="724" spans="1:13" ht="22.5" customHeight="1">
      <c r="A724" s="50"/>
      <c r="B724" s="17"/>
      <c r="C724" s="102"/>
      <c r="D724" s="48"/>
      <c r="E724" s="49"/>
      <c r="F724" s="49"/>
      <c r="G724" s="49"/>
      <c r="H724" s="49"/>
      <c r="I724" s="49"/>
      <c r="J724" s="49"/>
      <c r="K724" s="24"/>
      <c r="L724" s="24"/>
      <c r="M724" s="103"/>
    </row>
    <row r="725" spans="1:13" ht="22.5" customHeight="1">
      <c r="A725" s="50"/>
      <c r="B725" s="17"/>
      <c r="C725" s="102"/>
      <c r="D725" s="48"/>
      <c r="E725" s="49"/>
      <c r="F725" s="49"/>
      <c r="G725" s="49"/>
      <c r="H725" s="49"/>
      <c r="I725" s="49"/>
      <c r="J725" s="49"/>
      <c r="K725" s="24"/>
      <c r="L725" s="24"/>
      <c r="M725" s="103"/>
    </row>
    <row r="726" spans="1:13" ht="22.5" customHeight="1">
      <c r="A726" s="50"/>
      <c r="B726" s="17"/>
      <c r="C726" s="102"/>
      <c r="D726" s="48"/>
      <c r="E726" s="49"/>
      <c r="F726" s="49"/>
      <c r="G726" s="49"/>
      <c r="H726" s="49"/>
      <c r="I726" s="49"/>
      <c r="J726" s="49"/>
      <c r="K726" s="24"/>
      <c r="L726" s="24"/>
      <c r="M726" s="103"/>
    </row>
    <row r="727" spans="1:13" ht="22.5" customHeight="1">
      <c r="A727" s="50"/>
      <c r="B727" s="17"/>
      <c r="C727" s="102"/>
      <c r="D727" s="48"/>
      <c r="E727" s="49"/>
      <c r="F727" s="49"/>
      <c r="G727" s="49"/>
      <c r="H727" s="49"/>
      <c r="I727" s="49"/>
      <c r="J727" s="49"/>
      <c r="K727" s="24"/>
      <c r="L727" s="24"/>
      <c r="M727" s="103"/>
    </row>
    <row r="728" spans="1:13" ht="22.5" customHeight="1">
      <c r="A728" s="50"/>
      <c r="B728" s="17"/>
      <c r="C728" s="102"/>
      <c r="D728" s="48"/>
      <c r="E728" s="49"/>
      <c r="F728" s="49"/>
      <c r="G728" s="49"/>
      <c r="H728" s="49"/>
      <c r="I728" s="49"/>
      <c r="J728" s="49"/>
      <c r="K728" s="24"/>
      <c r="L728" s="24"/>
      <c r="M728" s="103"/>
    </row>
    <row r="729" spans="1:13" ht="22.5" customHeight="1">
      <c r="A729" s="50"/>
      <c r="B729" s="17"/>
      <c r="C729" s="102"/>
      <c r="D729" s="48"/>
      <c r="E729" s="49"/>
      <c r="F729" s="49"/>
      <c r="G729" s="49"/>
      <c r="H729" s="49"/>
      <c r="I729" s="49"/>
      <c r="J729" s="49"/>
      <c r="K729" s="24"/>
      <c r="L729" s="24"/>
      <c r="M729" s="103"/>
    </row>
    <row r="730" spans="1:13" ht="22.5" customHeight="1">
      <c r="A730" s="50"/>
      <c r="B730" s="17"/>
      <c r="C730" s="102"/>
      <c r="D730" s="48"/>
      <c r="E730" s="49"/>
      <c r="F730" s="49"/>
      <c r="G730" s="49"/>
      <c r="H730" s="49"/>
      <c r="I730" s="49"/>
      <c r="J730" s="49"/>
      <c r="K730" s="24"/>
      <c r="L730" s="24"/>
      <c r="M730" s="103"/>
    </row>
    <row r="731" spans="1:13" ht="22.5" customHeight="1">
      <c r="A731" s="50"/>
      <c r="B731" s="17"/>
      <c r="C731" s="102"/>
      <c r="D731" s="48"/>
      <c r="E731" s="49"/>
      <c r="F731" s="49"/>
      <c r="G731" s="49"/>
      <c r="H731" s="49"/>
      <c r="I731" s="49"/>
      <c r="J731" s="49"/>
      <c r="K731" s="24"/>
      <c r="L731" s="24"/>
      <c r="M731" s="103"/>
    </row>
    <row r="732" spans="1:13" ht="22.5" customHeight="1">
      <c r="A732" s="50"/>
      <c r="B732" s="17"/>
      <c r="C732" s="102"/>
      <c r="D732" s="48"/>
      <c r="E732" s="49"/>
      <c r="F732" s="49"/>
      <c r="G732" s="49"/>
      <c r="H732" s="49"/>
      <c r="I732" s="49"/>
      <c r="J732" s="49"/>
      <c r="K732" s="24"/>
      <c r="L732" s="24"/>
      <c r="M732" s="103"/>
    </row>
    <row r="733" spans="1:13" ht="22.5" customHeight="1">
      <c r="A733" s="50"/>
      <c r="B733" s="17"/>
      <c r="C733" s="102"/>
      <c r="D733" s="48"/>
      <c r="E733" s="49"/>
      <c r="F733" s="49"/>
      <c r="G733" s="49"/>
      <c r="H733" s="49"/>
      <c r="I733" s="49"/>
      <c r="J733" s="49"/>
      <c r="K733" s="24"/>
      <c r="L733" s="24"/>
      <c r="M733" s="103"/>
    </row>
    <row r="734" spans="1:13" ht="22.5" customHeight="1">
      <c r="A734" s="50"/>
      <c r="B734" s="17"/>
      <c r="C734" s="102"/>
      <c r="D734" s="48"/>
      <c r="E734" s="49"/>
      <c r="F734" s="49"/>
      <c r="G734" s="49"/>
      <c r="H734" s="49"/>
      <c r="I734" s="49"/>
      <c r="J734" s="49"/>
      <c r="K734" s="24"/>
      <c r="L734" s="24"/>
      <c r="M734" s="103"/>
    </row>
    <row r="735" spans="1:13" ht="22.5" customHeight="1">
      <c r="A735" s="50"/>
      <c r="B735" s="17"/>
      <c r="C735" s="102"/>
      <c r="D735" s="48"/>
      <c r="E735" s="49"/>
      <c r="F735" s="49"/>
      <c r="G735" s="49"/>
      <c r="H735" s="49"/>
      <c r="I735" s="49"/>
      <c r="J735" s="49"/>
      <c r="K735" s="24"/>
      <c r="L735" s="24"/>
      <c r="M735" s="103"/>
    </row>
    <row r="736" spans="1:13" ht="22.5" customHeight="1">
      <c r="A736" s="50"/>
      <c r="B736" s="17"/>
      <c r="C736" s="102"/>
      <c r="D736" s="48"/>
      <c r="E736" s="49"/>
      <c r="F736" s="49"/>
      <c r="G736" s="49"/>
      <c r="H736" s="49"/>
      <c r="I736" s="49"/>
      <c r="J736" s="49"/>
      <c r="K736" s="24"/>
      <c r="L736" s="24"/>
      <c r="M736" s="103"/>
    </row>
    <row r="737" spans="1:13" ht="22.5" customHeight="1">
      <c r="A737" s="50"/>
      <c r="B737" s="17"/>
      <c r="C737" s="102"/>
      <c r="D737" s="48"/>
      <c r="E737" s="49"/>
      <c r="F737" s="49"/>
      <c r="G737" s="49"/>
      <c r="H737" s="49"/>
      <c r="I737" s="49"/>
      <c r="J737" s="49"/>
      <c r="K737" s="24"/>
      <c r="L737" s="24"/>
      <c r="M737" s="103"/>
    </row>
    <row r="738" spans="1:13" ht="22.5" customHeight="1">
      <c r="A738" s="50"/>
      <c r="B738" s="17"/>
      <c r="C738" s="102"/>
      <c r="D738" s="48"/>
      <c r="E738" s="49"/>
      <c r="F738" s="49"/>
      <c r="G738" s="49"/>
      <c r="H738" s="49"/>
      <c r="I738" s="49"/>
      <c r="J738" s="49"/>
      <c r="K738" s="24"/>
      <c r="L738" s="24"/>
      <c r="M738" s="103"/>
    </row>
    <row r="739" spans="1:13" ht="22.5" customHeight="1">
      <c r="A739" s="50"/>
      <c r="B739" s="17"/>
      <c r="C739" s="102"/>
      <c r="D739" s="48"/>
      <c r="E739" s="49"/>
      <c r="F739" s="49"/>
      <c r="G739" s="49"/>
      <c r="H739" s="49"/>
      <c r="I739" s="49"/>
      <c r="J739" s="49"/>
      <c r="K739" s="24"/>
      <c r="L739" s="24"/>
      <c r="M739" s="103"/>
    </row>
    <row r="740" spans="1:13" ht="22.5" customHeight="1">
      <c r="A740" s="50"/>
      <c r="B740" s="17"/>
      <c r="C740" s="102"/>
      <c r="D740" s="48"/>
      <c r="E740" s="49"/>
      <c r="F740" s="49"/>
      <c r="G740" s="49"/>
      <c r="H740" s="49"/>
      <c r="I740" s="49"/>
      <c r="J740" s="49"/>
      <c r="K740" s="24"/>
      <c r="L740" s="24"/>
      <c r="M740" s="103"/>
    </row>
    <row r="741" spans="1:13" ht="22.5" customHeight="1">
      <c r="A741" s="50"/>
      <c r="B741" s="17"/>
      <c r="C741" s="102"/>
      <c r="D741" s="48"/>
      <c r="E741" s="49"/>
      <c r="F741" s="49"/>
      <c r="G741" s="49"/>
      <c r="H741" s="49"/>
      <c r="I741" s="49"/>
      <c r="J741" s="49"/>
      <c r="K741" s="24"/>
      <c r="L741" s="24"/>
      <c r="M741" s="103"/>
    </row>
    <row r="742" spans="1:13" ht="22.5" customHeight="1">
      <c r="A742" s="50"/>
      <c r="B742" s="17"/>
      <c r="C742" s="102"/>
      <c r="D742" s="48"/>
      <c r="E742" s="49"/>
      <c r="F742" s="49"/>
      <c r="G742" s="49"/>
      <c r="H742" s="49"/>
      <c r="I742" s="49"/>
      <c r="J742" s="49"/>
      <c r="K742" s="24"/>
      <c r="L742" s="24"/>
      <c r="M742" s="103"/>
    </row>
    <row r="743" spans="1:13" ht="22.5" customHeight="1">
      <c r="A743" s="50"/>
      <c r="B743" s="17"/>
      <c r="C743" s="102"/>
      <c r="D743" s="48"/>
      <c r="E743" s="49"/>
      <c r="F743" s="49"/>
      <c r="G743" s="49"/>
      <c r="H743" s="49"/>
      <c r="I743" s="49"/>
      <c r="J743" s="49"/>
      <c r="K743" s="24"/>
      <c r="L743" s="24"/>
      <c r="M743" s="103"/>
    </row>
    <row r="744" spans="1:13" ht="22.5" customHeight="1">
      <c r="A744" s="50"/>
      <c r="B744" s="17"/>
      <c r="C744" s="102"/>
      <c r="D744" s="48"/>
      <c r="E744" s="49"/>
      <c r="F744" s="49"/>
      <c r="G744" s="49"/>
      <c r="H744" s="49"/>
      <c r="I744" s="49"/>
      <c r="J744" s="49"/>
      <c r="K744" s="24"/>
      <c r="L744" s="24"/>
      <c r="M744" s="103"/>
    </row>
    <row r="745" spans="1:13" ht="22.5" customHeight="1">
      <c r="A745" s="50"/>
      <c r="B745" s="17"/>
      <c r="C745" s="102"/>
      <c r="D745" s="48"/>
      <c r="E745" s="49"/>
      <c r="F745" s="49"/>
      <c r="G745" s="49"/>
      <c r="H745" s="49"/>
      <c r="I745" s="49"/>
      <c r="J745" s="49"/>
      <c r="K745" s="24"/>
      <c r="L745" s="24"/>
      <c r="M745" s="103"/>
    </row>
    <row r="746" spans="1:13" ht="22.5" customHeight="1">
      <c r="A746" s="50"/>
      <c r="B746" s="17"/>
      <c r="C746" s="102"/>
      <c r="D746" s="48"/>
      <c r="E746" s="49"/>
      <c r="F746" s="49"/>
      <c r="G746" s="49"/>
      <c r="H746" s="49"/>
      <c r="I746" s="49"/>
      <c r="J746" s="49"/>
      <c r="K746" s="24"/>
      <c r="L746" s="24"/>
      <c r="M746" s="103"/>
    </row>
    <row r="747" spans="1:13" ht="22.5" customHeight="1">
      <c r="A747" s="50"/>
      <c r="B747" s="17"/>
      <c r="C747" s="102"/>
      <c r="D747" s="48"/>
      <c r="E747" s="49"/>
      <c r="F747" s="49"/>
      <c r="G747" s="49"/>
      <c r="H747" s="49"/>
      <c r="I747" s="49"/>
      <c r="J747" s="49"/>
      <c r="K747" s="24"/>
      <c r="L747" s="24"/>
      <c r="M747" s="103"/>
    </row>
    <row r="748" spans="1:13" ht="22.5" customHeight="1">
      <c r="A748" s="50"/>
      <c r="B748" s="17"/>
      <c r="C748" s="102"/>
      <c r="D748" s="48"/>
      <c r="E748" s="49"/>
      <c r="F748" s="49"/>
      <c r="G748" s="49"/>
      <c r="H748" s="49"/>
      <c r="I748" s="49"/>
      <c r="J748" s="49"/>
      <c r="K748" s="24"/>
      <c r="L748" s="24"/>
      <c r="M748" s="103"/>
    </row>
    <row r="749" spans="1:13" ht="22.5" customHeight="1">
      <c r="A749" s="50"/>
      <c r="B749" s="17"/>
      <c r="C749" s="102"/>
      <c r="D749" s="48"/>
      <c r="E749" s="49"/>
      <c r="F749" s="49"/>
      <c r="G749" s="49"/>
      <c r="H749" s="49"/>
      <c r="I749" s="49"/>
      <c r="J749" s="49"/>
      <c r="K749" s="24"/>
      <c r="L749" s="24"/>
      <c r="M749" s="103"/>
    </row>
    <row r="750" spans="1:13" ht="22.5" customHeight="1">
      <c r="A750" s="50"/>
      <c r="B750" s="17"/>
      <c r="C750" s="102"/>
      <c r="D750" s="48"/>
      <c r="E750" s="49"/>
      <c r="F750" s="49"/>
      <c r="G750" s="49"/>
      <c r="H750" s="49"/>
      <c r="I750" s="49"/>
      <c r="J750" s="49"/>
      <c r="K750" s="24"/>
      <c r="L750" s="24"/>
      <c r="M750" s="103"/>
    </row>
    <row r="751" spans="1:13" ht="22.5" customHeight="1">
      <c r="A751" s="50"/>
      <c r="B751" s="17"/>
      <c r="C751" s="102"/>
      <c r="D751" s="48"/>
      <c r="E751" s="49"/>
      <c r="F751" s="49"/>
      <c r="G751" s="49"/>
      <c r="H751" s="49"/>
      <c r="I751" s="49"/>
      <c r="J751" s="49"/>
      <c r="K751" s="24"/>
      <c r="L751" s="24"/>
      <c r="M751" s="103"/>
    </row>
    <row r="752" spans="1:13" ht="22.5" customHeight="1">
      <c r="A752" s="50"/>
      <c r="B752" s="17"/>
      <c r="C752" s="102"/>
      <c r="D752" s="48"/>
      <c r="E752" s="49"/>
      <c r="F752" s="49"/>
      <c r="G752" s="49"/>
      <c r="H752" s="49"/>
      <c r="I752" s="49"/>
      <c r="J752" s="49"/>
      <c r="K752" s="24"/>
      <c r="L752" s="24"/>
      <c r="M752" s="103"/>
    </row>
    <row r="753" spans="1:13" ht="22.5" customHeight="1">
      <c r="A753" s="50"/>
      <c r="B753" s="17"/>
      <c r="C753" s="102"/>
      <c r="D753" s="48"/>
      <c r="E753" s="49"/>
      <c r="F753" s="49"/>
      <c r="G753" s="49"/>
      <c r="H753" s="49"/>
      <c r="I753" s="49"/>
      <c r="J753" s="49"/>
      <c r="K753" s="24"/>
      <c r="L753" s="24"/>
      <c r="M753" s="103"/>
    </row>
    <row r="754" spans="1:13" ht="22.5" customHeight="1">
      <c r="A754" s="50"/>
      <c r="B754" s="17"/>
      <c r="C754" s="102"/>
      <c r="D754" s="48"/>
      <c r="E754" s="49"/>
      <c r="F754" s="49"/>
      <c r="G754" s="49"/>
      <c r="H754" s="49"/>
      <c r="I754" s="49"/>
      <c r="J754" s="49"/>
      <c r="K754" s="24"/>
      <c r="L754" s="24"/>
      <c r="M754" s="103"/>
    </row>
    <row r="755" spans="1:13" ht="22.5" customHeight="1">
      <c r="A755" s="50"/>
      <c r="B755" s="17"/>
      <c r="C755" s="102"/>
      <c r="D755" s="48"/>
      <c r="E755" s="49"/>
      <c r="F755" s="49"/>
      <c r="G755" s="49"/>
      <c r="H755" s="49"/>
      <c r="I755" s="49"/>
      <c r="J755" s="49"/>
      <c r="K755" s="24"/>
      <c r="L755" s="24"/>
      <c r="M755" s="103"/>
    </row>
    <row r="756" spans="1:13" ht="22.5" customHeight="1">
      <c r="A756" s="50"/>
      <c r="B756" s="17"/>
      <c r="C756" s="102"/>
      <c r="D756" s="48"/>
      <c r="E756" s="49"/>
      <c r="F756" s="49"/>
      <c r="G756" s="49"/>
      <c r="H756" s="49"/>
      <c r="I756" s="49"/>
      <c r="J756" s="49"/>
      <c r="K756" s="24"/>
      <c r="L756" s="24"/>
      <c r="M756" s="103"/>
    </row>
    <row r="757" spans="1:13" ht="22.5" customHeight="1">
      <c r="A757" s="50"/>
      <c r="B757" s="17"/>
      <c r="C757" s="102"/>
      <c r="D757" s="48"/>
      <c r="E757" s="49"/>
      <c r="F757" s="49"/>
      <c r="G757" s="49"/>
      <c r="H757" s="49"/>
      <c r="I757" s="49"/>
      <c r="J757" s="49"/>
      <c r="K757" s="24"/>
      <c r="L757" s="24"/>
      <c r="M757" s="103"/>
    </row>
    <row r="758" spans="1:13" ht="22.5" customHeight="1">
      <c r="A758" s="50"/>
      <c r="B758" s="17"/>
      <c r="C758" s="102"/>
      <c r="D758" s="48"/>
      <c r="E758" s="49"/>
      <c r="F758" s="49"/>
      <c r="G758" s="49"/>
      <c r="H758" s="49"/>
      <c r="I758" s="49"/>
      <c r="J758" s="49"/>
      <c r="K758" s="24"/>
      <c r="L758" s="24"/>
      <c r="M758" s="103"/>
    </row>
    <row r="759" spans="1:13" ht="22.5" customHeight="1">
      <c r="A759" s="50"/>
      <c r="B759" s="17"/>
      <c r="C759" s="102"/>
      <c r="D759" s="48"/>
      <c r="E759" s="49"/>
      <c r="F759" s="49"/>
      <c r="G759" s="49"/>
      <c r="H759" s="49"/>
      <c r="I759" s="49"/>
      <c r="J759" s="49"/>
      <c r="K759" s="24"/>
      <c r="L759" s="24"/>
      <c r="M759" s="103"/>
    </row>
    <row r="760" spans="1:13" ht="22.5" customHeight="1">
      <c r="A760" s="50"/>
      <c r="B760" s="17"/>
      <c r="C760" s="102"/>
      <c r="D760" s="48"/>
      <c r="E760" s="49"/>
      <c r="F760" s="49"/>
      <c r="G760" s="49"/>
      <c r="H760" s="49"/>
      <c r="I760" s="49"/>
      <c r="J760" s="49"/>
      <c r="K760" s="24"/>
      <c r="L760" s="24"/>
      <c r="M760" s="103"/>
    </row>
    <row r="761" spans="1:13" ht="22.5" customHeight="1">
      <c r="A761" s="50"/>
      <c r="B761" s="17"/>
      <c r="C761" s="102"/>
      <c r="D761" s="48"/>
      <c r="E761" s="49"/>
      <c r="F761" s="49"/>
      <c r="G761" s="49"/>
      <c r="H761" s="49"/>
      <c r="I761" s="49"/>
      <c r="J761" s="49"/>
      <c r="K761" s="24"/>
      <c r="L761" s="24"/>
      <c r="M761" s="103"/>
    </row>
    <row r="762" spans="1:13" ht="22.5" customHeight="1">
      <c r="A762" s="50"/>
      <c r="B762" s="17"/>
      <c r="C762" s="102"/>
      <c r="D762" s="48"/>
      <c r="E762" s="49"/>
      <c r="F762" s="49"/>
      <c r="G762" s="49"/>
      <c r="H762" s="49"/>
      <c r="I762" s="49"/>
      <c r="J762" s="49"/>
      <c r="K762" s="24"/>
      <c r="L762" s="24"/>
      <c r="M762" s="103"/>
    </row>
    <row r="763" spans="1:13" ht="22.5" customHeight="1">
      <c r="A763" s="50"/>
      <c r="B763" s="17"/>
      <c r="C763" s="102"/>
      <c r="D763" s="48"/>
      <c r="E763" s="49"/>
      <c r="F763" s="49"/>
      <c r="G763" s="49"/>
      <c r="H763" s="49"/>
      <c r="I763" s="49"/>
      <c r="J763" s="49"/>
      <c r="K763" s="24"/>
      <c r="L763" s="24"/>
      <c r="M763" s="103"/>
    </row>
    <row r="764" spans="1:13" ht="22.5" customHeight="1">
      <c r="A764" s="50"/>
      <c r="B764" s="17"/>
      <c r="C764" s="102"/>
      <c r="D764" s="48"/>
      <c r="E764" s="49"/>
      <c r="F764" s="49"/>
      <c r="G764" s="49"/>
      <c r="H764" s="49"/>
      <c r="I764" s="49"/>
      <c r="J764" s="49"/>
      <c r="K764" s="24"/>
      <c r="L764" s="24"/>
      <c r="M764" s="103"/>
    </row>
    <row r="765" spans="1:13" ht="22.5" customHeight="1">
      <c r="A765" s="50"/>
      <c r="B765" s="17"/>
      <c r="C765" s="102"/>
      <c r="D765" s="48"/>
      <c r="E765" s="49"/>
      <c r="F765" s="49"/>
      <c r="G765" s="49"/>
      <c r="H765" s="49"/>
      <c r="I765" s="49"/>
      <c r="J765" s="49"/>
      <c r="K765" s="24"/>
      <c r="L765" s="24"/>
      <c r="M765" s="103"/>
    </row>
    <row r="766" spans="1:13" ht="22.5" customHeight="1">
      <c r="A766" s="50"/>
      <c r="B766" s="17"/>
      <c r="C766" s="102"/>
      <c r="D766" s="48"/>
      <c r="E766" s="49"/>
      <c r="F766" s="49"/>
      <c r="G766" s="49"/>
      <c r="H766" s="49"/>
      <c r="I766" s="49"/>
      <c r="J766" s="49"/>
      <c r="K766" s="24"/>
      <c r="L766" s="24"/>
      <c r="M766" s="103"/>
    </row>
    <row r="767" spans="1:13" ht="22.5" customHeight="1">
      <c r="A767" s="50"/>
      <c r="B767" s="17"/>
      <c r="C767" s="102"/>
      <c r="D767" s="48"/>
      <c r="E767" s="49"/>
      <c r="F767" s="49"/>
      <c r="G767" s="49"/>
      <c r="H767" s="49"/>
      <c r="I767" s="49"/>
      <c r="J767" s="49"/>
      <c r="K767" s="24"/>
      <c r="L767" s="24"/>
      <c r="M767" s="103"/>
    </row>
    <row r="768" spans="1:13" ht="22.5" customHeight="1">
      <c r="A768" s="50"/>
      <c r="B768" s="17"/>
      <c r="C768" s="102"/>
      <c r="D768" s="48"/>
      <c r="E768" s="49"/>
      <c r="F768" s="49"/>
      <c r="G768" s="49"/>
      <c r="H768" s="49"/>
      <c r="I768" s="49"/>
      <c r="J768" s="49"/>
      <c r="K768" s="24"/>
      <c r="L768" s="24"/>
      <c r="M768" s="103"/>
    </row>
    <row r="769" spans="1:13" ht="22.5" customHeight="1">
      <c r="A769" s="50"/>
      <c r="B769" s="17"/>
      <c r="C769" s="102"/>
      <c r="D769" s="48"/>
      <c r="E769" s="49"/>
      <c r="F769" s="49"/>
      <c r="G769" s="49"/>
      <c r="H769" s="49"/>
      <c r="I769" s="49"/>
      <c r="J769" s="49"/>
      <c r="K769" s="24"/>
      <c r="L769" s="24"/>
      <c r="M769" s="103"/>
    </row>
    <row r="770" spans="1:13" ht="22.5" customHeight="1">
      <c r="A770" s="50"/>
      <c r="B770" s="17"/>
      <c r="C770" s="102"/>
      <c r="D770" s="48"/>
      <c r="E770" s="49"/>
      <c r="F770" s="49"/>
      <c r="G770" s="49"/>
      <c r="H770" s="49"/>
      <c r="I770" s="49"/>
      <c r="J770" s="49"/>
      <c r="K770" s="24"/>
      <c r="L770" s="24"/>
      <c r="M770" s="103"/>
    </row>
    <row r="771" spans="1:13" ht="22.5" customHeight="1">
      <c r="A771" s="50"/>
      <c r="B771" s="17"/>
      <c r="C771" s="102"/>
      <c r="D771" s="48"/>
      <c r="E771" s="49"/>
      <c r="F771" s="49"/>
      <c r="G771" s="49"/>
      <c r="H771" s="49"/>
      <c r="I771" s="49"/>
      <c r="J771" s="49"/>
      <c r="K771" s="24"/>
      <c r="L771" s="24"/>
      <c r="M771" s="103"/>
    </row>
    <row r="772" spans="1:13" ht="22.5" customHeight="1">
      <c r="A772" s="50"/>
      <c r="B772" s="17"/>
      <c r="C772" s="102"/>
      <c r="D772" s="48"/>
      <c r="E772" s="49"/>
      <c r="F772" s="49"/>
      <c r="G772" s="49"/>
      <c r="H772" s="49"/>
      <c r="I772" s="49"/>
      <c r="J772" s="49"/>
      <c r="K772" s="24"/>
      <c r="L772" s="24"/>
      <c r="M772" s="103"/>
    </row>
    <row r="773" spans="1:13" ht="22.5" customHeight="1">
      <c r="A773" s="50"/>
      <c r="B773" s="17"/>
      <c r="C773" s="102"/>
      <c r="D773" s="48"/>
      <c r="E773" s="49"/>
      <c r="F773" s="49"/>
      <c r="G773" s="49"/>
      <c r="H773" s="49"/>
      <c r="I773" s="49"/>
      <c r="J773" s="49"/>
      <c r="K773" s="24"/>
      <c r="L773" s="24"/>
      <c r="M773" s="103"/>
    </row>
    <row r="774" spans="1:13" ht="22.5" customHeight="1">
      <c r="A774" s="50"/>
      <c r="B774" s="17"/>
      <c r="C774" s="102"/>
      <c r="D774" s="48"/>
      <c r="E774" s="49"/>
      <c r="F774" s="49"/>
      <c r="G774" s="49"/>
      <c r="H774" s="49"/>
      <c r="I774" s="49"/>
      <c r="J774" s="49"/>
      <c r="K774" s="24"/>
      <c r="L774" s="24"/>
      <c r="M774" s="103"/>
    </row>
    <row r="775" spans="1:13" ht="22.5" customHeight="1">
      <c r="A775" s="50"/>
      <c r="B775" s="17"/>
      <c r="C775" s="102"/>
      <c r="D775" s="48"/>
      <c r="E775" s="49"/>
      <c r="F775" s="49"/>
      <c r="G775" s="49"/>
      <c r="H775" s="49"/>
      <c r="I775" s="49"/>
      <c r="J775" s="49"/>
      <c r="K775" s="24"/>
      <c r="L775" s="24"/>
      <c r="M775" s="103"/>
    </row>
    <row r="776" spans="1:13" ht="22.5" customHeight="1">
      <c r="A776" s="50"/>
      <c r="B776" s="17"/>
      <c r="C776" s="102"/>
      <c r="D776" s="48"/>
      <c r="E776" s="49"/>
      <c r="F776" s="49"/>
      <c r="G776" s="49"/>
      <c r="H776" s="49"/>
      <c r="I776" s="49"/>
      <c r="J776" s="49"/>
      <c r="K776" s="24"/>
      <c r="L776" s="24"/>
      <c r="M776" s="103"/>
    </row>
    <row r="777" spans="1:13" ht="22.5" customHeight="1">
      <c r="A777" s="50"/>
      <c r="B777" s="17"/>
      <c r="C777" s="102"/>
      <c r="D777" s="48"/>
      <c r="E777" s="49"/>
      <c r="F777" s="49"/>
      <c r="G777" s="49"/>
      <c r="H777" s="49"/>
      <c r="I777" s="49"/>
      <c r="J777" s="49"/>
      <c r="K777" s="24"/>
      <c r="L777" s="24"/>
      <c r="M777" s="103"/>
    </row>
    <row r="778" spans="1:13" ht="22.5" customHeight="1">
      <c r="A778" s="50"/>
      <c r="B778" s="17"/>
      <c r="C778" s="102"/>
      <c r="D778" s="48"/>
      <c r="E778" s="49"/>
      <c r="F778" s="49"/>
      <c r="G778" s="49"/>
      <c r="H778" s="49"/>
      <c r="I778" s="49"/>
      <c r="J778" s="49"/>
      <c r="K778" s="24"/>
      <c r="L778" s="24"/>
      <c r="M778" s="103"/>
    </row>
    <row r="779" spans="1:13" ht="22.5" customHeight="1">
      <c r="A779" s="50"/>
      <c r="B779" s="17"/>
      <c r="C779" s="102"/>
      <c r="D779" s="48"/>
      <c r="E779" s="49"/>
      <c r="F779" s="49"/>
      <c r="G779" s="49"/>
      <c r="H779" s="49"/>
      <c r="I779" s="49"/>
      <c r="J779" s="49"/>
      <c r="K779" s="24"/>
      <c r="L779" s="24"/>
      <c r="M779" s="103"/>
    </row>
    <row r="780" spans="1:13" ht="22.5" customHeight="1">
      <c r="A780" s="50"/>
      <c r="B780" s="17"/>
      <c r="C780" s="102"/>
      <c r="D780" s="48"/>
      <c r="E780" s="49"/>
      <c r="F780" s="49"/>
      <c r="G780" s="49"/>
      <c r="H780" s="49"/>
      <c r="I780" s="49"/>
      <c r="J780" s="49"/>
      <c r="K780" s="24"/>
      <c r="L780" s="24"/>
      <c r="M780" s="103"/>
    </row>
    <row r="781" spans="1:13" ht="22.5" customHeight="1">
      <c r="A781" s="50"/>
      <c r="B781" s="17"/>
      <c r="C781" s="102"/>
      <c r="D781" s="48"/>
      <c r="E781" s="49"/>
      <c r="F781" s="49"/>
      <c r="G781" s="49"/>
      <c r="H781" s="49"/>
      <c r="I781" s="49"/>
      <c r="J781" s="49"/>
      <c r="K781" s="24"/>
      <c r="L781" s="24"/>
      <c r="M781" s="103"/>
    </row>
    <row r="782" spans="1:13" ht="22.5" customHeight="1">
      <c r="A782" s="50"/>
      <c r="B782" s="17"/>
      <c r="C782" s="102"/>
      <c r="D782" s="48"/>
      <c r="E782" s="49"/>
      <c r="F782" s="49"/>
      <c r="G782" s="49"/>
      <c r="H782" s="49"/>
      <c r="I782" s="49"/>
      <c r="J782" s="49"/>
      <c r="K782" s="24"/>
      <c r="L782" s="24"/>
      <c r="M782" s="103"/>
    </row>
    <row r="783" spans="1:13" ht="22.5" customHeight="1">
      <c r="A783" s="50"/>
      <c r="B783" s="17"/>
      <c r="C783" s="102"/>
      <c r="D783" s="48"/>
      <c r="E783" s="49"/>
      <c r="F783" s="49"/>
      <c r="G783" s="49"/>
      <c r="H783" s="49"/>
      <c r="I783" s="49"/>
      <c r="J783" s="49"/>
      <c r="K783" s="24"/>
      <c r="L783" s="24"/>
      <c r="M783" s="103"/>
    </row>
    <row r="784" spans="1:13" ht="22.5" customHeight="1">
      <c r="A784" s="50"/>
      <c r="B784" s="17"/>
      <c r="C784" s="102"/>
      <c r="D784" s="48"/>
      <c r="E784" s="49"/>
      <c r="F784" s="49"/>
      <c r="G784" s="49"/>
      <c r="H784" s="49"/>
      <c r="I784" s="49"/>
      <c r="J784" s="49"/>
      <c r="K784" s="24"/>
      <c r="L784" s="24"/>
      <c r="M784" s="103"/>
    </row>
    <row r="785" spans="1:13" ht="22.5" customHeight="1">
      <c r="A785" s="50"/>
      <c r="B785" s="17"/>
      <c r="C785" s="102"/>
      <c r="D785" s="48"/>
      <c r="E785" s="49"/>
      <c r="F785" s="49"/>
      <c r="G785" s="49"/>
      <c r="H785" s="49"/>
      <c r="I785" s="49"/>
      <c r="J785" s="49"/>
      <c r="K785" s="24"/>
      <c r="L785" s="24"/>
      <c r="M785" s="103"/>
    </row>
    <row r="786" spans="1:13" ht="22.5" customHeight="1">
      <c r="A786" s="50"/>
      <c r="B786" s="17"/>
      <c r="C786" s="102"/>
      <c r="D786" s="48"/>
      <c r="E786" s="49"/>
      <c r="F786" s="49"/>
      <c r="G786" s="49"/>
      <c r="H786" s="49"/>
      <c r="I786" s="49"/>
      <c r="J786" s="49"/>
      <c r="K786" s="24"/>
      <c r="L786" s="24"/>
      <c r="M786" s="103"/>
    </row>
    <row r="787" spans="1:13" ht="22.5" customHeight="1">
      <c r="A787" s="50"/>
      <c r="B787" s="17"/>
      <c r="C787" s="102"/>
      <c r="D787" s="48"/>
      <c r="E787" s="49"/>
      <c r="F787" s="49"/>
      <c r="G787" s="49"/>
      <c r="H787" s="49"/>
      <c r="I787" s="49"/>
      <c r="J787" s="49"/>
      <c r="K787" s="24"/>
      <c r="L787" s="24"/>
      <c r="M787" s="103"/>
    </row>
    <row r="788" spans="1:13" ht="22.5" customHeight="1">
      <c r="A788" s="50"/>
      <c r="B788" s="17"/>
      <c r="C788" s="102"/>
      <c r="D788" s="48"/>
      <c r="E788" s="49"/>
      <c r="F788" s="49"/>
      <c r="G788" s="49"/>
      <c r="H788" s="49"/>
      <c r="I788" s="49"/>
      <c r="J788" s="49"/>
      <c r="K788" s="24"/>
      <c r="L788" s="24"/>
      <c r="M788" s="103"/>
    </row>
    <row r="789" spans="1:13" ht="22.5" customHeight="1">
      <c r="A789" s="50"/>
      <c r="B789" s="17"/>
      <c r="C789" s="102"/>
      <c r="D789" s="48"/>
      <c r="E789" s="49"/>
      <c r="F789" s="49"/>
      <c r="G789" s="49"/>
      <c r="H789" s="49"/>
      <c r="I789" s="49"/>
      <c r="J789" s="49"/>
      <c r="K789" s="24"/>
      <c r="L789" s="24"/>
      <c r="M789" s="103"/>
    </row>
    <row r="790" spans="1:13" ht="22.5" customHeight="1">
      <c r="A790" s="50"/>
      <c r="B790" s="17"/>
      <c r="C790" s="102"/>
      <c r="D790" s="48"/>
      <c r="E790" s="49"/>
      <c r="F790" s="49"/>
      <c r="G790" s="49"/>
      <c r="H790" s="49"/>
      <c r="I790" s="49"/>
      <c r="J790" s="49"/>
      <c r="K790" s="24"/>
      <c r="L790" s="24"/>
      <c r="M790" s="103"/>
    </row>
    <row r="791" spans="1:13" ht="22.5" customHeight="1">
      <c r="A791" s="50"/>
      <c r="B791" s="17"/>
      <c r="C791" s="102"/>
      <c r="D791" s="48"/>
      <c r="E791" s="49"/>
      <c r="F791" s="49"/>
      <c r="G791" s="49"/>
      <c r="H791" s="49"/>
      <c r="I791" s="49"/>
      <c r="J791" s="49"/>
      <c r="K791" s="24"/>
      <c r="L791" s="24"/>
      <c r="M791" s="103"/>
    </row>
    <row r="792" spans="1:13" ht="22.5" customHeight="1">
      <c r="A792" s="50"/>
      <c r="B792" s="17"/>
      <c r="C792" s="102"/>
      <c r="D792" s="48"/>
      <c r="E792" s="49"/>
      <c r="F792" s="49"/>
      <c r="G792" s="49"/>
      <c r="H792" s="49"/>
      <c r="I792" s="49"/>
      <c r="J792" s="49"/>
      <c r="K792" s="24"/>
      <c r="L792" s="24"/>
      <c r="M792" s="103"/>
    </row>
    <row r="793" spans="1:13" ht="22.5" customHeight="1">
      <c r="A793" s="50"/>
      <c r="B793" s="17"/>
      <c r="C793" s="102"/>
      <c r="D793" s="48"/>
      <c r="E793" s="49"/>
      <c r="F793" s="49"/>
      <c r="G793" s="49"/>
      <c r="H793" s="49"/>
      <c r="I793" s="49"/>
      <c r="J793" s="49"/>
      <c r="K793" s="24"/>
      <c r="L793" s="24"/>
      <c r="M793" s="103"/>
    </row>
    <row r="794" spans="1:13" ht="22.5" customHeight="1">
      <c r="A794" s="50"/>
      <c r="B794" s="17"/>
      <c r="C794" s="102"/>
      <c r="D794" s="48"/>
      <c r="E794" s="49"/>
      <c r="F794" s="49"/>
      <c r="G794" s="49"/>
      <c r="H794" s="49"/>
      <c r="I794" s="49"/>
      <c r="J794" s="49"/>
      <c r="K794" s="24"/>
      <c r="L794" s="24"/>
      <c r="M794" s="103"/>
    </row>
    <row r="795" spans="1:13" ht="22.5" customHeight="1">
      <c r="A795" s="50"/>
      <c r="B795" s="17"/>
      <c r="C795" s="102"/>
      <c r="D795" s="48"/>
      <c r="E795" s="49"/>
      <c r="F795" s="49"/>
      <c r="G795" s="49"/>
      <c r="H795" s="49"/>
      <c r="I795" s="49"/>
      <c r="J795" s="49"/>
      <c r="K795" s="24"/>
      <c r="L795" s="24"/>
      <c r="M795" s="103"/>
    </row>
    <row r="796" spans="1:13" ht="22.5" customHeight="1">
      <c r="A796" s="50"/>
      <c r="B796" s="17"/>
      <c r="C796" s="102"/>
      <c r="D796" s="48"/>
      <c r="E796" s="49"/>
      <c r="F796" s="49"/>
      <c r="G796" s="49"/>
      <c r="H796" s="49"/>
      <c r="I796" s="49"/>
      <c r="J796" s="49"/>
      <c r="K796" s="24"/>
      <c r="L796" s="24"/>
      <c r="M796" s="103"/>
    </row>
    <row r="797" spans="1:13" ht="22.5" customHeight="1">
      <c r="A797" s="50"/>
      <c r="B797" s="17"/>
      <c r="C797" s="102"/>
      <c r="D797" s="48"/>
      <c r="E797" s="49"/>
      <c r="F797" s="49"/>
      <c r="G797" s="49"/>
      <c r="H797" s="49"/>
      <c r="I797" s="49"/>
      <c r="J797" s="49"/>
      <c r="K797" s="24"/>
      <c r="L797" s="24"/>
      <c r="M797" s="103"/>
    </row>
    <row r="798" spans="1:13" ht="22.5" customHeight="1">
      <c r="A798" s="50"/>
      <c r="B798" s="17"/>
      <c r="C798" s="102"/>
      <c r="D798" s="48"/>
      <c r="E798" s="49"/>
      <c r="F798" s="49"/>
      <c r="G798" s="49"/>
      <c r="H798" s="49"/>
      <c r="I798" s="49"/>
      <c r="J798" s="49"/>
      <c r="K798" s="24"/>
      <c r="L798" s="24"/>
      <c r="M798" s="103"/>
    </row>
    <row r="799" spans="1:13" ht="22.5" customHeight="1">
      <c r="A799" s="50"/>
      <c r="B799" s="17"/>
      <c r="C799" s="102"/>
      <c r="D799" s="48"/>
      <c r="E799" s="49"/>
      <c r="F799" s="49"/>
      <c r="G799" s="49"/>
      <c r="H799" s="49"/>
      <c r="I799" s="49"/>
      <c r="J799" s="49"/>
      <c r="K799" s="24"/>
      <c r="L799" s="24"/>
      <c r="M799" s="103"/>
    </row>
    <row r="800" spans="1:13" ht="22.5" customHeight="1">
      <c r="A800" s="50"/>
      <c r="B800" s="17"/>
      <c r="C800" s="102"/>
      <c r="D800" s="48"/>
      <c r="E800" s="49"/>
      <c r="F800" s="49"/>
      <c r="G800" s="49"/>
      <c r="H800" s="49"/>
      <c r="I800" s="49"/>
      <c r="J800" s="49"/>
      <c r="K800" s="24"/>
      <c r="L800" s="24"/>
      <c r="M800" s="103"/>
    </row>
    <row r="801" spans="1:13" ht="22.5" customHeight="1">
      <c r="A801" s="50"/>
      <c r="B801" s="17"/>
      <c r="C801" s="102"/>
      <c r="D801" s="48"/>
      <c r="E801" s="49"/>
      <c r="F801" s="49"/>
      <c r="G801" s="49"/>
      <c r="H801" s="49"/>
      <c r="I801" s="49"/>
      <c r="J801" s="49"/>
      <c r="K801" s="24"/>
      <c r="L801" s="24"/>
      <c r="M801" s="103"/>
    </row>
    <row r="802" spans="1:13" ht="22.5" customHeight="1">
      <c r="A802" s="50"/>
      <c r="B802" s="17"/>
      <c r="C802" s="102"/>
      <c r="D802" s="48"/>
      <c r="E802" s="49"/>
      <c r="F802" s="49"/>
      <c r="G802" s="49"/>
      <c r="H802" s="49"/>
      <c r="I802" s="49"/>
      <c r="J802" s="49"/>
      <c r="K802" s="24"/>
      <c r="L802" s="24"/>
      <c r="M802" s="103"/>
    </row>
    <row r="803" spans="1:13" ht="22.5" customHeight="1">
      <c r="A803" s="50"/>
      <c r="B803" s="17"/>
      <c r="C803" s="102"/>
      <c r="D803" s="48"/>
      <c r="E803" s="49"/>
      <c r="F803" s="49"/>
      <c r="G803" s="49"/>
      <c r="H803" s="49"/>
      <c r="I803" s="49"/>
      <c r="J803" s="49"/>
      <c r="K803" s="24"/>
      <c r="L803" s="24"/>
      <c r="M803" s="103"/>
    </row>
    <row r="804" spans="1:13" ht="22.5" customHeight="1">
      <c r="A804" s="50"/>
      <c r="B804" s="17"/>
      <c r="C804" s="102"/>
      <c r="D804" s="48"/>
      <c r="E804" s="49"/>
      <c r="F804" s="49"/>
      <c r="G804" s="49"/>
      <c r="H804" s="49"/>
      <c r="I804" s="49"/>
      <c r="J804" s="49"/>
      <c r="K804" s="24"/>
      <c r="L804" s="24"/>
      <c r="M804" s="103"/>
    </row>
    <row r="805" spans="1:13" ht="22.5" customHeight="1">
      <c r="A805" s="50"/>
      <c r="B805" s="17"/>
      <c r="C805" s="102"/>
      <c r="D805" s="48"/>
      <c r="E805" s="49"/>
      <c r="F805" s="49"/>
      <c r="G805" s="49"/>
      <c r="H805" s="49"/>
      <c r="I805" s="49"/>
      <c r="J805" s="49"/>
      <c r="K805" s="24"/>
      <c r="L805" s="24"/>
      <c r="M805" s="103"/>
    </row>
    <row r="806" spans="1:13" ht="22.5" customHeight="1">
      <c r="A806" s="50"/>
      <c r="B806" s="17"/>
      <c r="C806" s="102"/>
      <c r="D806" s="48"/>
      <c r="E806" s="49"/>
      <c r="F806" s="49"/>
      <c r="G806" s="49"/>
      <c r="H806" s="49"/>
      <c r="I806" s="49"/>
      <c r="J806" s="49"/>
      <c r="K806" s="24"/>
      <c r="L806" s="24"/>
      <c r="M806" s="103"/>
    </row>
    <row r="807" spans="1:13" ht="22.5" customHeight="1">
      <c r="A807" s="50"/>
      <c r="B807" s="17"/>
      <c r="C807" s="102"/>
      <c r="D807" s="48"/>
      <c r="E807" s="49"/>
      <c r="F807" s="49"/>
      <c r="G807" s="49"/>
      <c r="H807" s="49"/>
      <c r="I807" s="49"/>
      <c r="J807" s="49"/>
      <c r="K807" s="24"/>
      <c r="L807" s="24"/>
      <c r="M807" s="103"/>
    </row>
    <row r="808" spans="1:13" ht="22.5" customHeight="1">
      <c r="A808" s="50"/>
      <c r="B808" s="17"/>
      <c r="C808" s="102"/>
      <c r="D808" s="48"/>
      <c r="E808" s="49"/>
      <c r="F808" s="49"/>
      <c r="G808" s="49"/>
      <c r="H808" s="49"/>
      <c r="I808" s="49"/>
      <c r="J808" s="49"/>
      <c r="K808" s="24"/>
      <c r="L808" s="24"/>
      <c r="M808" s="103"/>
    </row>
    <row r="809" spans="1:13" ht="22.5" customHeight="1">
      <c r="A809" s="50"/>
      <c r="B809" s="17"/>
      <c r="C809" s="102"/>
      <c r="D809" s="48"/>
      <c r="E809" s="49"/>
      <c r="F809" s="49"/>
      <c r="G809" s="49"/>
      <c r="H809" s="49"/>
      <c r="I809" s="49"/>
      <c r="J809" s="49"/>
      <c r="K809" s="24"/>
      <c r="L809" s="24"/>
      <c r="M809" s="103"/>
    </row>
    <row r="810" spans="1:13" ht="22.5" customHeight="1">
      <c r="A810" s="50"/>
      <c r="B810" s="17"/>
      <c r="C810" s="102"/>
      <c r="D810" s="48"/>
      <c r="E810" s="49"/>
      <c r="F810" s="49"/>
      <c r="G810" s="49"/>
      <c r="H810" s="49"/>
      <c r="I810" s="49"/>
      <c r="J810" s="49"/>
      <c r="K810" s="24"/>
      <c r="L810" s="24"/>
      <c r="M810" s="103"/>
    </row>
    <row r="811" spans="1:13" ht="22.5" customHeight="1">
      <c r="A811" s="50"/>
      <c r="B811" s="17"/>
      <c r="C811" s="102"/>
      <c r="D811" s="48"/>
      <c r="E811" s="49"/>
      <c r="F811" s="49"/>
      <c r="G811" s="49"/>
      <c r="H811" s="49"/>
      <c r="I811" s="49"/>
      <c r="J811" s="49"/>
      <c r="K811" s="24"/>
      <c r="L811" s="24"/>
      <c r="M811" s="103"/>
    </row>
    <row r="812" spans="1:13" ht="22.5" customHeight="1">
      <c r="A812" s="50"/>
      <c r="B812" s="17"/>
      <c r="C812" s="102"/>
      <c r="D812" s="48"/>
      <c r="E812" s="49"/>
      <c r="F812" s="49"/>
      <c r="G812" s="49"/>
      <c r="H812" s="49"/>
      <c r="I812" s="49"/>
      <c r="J812" s="49"/>
      <c r="K812" s="24"/>
      <c r="L812" s="24"/>
      <c r="M812" s="103"/>
    </row>
    <row r="813" spans="1:13" ht="22.5" customHeight="1">
      <c r="A813" s="50"/>
      <c r="B813" s="17"/>
      <c r="C813" s="102"/>
      <c r="D813" s="48"/>
      <c r="E813" s="49"/>
      <c r="F813" s="49"/>
      <c r="G813" s="49"/>
      <c r="H813" s="49"/>
      <c r="I813" s="49"/>
      <c r="J813" s="49"/>
      <c r="K813" s="24"/>
      <c r="L813" s="24"/>
      <c r="M813" s="103"/>
    </row>
    <row r="814" spans="1:13" ht="22.5" customHeight="1">
      <c r="A814" s="50"/>
      <c r="B814" s="17"/>
      <c r="C814" s="102"/>
      <c r="D814" s="48"/>
      <c r="E814" s="49"/>
      <c r="F814" s="49"/>
      <c r="G814" s="49"/>
      <c r="H814" s="49"/>
      <c r="I814" s="49"/>
      <c r="J814" s="49"/>
      <c r="K814" s="24"/>
      <c r="L814" s="24"/>
      <c r="M814" s="103"/>
    </row>
    <row r="815" spans="1:13" ht="22.5" customHeight="1">
      <c r="A815" s="50"/>
      <c r="B815" s="17"/>
      <c r="C815" s="102"/>
      <c r="D815" s="48"/>
      <c r="E815" s="49"/>
      <c r="F815" s="49"/>
      <c r="G815" s="49"/>
      <c r="H815" s="49"/>
      <c r="I815" s="49"/>
      <c r="J815" s="49"/>
      <c r="K815" s="24"/>
      <c r="L815" s="24"/>
      <c r="M815" s="103"/>
    </row>
    <row r="816" spans="1:13" ht="22.5" customHeight="1">
      <c r="A816" s="50"/>
      <c r="B816" s="17"/>
      <c r="C816" s="102"/>
      <c r="D816" s="48"/>
      <c r="E816" s="49"/>
      <c r="F816" s="49"/>
      <c r="G816" s="49"/>
      <c r="H816" s="49"/>
      <c r="I816" s="49"/>
      <c r="J816" s="49"/>
      <c r="K816" s="24"/>
      <c r="L816" s="24"/>
      <c r="M816" s="103"/>
    </row>
    <row r="817" spans="1:13" ht="22.5" customHeight="1">
      <c r="A817" s="50"/>
      <c r="B817" s="17"/>
      <c r="C817" s="102"/>
      <c r="D817" s="48"/>
      <c r="E817" s="49"/>
      <c r="F817" s="49"/>
      <c r="G817" s="49"/>
      <c r="H817" s="49"/>
      <c r="I817" s="49"/>
      <c r="J817" s="49"/>
      <c r="K817" s="24"/>
      <c r="L817" s="24"/>
      <c r="M817" s="103"/>
    </row>
    <row r="818" spans="1:13" ht="22.5" customHeight="1">
      <c r="A818" s="50"/>
      <c r="B818" s="17"/>
      <c r="C818" s="102"/>
      <c r="D818" s="48"/>
      <c r="E818" s="49"/>
      <c r="F818" s="49"/>
      <c r="G818" s="49"/>
      <c r="H818" s="49"/>
      <c r="I818" s="49"/>
      <c r="J818" s="49"/>
      <c r="K818" s="24"/>
      <c r="L818" s="24"/>
      <c r="M818" s="103"/>
    </row>
    <row r="819" spans="1:13" ht="22.5" customHeight="1">
      <c r="A819" s="50"/>
      <c r="B819" s="17"/>
      <c r="C819" s="102"/>
      <c r="D819" s="48"/>
      <c r="E819" s="49"/>
      <c r="F819" s="49"/>
      <c r="G819" s="49"/>
      <c r="H819" s="49"/>
      <c r="I819" s="49"/>
      <c r="J819" s="49"/>
      <c r="K819" s="24"/>
      <c r="L819" s="24"/>
      <c r="M819" s="103"/>
    </row>
    <row r="820" spans="1:13" ht="22.5" customHeight="1">
      <c r="A820" s="50"/>
      <c r="B820" s="17"/>
      <c r="C820" s="102"/>
      <c r="D820" s="48"/>
      <c r="E820" s="49"/>
      <c r="F820" s="49"/>
      <c r="G820" s="49"/>
      <c r="H820" s="49"/>
      <c r="I820" s="49"/>
      <c r="J820" s="49"/>
      <c r="K820" s="24"/>
      <c r="L820" s="24"/>
      <c r="M820" s="103"/>
    </row>
    <row r="821" spans="1:13" ht="22.5" customHeight="1">
      <c r="A821" s="50"/>
      <c r="B821" s="17"/>
      <c r="C821" s="102"/>
      <c r="D821" s="48"/>
      <c r="E821" s="49"/>
      <c r="F821" s="49"/>
      <c r="G821" s="49"/>
      <c r="H821" s="49"/>
      <c r="I821" s="49"/>
      <c r="J821" s="49"/>
      <c r="K821" s="24"/>
      <c r="L821" s="24"/>
      <c r="M821" s="103"/>
    </row>
    <row r="822" spans="1:13" ht="22.5" customHeight="1">
      <c r="A822" s="50"/>
      <c r="B822" s="17"/>
      <c r="C822" s="102"/>
      <c r="D822" s="48"/>
      <c r="E822" s="49"/>
      <c r="F822" s="49"/>
      <c r="G822" s="49"/>
      <c r="H822" s="49"/>
      <c r="I822" s="49"/>
      <c r="J822" s="49"/>
      <c r="K822" s="24"/>
      <c r="L822" s="24"/>
      <c r="M822" s="103"/>
    </row>
    <row r="823" spans="1:13" ht="22.5" customHeight="1">
      <c r="A823" s="50"/>
      <c r="B823" s="17"/>
      <c r="C823" s="102"/>
      <c r="D823" s="48"/>
      <c r="E823" s="49"/>
      <c r="F823" s="49"/>
      <c r="G823" s="49"/>
      <c r="H823" s="49"/>
      <c r="I823" s="49"/>
      <c r="J823" s="49"/>
      <c r="K823" s="24"/>
      <c r="L823" s="24"/>
      <c r="M823" s="103"/>
    </row>
    <row r="824" spans="1:13" ht="22.5" customHeight="1">
      <c r="A824" s="50"/>
      <c r="B824" s="17"/>
      <c r="C824" s="102"/>
      <c r="D824" s="48"/>
      <c r="E824" s="49"/>
      <c r="F824" s="49"/>
      <c r="G824" s="49"/>
      <c r="H824" s="49"/>
      <c r="I824" s="49"/>
      <c r="J824" s="49"/>
      <c r="K824" s="24"/>
      <c r="L824" s="24"/>
      <c r="M824" s="103"/>
    </row>
    <row r="825" spans="1:13" ht="22.5" customHeight="1">
      <c r="A825" s="50"/>
      <c r="B825" s="17"/>
      <c r="C825" s="102"/>
      <c r="D825" s="48"/>
      <c r="E825" s="49"/>
      <c r="F825" s="49"/>
      <c r="G825" s="49"/>
      <c r="H825" s="49"/>
      <c r="I825" s="49"/>
      <c r="J825" s="49"/>
      <c r="K825" s="24"/>
      <c r="L825" s="24"/>
      <c r="M825" s="103"/>
    </row>
    <row r="826" spans="1:13" ht="22.5" customHeight="1">
      <c r="A826" s="50"/>
      <c r="B826" s="17"/>
      <c r="C826" s="102"/>
      <c r="D826" s="48"/>
      <c r="E826" s="49"/>
      <c r="F826" s="49"/>
      <c r="G826" s="49"/>
      <c r="H826" s="49"/>
      <c r="I826" s="49"/>
      <c r="J826" s="49"/>
      <c r="K826" s="24"/>
      <c r="L826" s="24"/>
      <c r="M826" s="103"/>
    </row>
    <row r="827" spans="1:13" ht="22.5" customHeight="1">
      <c r="A827" s="50"/>
      <c r="B827" s="17"/>
      <c r="C827" s="102"/>
      <c r="D827" s="48"/>
      <c r="E827" s="49"/>
      <c r="F827" s="49"/>
      <c r="G827" s="49"/>
      <c r="H827" s="49"/>
      <c r="I827" s="49"/>
      <c r="J827" s="49"/>
      <c r="K827" s="24"/>
      <c r="L827" s="24"/>
      <c r="M827" s="103"/>
    </row>
    <row r="828" spans="1:13" ht="22.5" customHeight="1">
      <c r="A828" s="50"/>
      <c r="B828" s="17"/>
      <c r="C828" s="102"/>
      <c r="D828" s="48"/>
      <c r="E828" s="49"/>
      <c r="F828" s="49"/>
      <c r="G828" s="49"/>
      <c r="H828" s="49"/>
      <c r="I828" s="49"/>
      <c r="J828" s="49"/>
      <c r="K828" s="24"/>
      <c r="L828" s="24"/>
      <c r="M828" s="103"/>
    </row>
    <row r="829" spans="1:13" ht="22.5" customHeight="1">
      <c r="A829" s="50"/>
      <c r="B829" s="17"/>
      <c r="C829" s="102"/>
      <c r="D829" s="48"/>
      <c r="E829" s="49"/>
      <c r="F829" s="49"/>
      <c r="G829" s="49"/>
      <c r="H829" s="49"/>
      <c r="I829" s="49"/>
      <c r="J829" s="49"/>
      <c r="K829" s="24"/>
      <c r="L829" s="24"/>
      <c r="M829" s="103"/>
    </row>
    <row r="830" spans="1:13" ht="22.5" customHeight="1">
      <c r="A830" s="50"/>
      <c r="B830" s="17"/>
      <c r="C830" s="102"/>
      <c r="D830" s="48"/>
      <c r="E830" s="49"/>
      <c r="F830" s="49"/>
      <c r="G830" s="49"/>
      <c r="H830" s="49"/>
      <c r="I830" s="49"/>
      <c r="J830" s="49"/>
      <c r="K830" s="24"/>
      <c r="L830" s="24"/>
      <c r="M830" s="103"/>
    </row>
    <row r="831" spans="1:13" ht="22.5" customHeight="1">
      <c r="A831" s="50"/>
      <c r="B831" s="17"/>
      <c r="C831" s="102"/>
      <c r="D831" s="48"/>
      <c r="E831" s="49"/>
      <c r="F831" s="49"/>
      <c r="G831" s="49"/>
      <c r="H831" s="49"/>
      <c r="I831" s="49"/>
      <c r="J831" s="49"/>
      <c r="K831" s="24"/>
      <c r="L831" s="24"/>
      <c r="M831" s="103"/>
    </row>
    <row r="832" spans="1:13" ht="22.5" customHeight="1">
      <c r="A832" s="50"/>
      <c r="B832" s="17"/>
      <c r="C832" s="102"/>
      <c r="D832" s="48"/>
      <c r="E832" s="49"/>
      <c r="F832" s="49"/>
      <c r="G832" s="49"/>
      <c r="H832" s="49"/>
      <c r="I832" s="49"/>
      <c r="J832" s="49"/>
      <c r="K832" s="24"/>
      <c r="L832" s="24"/>
      <c r="M832" s="103"/>
    </row>
    <row r="833" spans="1:13" ht="22.5" customHeight="1">
      <c r="A833" s="50"/>
      <c r="B833" s="17"/>
      <c r="C833" s="102"/>
      <c r="D833" s="48"/>
      <c r="E833" s="49"/>
      <c r="F833" s="49"/>
      <c r="G833" s="49"/>
      <c r="H833" s="49"/>
      <c r="I833" s="49"/>
      <c r="J833" s="49"/>
      <c r="K833" s="24"/>
      <c r="L833" s="24"/>
      <c r="M833" s="103"/>
    </row>
    <row r="834" spans="1:13" ht="22.5" customHeight="1">
      <c r="A834" s="50"/>
      <c r="B834" s="17"/>
      <c r="C834" s="102"/>
      <c r="D834" s="48"/>
      <c r="E834" s="49"/>
      <c r="F834" s="49"/>
      <c r="G834" s="49"/>
      <c r="H834" s="49"/>
      <c r="I834" s="49"/>
      <c r="J834" s="49"/>
      <c r="K834" s="24"/>
      <c r="L834" s="24"/>
      <c r="M834" s="103"/>
    </row>
    <row r="835" spans="1:13" ht="22.5" customHeight="1">
      <c r="A835" s="50"/>
      <c r="B835" s="17"/>
      <c r="C835" s="102"/>
      <c r="D835" s="48"/>
      <c r="E835" s="49"/>
      <c r="F835" s="49"/>
      <c r="G835" s="49"/>
      <c r="H835" s="49"/>
      <c r="I835" s="49"/>
      <c r="J835" s="49"/>
      <c r="K835" s="24"/>
      <c r="L835" s="24"/>
      <c r="M835" s="103"/>
    </row>
    <row r="836" spans="1:13" ht="22.5" customHeight="1">
      <c r="A836" s="50"/>
      <c r="B836" s="17"/>
      <c r="C836" s="102"/>
      <c r="D836" s="48"/>
      <c r="E836" s="49"/>
      <c r="F836" s="49"/>
      <c r="G836" s="49"/>
      <c r="H836" s="49"/>
      <c r="I836" s="49"/>
      <c r="J836" s="49"/>
      <c r="K836" s="24"/>
      <c r="L836" s="24"/>
      <c r="M836" s="103"/>
    </row>
    <row r="837" spans="1:13" ht="22.5" customHeight="1">
      <c r="A837" s="50"/>
      <c r="B837" s="17"/>
      <c r="C837" s="102"/>
      <c r="D837" s="48"/>
      <c r="E837" s="49"/>
      <c r="F837" s="49"/>
      <c r="G837" s="49"/>
      <c r="H837" s="49"/>
      <c r="I837" s="49"/>
      <c r="J837" s="49"/>
      <c r="K837" s="24"/>
      <c r="L837" s="24"/>
      <c r="M837" s="103"/>
    </row>
    <row r="838" spans="1:13" ht="22.5" customHeight="1">
      <c r="A838" s="50"/>
      <c r="B838" s="17"/>
      <c r="C838" s="102"/>
      <c r="D838" s="48"/>
      <c r="E838" s="49"/>
      <c r="F838" s="49"/>
      <c r="G838" s="49"/>
      <c r="H838" s="49"/>
      <c r="I838" s="49"/>
      <c r="J838" s="49"/>
      <c r="K838" s="24"/>
      <c r="L838" s="24"/>
      <c r="M838" s="103"/>
    </row>
    <row r="839" spans="1:13" ht="22.5" customHeight="1">
      <c r="A839" s="50"/>
      <c r="B839" s="17"/>
      <c r="C839" s="102"/>
      <c r="D839" s="48"/>
      <c r="E839" s="49"/>
      <c r="F839" s="49"/>
      <c r="G839" s="49"/>
      <c r="H839" s="49"/>
      <c r="I839" s="49"/>
      <c r="J839" s="49"/>
      <c r="K839" s="24"/>
      <c r="L839" s="24"/>
      <c r="M839" s="103"/>
    </row>
    <row r="840" spans="1:13" ht="22.5" customHeight="1">
      <c r="A840" s="50"/>
      <c r="B840" s="17"/>
      <c r="C840" s="102"/>
      <c r="D840" s="48"/>
      <c r="E840" s="49"/>
      <c r="F840" s="49"/>
      <c r="G840" s="49"/>
      <c r="H840" s="49"/>
      <c r="I840" s="49"/>
      <c r="J840" s="49"/>
      <c r="K840" s="24"/>
      <c r="L840" s="24"/>
      <c r="M840" s="103"/>
    </row>
    <row r="841" spans="1:13" ht="22.5" customHeight="1">
      <c r="A841" s="50"/>
      <c r="B841" s="17"/>
      <c r="C841" s="102"/>
      <c r="D841" s="48"/>
      <c r="E841" s="49"/>
      <c r="F841" s="49"/>
      <c r="G841" s="49"/>
      <c r="H841" s="49"/>
      <c r="I841" s="49"/>
      <c r="J841" s="49"/>
      <c r="K841" s="24"/>
      <c r="L841" s="24"/>
      <c r="M841" s="103"/>
    </row>
    <row r="842" spans="1:13" ht="22.5" customHeight="1">
      <c r="A842" s="50"/>
      <c r="B842" s="17"/>
      <c r="C842" s="102"/>
      <c r="D842" s="48"/>
      <c r="E842" s="49"/>
      <c r="F842" s="49"/>
      <c r="G842" s="49"/>
      <c r="H842" s="49"/>
      <c r="I842" s="49"/>
      <c r="J842" s="49"/>
      <c r="K842" s="24"/>
      <c r="L842" s="24"/>
      <c r="M842" s="103"/>
    </row>
    <row r="843" spans="1:13" ht="22.5" customHeight="1">
      <c r="A843" s="50"/>
      <c r="B843" s="17"/>
      <c r="C843" s="102"/>
      <c r="D843" s="48"/>
      <c r="E843" s="49"/>
      <c r="F843" s="49"/>
      <c r="G843" s="49"/>
      <c r="H843" s="49"/>
      <c r="I843" s="49"/>
      <c r="J843" s="49"/>
      <c r="K843" s="24"/>
      <c r="L843" s="24"/>
      <c r="M843" s="103"/>
    </row>
    <row r="844" spans="1:13" ht="22.5" customHeight="1">
      <c r="A844" s="50"/>
      <c r="B844" s="17"/>
      <c r="C844" s="102"/>
      <c r="D844" s="48"/>
      <c r="E844" s="49"/>
      <c r="F844" s="49"/>
      <c r="G844" s="49"/>
      <c r="H844" s="49"/>
      <c r="I844" s="49"/>
      <c r="J844" s="49"/>
      <c r="K844" s="24"/>
      <c r="L844" s="24"/>
      <c r="M844" s="103"/>
    </row>
    <row r="845" spans="1:13" ht="22.5" customHeight="1">
      <c r="A845" s="50"/>
      <c r="B845" s="17"/>
      <c r="C845" s="102"/>
      <c r="D845" s="48"/>
      <c r="E845" s="49"/>
      <c r="F845" s="49"/>
      <c r="G845" s="49"/>
      <c r="H845" s="49"/>
      <c r="I845" s="49"/>
      <c r="J845" s="49"/>
      <c r="K845" s="24"/>
      <c r="L845" s="24"/>
      <c r="M845" s="103"/>
    </row>
    <row r="846" spans="1:13" ht="22.5" customHeight="1">
      <c r="A846" s="50"/>
      <c r="B846" s="17"/>
      <c r="C846" s="102"/>
      <c r="D846" s="48"/>
      <c r="E846" s="49"/>
      <c r="F846" s="49"/>
      <c r="G846" s="49"/>
      <c r="H846" s="49"/>
      <c r="I846" s="49"/>
      <c r="J846" s="49"/>
      <c r="K846" s="24"/>
      <c r="L846" s="24"/>
      <c r="M846" s="103"/>
    </row>
    <row r="847" spans="1:13" ht="22.5" customHeight="1">
      <c r="A847" s="50"/>
      <c r="B847" s="17"/>
      <c r="C847" s="102"/>
      <c r="D847" s="48"/>
      <c r="E847" s="49"/>
      <c r="F847" s="49"/>
      <c r="G847" s="49"/>
      <c r="H847" s="49"/>
      <c r="I847" s="49"/>
      <c r="J847" s="49"/>
      <c r="K847" s="24"/>
      <c r="L847" s="24"/>
      <c r="M847" s="103"/>
    </row>
    <row r="848" spans="1:13" ht="22.5" customHeight="1">
      <c r="A848" s="50"/>
      <c r="B848" s="17"/>
      <c r="C848" s="102"/>
      <c r="D848" s="48"/>
      <c r="E848" s="49"/>
      <c r="F848" s="49"/>
      <c r="G848" s="49"/>
      <c r="H848" s="49"/>
      <c r="I848" s="49"/>
      <c r="J848" s="49"/>
      <c r="K848" s="24"/>
      <c r="L848" s="24"/>
      <c r="M848" s="103"/>
    </row>
    <row r="849" spans="1:13" ht="22.5" customHeight="1">
      <c r="A849" s="50"/>
      <c r="B849" s="17"/>
      <c r="C849" s="102"/>
      <c r="D849" s="48"/>
      <c r="E849" s="49"/>
      <c r="F849" s="49"/>
      <c r="G849" s="49"/>
      <c r="H849" s="49"/>
      <c r="I849" s="49"/>
      <c r="J849" s="49"/>
      <c r="K849" s="24"/>
      <c r="L849" s="24"/>
      <c r="M849" s="103"/>
    </row>
    <row r="850" spans="1:13" ht="22.5" customHeight="1">
      <c r="A850" s="50"/>
      <c r="B850" s="17"/>
      <c r="C850" s="102"/>
      <c r="D850" s="48"/>
      <c r="E850" s="49"/>
      <c r="F850" s="49"/>
      <c r="G850" s="49"/>
      <c r="H850" s="49"/>
      <c r="I850" s="49"/>
      <c r="J850" s="49"/>
      <c r="K850" s="24"/>
      <c r="L850" s="24"/>
      <c r="M850" s="103"/>
    </row>
    <row r="851" spans="1:13" ht="22.5" customHeight="1">
      <c r="A851" s="50"/>
      <c r="B851" s="17"/>
      <c r="C851" s="102"/>
      <c r="D851" s="48"/>
      <c r="E851" s="49"/>
      <c r="F851" s="49"/>
      <c r="G851" s="49"/>
      <c r="H851" s="49"/>
      <c r="I851" s="49"/>
      <c r="J851" s="49"/>
      <c r="K851" s="24"/>
      <c r="L851" s="24"/>
      <c r="M851" s="103"/>
    </row>
    <row r="852" spans="1:13" ht="22.5" customHeight="1">
      <c r="A852" s="50"/>
      <c r="B852" s="17"/>
      <c r="C852" s="102"/>
      <c r="D852" s="48"/>
      <c r="E852" s="49"/>
      <c r="F852" s="49"/>
      <c r="G852" s="49"/>
      <c r="H852" s="49"/>
      <c r="I852" s="49"/>
      <c r="J852" s="49"/>
      <c r="K852" s="24"/>
      <c r="L852" s="24"/>
      <c r="M852" s="103"/>
    </row>
    <row r="853" spans="1:13" ht="22.5" customHeight="1">
      <c r="A853" s="50"/>
      <c r="B853" s="17"/>
      <c r="C853" s="102"/>
      <c r="D853" s="48"/>
      <c r="E853" s="49"/>
      <c r="F853" s="49"/>
      <c r="G853" s="49"/>
      <c r="H853" s="49"/>
      <c r="I853" s="49"/>
      <c r="J853" s="49"/>
      <c r="K853" s="24"/>
      <c r="L853" s="24"/>
      <c r="M853" s="103"/>
    </row>
    <row r="854" spans="1:13" ht="22.5" customHeight="1">
      <c r="A854" s="50"/>
      <c r="B854" s="17"/>
      <c r="C854" s="102"/>
      <c r="D854" s="48"/>
      <c r="E854" s="49"/>
      <c r="F854" s="49"/>
      <c r="G854" s="49"/>
      <c r="H854" s="49"/>
      <c r="I854" s="49"/>
      <c r="J854" s="49"/>
      <c r="K854" s="24"/>
      <c r="L854" s="24"/>
      <c r="M854" s="103"/>
    </row>
    <row r="855" spans="1:13" ht="22.5" customHeight="1">
      <c r="A855" s="50"/>
      <c r="B855" s="17"/>
      <c r="C855" s="102"/>
      <c r="D855" s="48"/>
      <c r="E855" s="49"/>
      <c r="F855" s="49"/>
      <c r="G855" s="49"/>
      <c r="H855" s="49"/>
      <c r="I855" s="49"/>
      <c r="J855" s="49"/>
      <c r="K855" s="24"/>
      <c r="L855" s="24"/>
      <c r="M855" s="103"/>
    </row>
    <row r="856" spans="1:13" ht="22.5" customHeight="1">
      <c r="A856" s="50"/>
      <c r="B856" s="17"/>
      <c r="C856" s="102"/>
      <c r="D856" s="48"/>
      <c r="E856" s="49"/>
      <c r="F856" s="49"/>
      <c r="G856" s="49"/>
      <c r="H856" s="49"/>
      <c r="I856" s="49"/>
      <c r="J856" s="49"/>
      <c r="K856" s="24"/>
      <c r="L856" s="24"/>
      <c r="M856" s="103"/>
    </row>
    <row r="857" spans="1:13" ht="22.5" customHeight="1">
      <c r="A857" s="50"/>
      <c r="B857" s="17"/>
      <c r="C857" s="102"/>
      <c r="D857" s="48"/>
      <c r="E857" s="49"/>
      <c r="F857" s="49"/>
      <c r="G857" s="49"/>
      <c r="H857" s="49"/>
      <c r="I857" s="49"/>
      <c r="J857" s="49"/>
      <c r="K857" s="24"/>
      <c r="L857" s="24"/>
      <c r="M857" s="103"/>
    </row>
    <row r="858" spans="1:13" ht="22.5" customHeight="1">
      <c r="A858" s="50"/>
      <c r="B858" s="17"/>
      <c r="C858" s="102"/>
      <c r="D858" s="48"/>
      <c r="E858" s="49"/>
      <c r="F858" s="49"/>
      <c r="G858" s="49"/>
      <c r="H858" s="49"/>
      <c r="I858" s="49"/>
      <c r="J858" s="49"/>
      <c r="K858" s="24"/>
      <c r="L858" s="24"/>
      <c r="M858" s="103"/>
    </row>
    <row r="859" spans="1:13" ht="22.5" customHeight="1">
      <c r="A859" s="50"/>
      <c r="B859" s="17"/>
      <c r="C859" s="102"/>
      <c r="D859" s="48"/>
      <c r="E859" s="49"/>
      <c r="F859" s="49"/>
      <c r="G859" s="49"/>
      <c r="H859" s="49"/>
      <c r="I859" s="49"/>
      <c r="J859" s="49"/>
      <c r="K859" s="24"/>
      <c r="L859" s="24"/>
      <c r="M859" s="103"/>
    </row>
    <row r="860" spans="1:13" ht="22.5" customHeight="1">
      <c r="A860" s="50"/>
      <c r="B860" s="17"/>
      <c r="C860" s="102"/>
      <c r="D860" s="48"/>
      <c r="E860" s="49"/>
      <c r="F860" s="49"/>
      <c r="G860" s="49"/>
      <c r="H860" s="49"/>
      <c r="I860" s="49"/>
      <c r="J860" s="49"/>
      <c r="K860" s="24"/>
      <c r="L860" s="24"/>
      <c r="M860" s="103"/>
    </row>
    <row r="861" spans="1:13" ht="22.5" customHeight="1">
      <c r="A861" s="50"/>
      <c r="B861" s="17"/>
      <c r="C861" s="102"/>
      <c r="D861" s="48"/>
      <c r="E861" s="49"/>
      <c r="F861" s="49"/>
      <c r="G861" s="49"/>
      <c r="H861" s="49"/>
      <c r="I861" s="49"/>
      <c r="J861" s="49"/>
      <c r="K861" s="24"/>
      <c r="L861" s="24"/>
      <c r="M861" s="103"/>
    </row>
    <row r="862" spans="1:13" ht="22.5" customHeight="1">
      <c r="A862" s="50"/>
      <c r="B862" s="17"/>
      <c r="C862" s="102"/>
      <c r="D862" s="48"/>
      <c r="E862" s="49"/>
      <c r="F862" s="49"/>
      <c r="G862" s="49"/>
      <c r="H862" s="49"/>
      <c r="I862" s="49"/>
      <c r="J862" s="49"/>
      <c r="K862" s="24"/>
      <c r="L862" s="24"/>
      <c r="M862" s="103"/>
    </row>
    <row r="863" spans="1:13" ht="22.5" customHeight="1">
      <c r="A863" s="50"/>
      <c r="B863" s="17"/>
      <c r="C863" s="102"/>
      <c r="D863" s="48"/>
      <c r="E863" s="49"/>
      <c r="F863" s="49"/>
      <c r="G863" s="49"/>
      <c r="H863" s="49"/>
      <c r="I863" s="49"/>
      <c r="J863" s="49"/>
      <c r="K863" s="24"/>
      <c r="L863" s="24"/>
      <c r="M863" s="103"/>
    </row>
    <row r="864" spans="1:13" ht="22.5" customHeight="1">
      <c r="A864" s="50"/>
      <c r="B864" s="17"/>
      <c r="C864" s="102"/>
      <c r="D864" s="48"/>
      <c r="E864" s="49"/>
      <c r="F864" s="49"/>
      <c r="G864" s="49"/>
      <c r="H864" s="49"/>
      <c r="I864" s="49"/>
      <c r="J864" s="49"/>
      <c r="K864" s="24"/>
      <c r="L864" s="24"/>
      <c r="M864" s="103"/>
    </row>
    <row r="865" spans="1:13" ht="22.5" customHeight="1">
      <c r="A865" s="50"/>
      <c r="B865" s="17"/>
      <c r="C865" s="102"/>
      <c r="D865" s="48"/>
      <c r="E865" s="49"/>
      <c r="F865" s="49"/>
      <c r="G865" s="49"/>
      <c r="H865" s="49"/>
      <c r="I865" s="49"/>
      <c r="J865" s="49"/>
      <c r="K865" s="24"/>
      <c r="L865" s="24"/>
      <c r="M865" s="103"/>
    </row>
    <row r="866" spans="1:13" ht="22.5" customHeight="1">
      <c r="A866" s="50"/>
      <c r="B866" s="17"/>
      <c r="C866" s="102"/>
      <c r="D866" s="48"/>
      <c r="E866" s="49"/>
      <c r="F866" s="49"/>
      <c r="G866" s="49"/>
      <c r="H866" s="49"/>
      <c r="I866" s="49"/>
      <c r="J866" s="49"/>
      <c r="K866" s="24"/>
      <c r="L866" s="24"/>
      <c r="M866" s="103"/>
    </row>
    <row r="867" spans="1:13" ht="22.5" customHeight="1">
      <c r="A867" s="50"/>
      <c r="B867" s="17"/>
      <c r="C867" s="102"/>
      <c r="D867" s="48"/>
      <c r="E867" s="49"/>
      <c r="F867" s="49"/>
      <c r="G867" s="49"/>
      <c r="H867" s="49"/>
      <c r="I867" s="49"/>
      <c r="J867" s="49"/>
      <c r="K867" s="24"/>
      <c r="L867" s="24"/>
      <c r="M867" s="103"/>
    </row>
    <row r="868" spans="1:13" ht="22.5" customHeight="1">
      <c r="A868" s="50"/>
      <c r="B868" s="17"/>
      <c r="C868" s="102"/>
      <c r="D868" s="48"/>
      <c r="E868" s="49"/>
      <c r="F868" s="49"/>
      <c r="G868" s="49"/>
      <c r="H868" s="49"/>
      <c r="I868" s="49"/>
      <c r="J868" s="49"/>
      <c r="K868" s="24"/>
      <c r="L868" s="24"/>
      <c r="M868" s="103"/>
    </row>
    <row r="869" spans="1:13" ht="22.5" customHeight="1">
      <c r="A869" s="50"/>
      <c r="B869" s="17"/>
      <c r="C869" s="102"/>
      <c r="D869" s="48"/>
      <c r="E869" s="49"/>
      <c r="F869" s="49"/>
      <c r="G869" s="49"/>
      <c r="H869" s="49"/>
      <c r="I869" s="49"/>
      <c r="J869" s="49"/>
      <c r="K869" s="24"/>
      <c r="L869" s="24"/>
      <c r="M869" s="103"/>
    </row>
    <row r="870" spans="1:13" ht="22.5" customHeight="1">
      <c r="A870" s="50"/>
      <c r="B870" s="17"/>
      <c r="C870" s="102"/>
      <c r="D870" s="48"/>
      <c r="E870" s="49"/>
      <c r="F870" s="49"/>
      <c r="G870" s="49"/>
      <c r="H870" s="49"/>
      <c r="I870" s="49"/>
      <c r="J870" s="49"/>
      <c r="K870" s="24"/>
      <c r="L870" s="24"/>
      <c r="M870" s="103"/>
    </row>
    <row r="871" spans="1:13" ht="22.5" customHeight="1">
      <c r="A871" s="50"/>
      <c r="B871" s="17"/>
      <c r="C871" s="102"/>
      <c r="D871" s="48"/>
      <c r="E871" s="49"/>
      <c r="F871" s="49"/>
      <c r="G871" s="49"/>
      <c r="H871" s="49"/>
      <c r="I871" s="49"/>
      <c r="J871" s="49"/>
      <c r="K871" s="24"/>
      <c r="L871" s="24"/>
      <c r="M871" s="103"/>
    </row>
    <row r="872" spans="1:13" ht="22.5" customHeight="1">
      <c r="A872" s="50"/>
      <c r="B872" s="17"/>
      <c r="C872" s="102"/>
      <c r="D872" s="48"/>
      <c r="E872" s="49"/>
      <c r="F872" s="49"/>
      <c r="G872" s="49"/>
      <c r="H872" s="49"/>
      <c r="I872" s="49"/>
      <c r="J872" s="49"/>
      <c r="K872" s="24"/>
      <c r="L872" s="24"/>
      <c r="M872" s="103"/>
    </row>
    <row r="873" spans="1:13" ht="22.5" customHeight="1">
      <c r="A873" s="50"/>
      <c r="B873" s="17"/>
      <c r="C873" s="102"/>
      <c r="D873" s="48"/>
      <c r="E873" s="49"/>
      <c r="F873" s="49"/>
      <c r="G873" s="49"/>
      <c r="H873" s="49"/>
      <c r="I873" s="49"/>
      <c r="J873" s="49"/>
      <c r="K873" s="24"/>
      <c r="L873" s="24"/>
      <c r="M873" s="103"/>
    </row>
    <row r="874" spans="1:13" ht="22.5" customHeight="1">
      <c r="A874" s="50"/>
      <c r="B874" s="17"/>
      <c r="C874" s="102"/>
      <c r="D874" s="48"/>
      <c r="E874" s="49"/>
      <c r="F874" s="49"/>
      <c r="G874" s="49"/>
      <c r="H874" s="49"/>
      <c r="I874" s="49"/>
      <c r="J874" s="49"/>
      <c r="K874" s="24"/>
      <c r="L874" s="24"/>
      <c r="M874" s="103"/>
    </row>
    <row r="875" spans="1:13" ht="22.5" customHeight="1">
      <c r="A875" s="50"/>
      <c r="B875" s="17"/>
      <c r="C875" s="102"/>
      <c r="D875" s="48"/>
      <c r="E875" s="49"/>
      <c r="F875" s="49"/>
      <c r="G875" s="49"/>
      <c r="H875" s="49"/>
      <c r="I875" s="49"/>
      <c r="J875" s="49"/>
      <c r="K875" s="24"/>
      <c r="L875" s="24"/>
      <c r="M875" s="103"/>
    </row>
    <row r="876" spans="1:13" ht="22.5" customHeight="1">
      <c r="A876" s="50"/>
      <c r="B876" s="17"/>
      <c r="C876" s="102"/>
      <c r="D876" s="48"/>
      <c r="E876" s="49"/>
      <c r="F876" s="49"/>
      <c r="G876" s="49"/>
      <c r="H876" s="49"/>
      <c r="I876" s="49"/>
      <c r="J876" s="49"/>
      <c r="K876" s="24"/>
      <c r="L876" s="24"/>
      <c r="M876" s="103"/>
    </row>
    <row r="877" spans="1:13" ht="22.5" customHeight="1">
      <c r="A877" s="50"/>
      <c r="B877" s="17"/>
      <c r="C877" s="102"/>
      <c r="D877" s="48"/>
      <c r="E877" s="49"/>
      <c r="F877" s="49"/>
      <c r="G877" s="49"/>
      <c r="H877" s="49"/>
      <c r="I877" s="49"/>
      <c r="J877" s="49"/>
      <c r="K877" s="24"/>
      <c r="L877" s="24"/>
      <c r="M877" s="103"/>
    </row>
    <row r="878" spans="1:13" ht="22.5" customHeight="1">
      <c r="A878" s="50"/>
      <c r="B878" s="17"/>
      <c r="C878" s="102"/>
      <c r="D878" s="48"/>
      <c r="E878" s="49"/>
      <c r="F878" s="49"/>
      <c r="G878" s="49"/>
      <c r="H878" s="49"/>
      <c r="I878" s="49"/>
      <c r="J878" s="49"/>
      <c r="K878" s="24"/>
      <c r="L878" s="24"/>
      <c r="M878" s="103"/>
    </row>
    <row r="879" spans="1:13" ht="22.5" customHeight="1">
      <c r="A879" s="50"/>
      <c r="B879" s="17"/>
      <c r="C879" s="102"/>
      <c r="D879" s="48"/>
      <c r="E879" s="49"/>
      <c r="F879" s="49"/>
      <c r="G879" s="49"/>
      <c r="H879" s="49"/>
      <c r="I879" s="49"/>
      <c r="J879" s="49"/>
      <c r="K879" s="24"/>
      <c r="L879" s="24"/>
      <c r="M879" s="103"/>
    </row>
    <row r="880" spans="1:13" ht="22.5" customHeight="1">
      <c r="A880" s="50"/>
      <c r="B880" s="17"/>
      <c r="C880" s="102"/>
      <c r="D880" s="48"/>
      <c r="E880" s="49"/>
      <c r="F880" s="49"/>
      <c r="G880" s="49"/>
      <c r="H880" s="49"/>
      <c r="I880" s="49"/>
      <c r="J880" s="49"/>
      <c r="K880" s="24"/>
      <c r="L880" s="24"/>
      <c r="M880" s="103"/>
    </row>
    <row r="881" spans="1:13" ht="22.5" customHeight="1">
      <c r="A881" s="50"/>
      <c r="B881" s="17"/>
      <c r="C881" s="102"/>
      <c r="D881" s="48"/>
      <c r="E881" s="49"/>
      <c r="F881" s="49"/>
      <c r="G881" s="49"/>
      <c r="H881" s="49"/>
      <c r="I881" s="49"/>
      <c r="J881" s="49"/>
      <c r="K881" s="24"/>
      <c r="L881" s="24"/>
      <c r="M881" s="103"/>
    </row>
    <row r="882" spans="1:13" ht="22.5" customHeight="1">
      <c r="A882" s="50"/>
      <c r="B882" s="17"/>
      <c r="C882" s="102"/>
      <c r="D882" s="48"/>
      <c r="E882" s="49"/>
      <c r="F882" s="49"/>
      <c r="G882" s="49"/>
      <c r="H882" s="49"/>
      <c r="I882" s="49"/>
      <c r="J882" s="49"/>
      <c r="K882" s="24"/>
      <c r="L882" s="24"/>
      <c r="M882" s="103"/>
    </row>
    <row r="883" spans="1:13" ht="22.5" customHeight="1">
      <c r="A883" s="50"/>
      <c r="B883" s="17"/>
      <c r="C883" s="102"/>
      <c r="D883" s="48"/>
      <c r="E883" s="49"/>
      <c r="F883" s="49"/>
      <c r="G883" s="49"/>
      <c r="H883" s="49"/>
      <c r="I883" s="49"/>
      <c r="J883" s="49"/>
      <c r="K883" s="24"/>
      <c r="L883" s="24"/>
      <c r="M883" s="103"/>
    </row>
    <row r="884" spans="1:13" ht="22.5" customHeight="1">
      <c r="A884" s="50"/>
      <c r="B884" s="17"/>
      <c r="C884" s="102"/>
      <c r="D884" s="48"/>
      <c r="E884" s="49"/>
      <c r="F884" s="49"/>
      <c r="G884" s="49"/>
      <c r="H884" s="49"/>
      <c r="I884" s="49"/>
      <c r="J884" s="49"/>
      <c r="K884" s="24"/>
      <c r="L884" s="24"/>
      <c r="M884" s="103"/>
    </row>
    <row r="885" spans="1:13" ht="22.5" customHeight="1">
      <c r="A885" s="50"/>
      <c r="B885" s="17"/>
      <c r="C885" s="102"/>
      <c r="D885" s="48"/>
      <c r="E885" s="49"/>
      <c r="F885" s="49"/>
      <c r="G885" s="49"/>
      <c r="H885" s="49"/>
      <c r="I885" s="49"/>
      <c r="J885" s="49"/>
      <c r="K885" s="24"/>
      <c r="L885" s="24"/>
      <c r="M885" s="103"/>
    </row>
    <row r="886" spans="1:13" ht="22.5" customHeight="1">
      <c r="A886" s="50"/>
      <c r="B886" s="17"/>
      <c r="C886" s="102"/>
      <c r="D886" s="48"/>
      <c r="E886" s="49"/>
      <c r="F886" s="49"/>
      <c r="G886" s="49"/>
      <c r="H886" s="49"/>
      <c r="I886" s="49"/>
      <c r="J886" s="49"/>
      <c r="K886" s="24"/>
      <c r="L886" s="24"/>
      <c r="M886" s="103"/>
    </row>
    <row r="887" spans="1:13" ht="22.5" customHeight="1">
      <c r="A887" s="50"/>
      <c r="B887" s="17"/>
      <c r="C887" s="102"/>
      <c r="D887" s="48"/>
      <c r="E887" s="49"/>
      <c r="F887" s="49"/>
      <c r="G887" s="49"/>
      <c r="H887" s="49"/>
      <c r="I887" s="49"/>
      <c r="J887" s="49"/>
      <c r="K887" s="24"/>
      <c r="L887" s="24"/>
      <c r="M887" s="103"/>
    </row>
    <row r="888" spans="1:13" ht="22.5" customHeight="1">
      <c r="A888" s="50"/>
      <c r="B888" s="17"/>
      <c r="C888" s="102"/>
      <c r="D888" s="48"/>
      <c r="E888" s="49"/>
      <c r="F888" s="49"/>
      <c r="G888" s="49"/>
      <c r="H888" s="49"/>
      <c r="I888" s="49"/>
      <c r="J888" s="49"/>
      <c r="K888" s="24"/>
      <c r="L888" s="24"/>
      <c r="M888" s="103"/>
    </row>
    <row r="889" spans="1:13" ht="22.5" customHeight="1">
      <c r="A889" s="50"/>
      <c r="B889" s="17"/>
      <c r="C889" s="102"/>
      <c r="D889" s="48"/>
      <c r="E889" s="49"/>
      <c r="F889" s="49"/>
      <c r="G889" s="49"/>
      <c r="H889" s="49"/>
      <c r="I889" s="49"/>
      <c r="J889" s="49"/>
      <c r="K889" s="24"/>
      <c r="L889" s="24"/>
      <c r="M889" s="103"/>
    </row>
    <row r="890" spans="1:13" ht="22.5" customHeight="1">
      <c r="A890" s="50"/>
      <c r="B890" s="17"/>
      <c r="C890" s="102"/>
      <c r="D890" s="48"/>
      <c r="E890" s="49"/>
      <c r="F890" s="49"/>
      <c r="G890" s="49"/>
      <c r="H890" s="49"/>
      <c r="I890" s="49"/>
      <c r="J890" s="49"/>
      <c r="K890" s="24"/>
      <c r="L890" s="24"/>
      <c r="M890" s="103"/>
    </row>
    <row r="891" spans="1:13" ht="22.5" customHeight="1">
      <c r="A891" s="50"/>
      <c r="B891" s="17"/>
      <c r="C891" s="102"/>
      <c r="D891" s="48"/>
      <c r="E891" s="49"/>
      <c r="F891" s="49"/>
      <c r="G891" s="49"/>
      <c r="H891" s="49"/>
      <c r="I891" s="49"/>
      <c r="J891" s="49"/>
      <c r="K891" s="24"/>
      <c r="L891" s="24"/>
      <c r="M891" s="103"/>
    </row>
    <row r="892" spans="1:13" ht="22.5" customHeight="1">
      <c r="A892" s="50"/>
      <c r="B892" s="17"/>
      <c r="C892" s="102"/>
      <c r="D892" s="48"/>
      <c r="E892" s="49"/>
      <c r="F892" s="49"/>
      <c r="G892" s="49"/>
      <c r="H892" s="49"/>
      <c r="I892" s="49"/>
      <c r="J892" s="49"/>
      <c r="K892" s="24"/>
      <c r="L892" s="24"/>
      <c r="M892" s="103"/>
    </row>
    <row r="893" spans="1:13" ht="22.5" customHeight="1">
      <c r="A893" s="50"/>
      <c r="B893" s="17"/>
      <c r="C893" s="102"/>
      <c r="D893" s="48"/>
      <c r="E893" s="49"/>
      <c r="F893" s="49"/>
      <c r="G893" s="49"/>
      <c r="H893" s="49"/>
      <c r="I893" s="49"/>
      <c r="J893" s="49"/>
      <c r="K893" s="24"/>
      <c r="L893" s="24"/>
      <c r="M893" s="103"/>
    </row>
    <row r="894" spans="1:13" ht="22.5" customHeight="1">
      <c r="A894" s="50"/>
      <c r="B894" s="17"/>
      <c r="C894" s="102"/>
      <c r="D894" s="48"/>
      <c r="E894" s="49"/>
      <c r="F894" s="49"/>
      <c r="G894" s="49"/>
      <c r="H894" s="49"/>
      <c r="I894" s="49"/>
      <c r="J894" s="49"/>
      <c r="K894" s="24"/>
      <c r="L894" s="24"/>
      <c r="M894" s="103"/>
    </row>
    <row r="895" spans="1:13" ht="22.5" customHeight="1">
      <c r="A895" s="50"/>
      <c r="B895" s="17"/>
      <c r="C895" s="102"/>
      <c r="D895" s="48"/>
      <c r="E895" s="49"/>
      <c r="F895" s="49"/>
      <c r="G895" s="49"/>
      <c r="H895" s="49"/>
      <c r="I895" s="49"/>
      <c r="J895" s="49"/>
      <c r="K895" s="24"/>
      <c r="L895" s="24"/>
      <c r="M895" s="103"/>
    </row>
    <row r="896" spans="1:13" ht="22.5" customHeight="1">
      <c r="A896" s="50"/>
      <c r="B896" s="17"/>
      <c r="C896" s="102"/>
      <c r="D896" s="48"/>
      <c r="E896" s="49"/>
      <c r="F896" s="49"/>
      <c r="G896" s="49"/>
      <c r="H896" s="49"/>
      <c r="I896" s="49"/>
      <c r="J896" s="49"/>
      <c r="K896" s="24"/>
      <c r="L896" s="24"/>
      <c r="M896" s="103"/>
    </row>
    <row r="897" spans="1:13" ht="22.5" customHeight="1">
      <c r="A897" s="50"/>
      <c r="B897" s="17"/>
      <c r="C897" s="102"/>
      <c r="D897" s="48"/>
      <c r="E897" s="49"/>
      <c r="F897" s="49"/>
      <c r="G897" s="49"/>
      <c r="H897" s="49"/>
      <c r="I897" s="49"/>
      <c r="J897" s="49"/>
      <c r="K897" s="24"/>
      <c r="L897" s="24"/>
      <c r="M897" s="103"/>
    </row>
    <row r="898" spans="1:13" ht="22.5" customHeight="1">
      <c r="A898" s="50"/>
      <c r="B898" s="17"/>
      <c r="C898" s="102"/>
      <c r="D898" s="48"/>
      <c r="E898" s="49"/>
      <c r="F898" s="49"/>
      <c r="G898" s="49"/>
      <c r="H898" s="49"/>
      <c r="I898" s="49"/>
      <c r="J898" s="49"/>
      <c r="K898" s="24"/>
      <c r="L898" s="24"/>
      <c r="M898" s="103"/>
    </row>
    <row r="899" spans="1:13" ht="22.5" customHeight="1">
      <c r="A899" s="50"/>
      <c r="B899" s="17"/>
      <c r="C899" s="102"/>
      <c r="D899" s="48"/>
      <c r="E899" s="49"/>
      <c r="F899" s="49"/>
      <c r="G899" s="49"/>
      <c r="H899" s="49"/>
      <c r="I899" s="49"/>
      <c r="J899" s="49"/>
      <c r="K899" s="24"/>
      <c r="L899" s="24"/>
      <c r="M899" s="103"/>
    </row>
    <row r="900" spans="1:13" ht="22.5" customHeight="1">
      <c r="A900" s="50"/>
      <c r="B900" s="17"/>
      <c r="C900" s="102"/>
      <c r="D900" s="48"/>
      <c r="E900" s="49"/>
      <c r="F900" s="49"/>
      <c r="G900" s="49"/>
      <c r="H900" s="49"/>
      <c r="I900" s="49"/>
      <c r="J900" s="49"/>
      <c r="K900" s="24"/>
      <c r="L900" s="24"/>
      <c r="M900" s="103"/>
    </row>
    <row r="901" spans="1:13" ht="22.5" customHeight="1">
      <c r="A901" s="50"/>
      <c r="B901" s="17"/>
      <c r="C901" s="102"/>
      <c r="D901" s="48"/>
      <c r="E901" s="49"/>
      <c r="F901" s="49"/>
      <c r="G901" s="49"/>
      <c r="H901" s="49"/>
      <c r="I901" s="49"/>
      <c r="J901" s="49"/>
      <c r="K901" s="24"/>
      <c r="L901" s="24"/>
      <c r="M901" s="103"/>
    </row>
    <row r="902" spans="1:13" ht="22.5" customHeight="1">
      <c r="A902" s="50"/>
      <c r="B902" s="17"/>
      <c r="C902" s="102"/>
      <c r="D902" s="48"/>
      <c r="E902" s="49"/>
      <c r="F902" s="49"/>
      <c r="G902" s="49"/>
      <c r="H902" s="49"/>
      <c r="I902" s="49"/>
      <c r="J902" s="49"/>
      <c r="K902" s="24"/>
      <c r="L902" s="24"/>
      <c r="M902" s="103"/>
    </row>
    <row r="903" spans="1:13" ht="22.5" customHeight="1">
      <c r="A903" s="50"/>
      <c r="B903" s="17"/>
      <c r="C903" s="102"/>
      <c r="D903" s="48"/>
      <c r="E903" s="49"/>
      <c r="F903" s="49"/>
      <c r="G903" s="49"/>
      <c r="H903" s="49"/>
      <c r="I903" s="49"/>
      <c r="J903" s="49"/>
      <c r="K903" s="24"/>
      <c r="L903" s="24"/>
      <c r="M903" s="103"/>
    </row>
    <row r="904" spans="1:13" ht="22.5" customHeight="1">
      <c r="A904" s="50"/>
      <c r="B904" s="17"/>
      <c r="C904" s="102"/>
      <c r="D904" s="48"/>
      <c r="E904" s="49"/>
      <c r="F904" s="49"/>
      <c r="G904" s="49"/>
      <c r="H904" s="49"/>
      <c r="I904" s="49"/>
      <c r="J904" s="49"/>
      <c r="K904" s="24"/>
      <c r="L904" s="24"/>
      <c r="M904" s="103"/>
    </row>
    <row r="905" spans="1:13" ht="22.5" customHeight="1">
      <c r="A905" s="50"/>
      <c r="B905" s="17"/>
      <c r="C905" s="102"/>
      <c r="D905" s="48"/>
      <c r="E905" s="49"/>
      <c r="F905" s="49"/>
      <c r="G905" s="49"/>
      <c r="H905" s="49"/>
      <c r="I905" s="49"/>
      <c r="J905" s="49"/>
      <c r="K905" s="24"/>
      <c r="L905" s="24"/>
      <c r="M905" s="103"/>
    </row>
    <row r="906" spans="1:13" ht="22.5" customHeight="1">
      <c r="A906" s="50"/>
      <c r="B906" s="17"/>
      <c r="C906" s="102"/>
      <c r="D906" s="48"/>
      <c r="E906" s="49"/>
      <c r="F906" s="49"/>
      <c r="G906" s="49"/>
      <c r="H906" s="49"/>
      <c r="I906" s="49"/>
      <c r="J906" s="49"/>
      <c r="K906" s="24"/>
      <c r="L906" s="24"/>
      <c r="M906" s="103"/>
    </row>
    <row r="907" spans="1:13" ht="22.5" customHeight="1">
      <c r="A907" s="50"/>
      <c r="B907" s="17"/>
      <c r="C907" s="102"/>
      <c r="D907" s="48"/>
      <c r="E907" s="49"/>
      <c r="F907" s="49"/>
      <c r="G907" s="49"/>
      <c r="H907" s="49"/>
      <c r="I907" s="49"/>
      <c r="J907" s="49"/>
      <c r="K907" s="24"/>
      <c r="L907" s="24"/>
      <c r="M907" s="103"/>
    </row>
    <row r="908" spans="1:13" ht="22.5" customHeight="1">
      <c r="A908" s="50"/>
      <c r="B908" s="17"/>
      <c r="C908" s="102"/>
      <c r="D908" s="48"/>
      <c r="E908" s="49"/>
      <c r="F908" s="49"/>
      <c r="G908" s="49"/>
      <c r="H908" s="49"/>
      <c r="I908" s="49"/>
      <c r="J908" s="49"/>
      <c r="K908" s="24"/>
      <c r="L908" s="24"/>
      <c r="M908" s="103"/>
    </row>
    <row r="909" spans="1:13" ht="22.5" customHeight="1">
      <c r="A909" s="50"/>
      <c r="B909" s="17"/>
      <c r="C909" s="102"/>
      <c r="D909" s="48"/>
      <c r="E909" s="49"/>
      <c r="F909" s="49"/>
      <c r="G909" s="49"/>
      <c r="H909" s="49"/>
      <c r="I909" s="49"/>
      <c r="J909" s="49"/>
      <c r="K909" s="24"/>
      <c r="L909" s="24"/>
      <c r="M909" s="103"/>
    </row>
    <row r="910" spans="1:13" ht="22.5" customHeight="1">
      <c r="A910" s="50"/>
      <c r="B910" s="17"/>
      <c r="C910" s="102"/>
      <c r="D910" s="48"/>
      <c r="E910" s="49"/>
      <c r="F910" s="49"/>
      <c r="G910" s="49"/>
      <c r="H910" s="49"/>
      <c r="I910" s="49"/>
      <c r="J910" s="49"/>
      <c r="K910" s="24"/>
      <c r="L910" s="24"/>
      <c r="M910" s="103"/>
    </row>
    <row r="911" spans="1:13" ht="22.5" customHeight="1">
      <c r="A911" s="50"/>
      <c r="B911" s="17"/>
      <c r="C911" s="102"/>
      <c r="D911" s="48"/>
      <c r="E911" s="49"/>
      <c r="F911" s="49"/>
      <c r="G911" s="49"/>
      <c r="H911" s="49"/>
      <c r="I911" s="49"/>
      <c r="J911" s="49"/>
      <c r="K911" s="24"/>
      <c r="L911" s="24"/>
      <c r="M911" s="103"/>
    </row>
    <row r="912" spans="1:13" ht="22.5" customHeight="1">
      <c r="A912" s="50"/>
      <c r="B912" s="17"/>
      <c r="C912" s="102"/>
      <c r="D912" s="48"/>
      <c r="E912" s="49"/>
      <c r="F912" s="49"/>
      <c r="G912" s="49"/>
      <c r="H912" s="49"/>
      <c r="I912" s="49"/>
      <c r="J912" s="49"/>
      <c r="K912" s="24"/>
      <c r="L912" s="24"/>
      <c r="M912" s="103"/>
    </row>
    <row r="913" spans="1:13" ht="22.5" customHeight="1">
      <c r="A913" s="50"/>
      <c r="B913" s="17"/>
      <c r="C913" s="102"/>
      <c r="D913" s="48"/>
      <c r="E913" s="49"/>
      <c r="F913" s="49"/>
      <c r="G913" s="49"/>
      <c r="H913" s="49"/>
      <c r="I913" s="49"/>
      <c r="J913" s="49"/>
      <c r="K913" s="24"/>
      <c r="L913" s="24"/>
      <c r="M913" s="103"/>
    </row>
    <row r="914" spans="1:13" ht="22.5" customHeight="1">
      <c r="A914" s="50"/>
      <c r="B914" s="17"/>
      <c r="C914" s="102"/>
      <c r="D914" s="48"/>
      <c r="E914" s="49"/>
      <c r="F914" s="49"/>
      <c r="G914" s="49"/>
      <c r="H914" s="49"/>
      <c r="I914" s="49"/>
      <c r="J914" s="49"/>
      <c r="K914" s="24"/>
      <c r="L914" s="24"/>
      <c r="M914" s="103"/>
    </row>
    <row r="915" spans="1:13" ht="22.5" customHeight="1">
      <c r="A915" s="50"/>
      <c r="B915" s="17"/>
      <c r="C915" s="102"/>
      <c r="D915" s="48"/>
      <c r="E915" s="49"/>
      <c r="F915" s="49"/>
      <c r="G915" s="49"/>
      <c r="H915" s="49"/>
      <c r="I915" s="49"/>
      <c r="J915" s="49"/>
      <c r="K915" s="24"/>
      <c r="L915" s="24"/>
      <c r="M915" s="103"/>
    </row>
    <row r="916" spans="1:13" ht="22.5" customHeight="1">
      <c r="A916" s="50"/>
      <c r="B916" s="17"/>
      <c r="C916" s="102"/>
      <c r="D916" s="48"/>
      <c r="E916" s="49"/>
      <c r="F916" s="49"/>
      <c r="G916" s="49"/>
      <c r="H916" s="49"/>
      <c r="I916" s="49"/>
      <c r="J916" s="49"/>
      <c r="K916" s="24"/>
      <c r="L916" s="24"/>
      <c r="M916" s="103"/>
    </row>
    <row r="917" spans="1:13" ht="22.5" customHeight="1">
      <c r="A917" s="50"/>
      <c r="B917" s="17"/>
      <c r="C917" s="102"/>
      <c r="D917" s="48"/>
      <c r="E917" s="49"/>
      <c r="F917" s="49"/>
      <c r="G917" s="49"/>
      <c r="H917" s="49"/>
      <c r="I917" s="49"/>
      <c r="J917" s="49"/>
      <c r="K917" s="24"/>
      <c r="L917" s="24"/>
      <c r="M917" s="103"/>
    </row>
    <row r="918" spans="1:13" ht="22.5" customHeight="1">
      <c r="A918" s="50"/>
      <c r="B918" s="17"/>
      <c r="C918" s="102"/>
      <c r="D918" s="48"/>
      <c r="E918" s="49"/>
      <c r="F918" s="49"/>
      <c r="G918" s="49"/>
      <c r="H918" s="49"/>
      <c r="I918" s="49"/>
      <c r="J918" s="49"/>
      <c r="K918" s="24"/>
      <c r="L918" s="24"/>
      <c r="M918" s="103"/>
    </row>
    <row r="919" spans="1:13" ht="22.5" customHeight="1">
      <c r="A919" s="50"/>
      <c r="B919" s="17"/>
      <c r="C919" s="102"/>
      <c r="D919" s="48"/>
      <c r="E919" s="49"/>
      <c r="F919" s="49"/>
      <c r="G919" s="49"/>
      <c r="H919" s="49"/>
      <c r="I919" s="49"/>
      <c r="J919" s="49"/>
      <c r="K919" s="24"/>
      <c r="L919" s="24"/>
      <c r="M919" s="103"/>
    </row>
    <row r="920" spans="1:13" ht="22.5" customHeight="1">
      <c r="A920" s="50"/>
      <c r="B920" s="17"/>
      <c r="C920" s="102"/>
      <c r="D920" s="48"/>
      <c r="E920" s="49"/>
      <c r="F920" s="49"/>
      <c r="G920" s="49"/>
      <c r="H920" s="49"/>
      <c r="I920" s="49"/>
      <c r="J920" s="49"/>
      <c r="K920" s="24"/>
      <c r="L920" s="24"/>
      <c r="M920" s="103"/>
    </row>
    <row r="921" spans="1:13" ht="22.5" customHeight="1">
      <c r="A921" s="50"/>
      <c r="B921" s="17"/>
      <c r="C921" s="102"/>
      <c r="D921" s="48"/>
      <c r="E921" s="49"/>
      <c r="F921" s="49"/>
      <c r="G921" s="49"/>
      <c r="H921" s="49"/>
      <c r="I921" s="49"/>
      <c r="J921" s="49"/>
      <c r="K921" s="24"/>
      <c r="L921" s="24"/>
      <c r="M921" s="103"/>
    </row>
    <row r="922" spans="1:13" ht="22.5" customHeight="1">
      <c r="A922" s="50"/>
      <c r="B922" s="17"/>
      <c r="C922" s="102"/>
      <c r="D922" s="48"/>
      <c r="E922" s="49"/>
      <c r="F922" s="49"/>
      <c r="G922" s="49"/>
      <c r="H922" s="49"/>
      <c r="I922" s="49"/>
      <c r="J922" s="49"/>
      <c r="K922" s="24"/>
      <c r="L922" s="24"/>
      <c r="M922" s="103"/>
    </row>
    <row r="923" spans="1:13" ht="22.5" customHeight="1">
      <c r="A923" s="50"/>
      <c r="B923" s="17"/>
      <c r="C923" s="102"/>
      <c r="D923" s="48"/>
      <c r="E923" s="49"/>
      <c r="F923" s="49"/>
      <c r="G923" s="49"/>
      <c r="H923" s="49"/>
      <c r="I923" s="49"/>
      <c r="J923" s="49"/>
      <c r="K923" s="24"/>
      <c r="L923" s="24"/>
      <c r="M923" s="103"/>
    </row>
    <row r="924" spans="1:13" ht="22.5" customHeight="1">
      <c r="A924" s="50"/>
      <c r="B924" s="17"/>
      <c r="C924" s="102"/>
      <c r="D924" s="48"/>
      <c r="E924" s="49"/>
      <c r="F924" s="49"/>
      <c r="G924" s="49"/>
      <c r="H924" s="49"/>
      <c r="I924" s="49"/>
      <c r="J924" s="49"/>
      <c r="K924" s="24"/>
      <c r="L924" s="24"/>
      <c r="M924" s="103"/>
    </row>
    <row r="925" spans="1:13" ht="22.5" customHeight="1">
      <c r="A925" s="50"/>
      <c r="B925" s="17"/>
      <c r="C925" s="102"/>
      <c r="D925" s="48"/>
      <c r="E925" s="49"/>
      <c r="F925" s="49"/>
      <c r="G925" s="49"/>
      <c r="H925" s="49"/>
      <c r="I925" s="49"/>
      <c r="J925" s="49"/>
      <c r="K925" s="24"/>
      <c r="L925" s="24"/>
      <c r="M925" s="103"/>
    </row>
    <row r="926" spans="1:13" ht="22.5" customHeight="1">
      <c r="A926" s="50"/>
      <c r="B926" s="17"/>
      <c r="C926" s="102"/>
      <c r="D926" s="48"/>
      <c r="E926" s="49"/>
      <c r="F926" s="49"/>
      <c r="G926" s="49"/>
      <c r="H926" s="49"/>
      <c r="I926" s="49"/>
      <c r="J926" s="49"/>
      <c r="K926" s="24"/>
      <c r="L926" s="24"/>
      <c r="M926" s="103"/>
    </row>
    <row r="927" spans="1:13" ht="22.5" customHeight="1">
      <c r="A927" s="50"/>
      <c r="B927" s="17"/>
      <c r="C927" s="102"/>
      <c r="D927" s="48"/>
      <c r="E927" s="49"/>
      <c r="F927" s="49"/>
      <c r="G927" s="49"/>
      <c r="H927" s="49"/>
      <c r="I927" s="49"/>
      <c r="J927" s="49"/>
      <c r="K927" s="24"/>
      <c r="L927" s="24"/>
      <c r="M927" s="103"/>
    </row>
    <row r="928" spans="1:13" ht="22.5" customHeight="1">
      <c r="A928" s="50"/>
      <c r="B928" s="17"/>
      <c r="C928" s="102"/>
      <c r="D928" s="48"/>
      <c r="E928" s="49"/>
      <c r="F928" s="49"/>
      <c r="G928" s="49"/>
      <c r="H928" s="49"/>
      <c r="I928" s="49"/>
      <c r="J928" s="49"/>
      <c r="K928" s="24"/>
      <c r="L928" s="24"/>
      <c r="M928" s="103"/>
    </row>
    <row r="929" spans="1:13" ht="22.5" customHeight="1">
      <c r="A929" s="50"/>
      <c r="B929" s="17"/>
      <c r="C929" s="102"/>
      <c r="D929" s="48"/>
      <c r="E929" s="49"/>
      <c r="F929" s="49"/>
      <c r="G929" s="49"/>
      <c r="H929" s="49"/>
      <c r="I929" s="49"/>
      <c r="J929" s="49"/>
      <c r="K929" s="24"/>
      <c r="L929" s="24"/>
      <c r="M929" s="103"/>
    </row>
    <row r="930" spans="1:13" ht="22.5" customHeight="1">
      <c r="A930" s="50"/>
      <c r="B930" s="17"/>
      <c r="C930" s="102"/>
      <c r="D930" s="48"/>
      <c r="E930" s="49"/>
      <c r="F930" s="49"/>
      <c r="G930" s="49"/>
      <c r="H930" s="49"/>
      <c r="I930" s="49"/>
      <c r="J930" s="49"/>
      <c r="K930" s="24"/>
      <c r="L930" s="24"/>
      <c r="M930" s="103"/>
    </row>
    <row r="931" spans="1:13" ht="22.5" customHeight="1">
      <c r="A931" s="50"/>
      <c r="B931" s="17"/>
      <c r="C931" s="102"/>
      <c r="D931" s="48"/>
      <c r="E931" s="49"/>
      <c r="F931" s="49"/>
      <c r="G931" s="49"/>
      <c r="H931" s="49"/>
      <c r="I931" s="49"/>
      <c r="J931" s="49"/>
      <c r="K931" s="24"/>
      <c r="L931" s="24"/>
      <c r="M931" s="103"/>
    </row>
    <row r="932" spans="1:13" ht="22.5" customHeight="1">
      <c r="A932" s="50"/>
      <c r="B932" s="17"/>
      <c r="C932" s="102"/>
      <c r="D932" s="48"/>
      <c r="E932" s="49"/>
      <c r="F932" s="49"/>
      <c r="G932" s="49"/>
      <c r="H932" s="49"/>
      <c r="I932" s="49"/>
      <c r="J932" s="49"/>
      <c r="K932" s="24"/>
      <c r="L932" s="24"/>
      <c r="M932" s="103"/>
    </row>
    <row r="933" spans="1:13" ht="22.5" customHeight="1">
      <c r="A933" s="50"/>
      <c r="B933" s="17"/>
      <c r="C933" s="102"/>
      <c r="D933" s="48"/>
      <c r="E933" s="49"/>
      <c r="F933" s="49"/>
      <c r="G933" s="49"/>
      <c r="H933" s="49"/>
      <c r="I933" s="49"/>
      <c r="J933" s="49"/>
      <c r="K933" s="24"/>
      <c r="L933" s="24"/>
      <c r="M933" s="103"/>
    </row>
    <row r="934" spans="1:13" ht="22.5" customHeight="1">
      <c r="A934" s="50"/>
      <c r="B934" s="17"/>
      <c r="C934" s="102"/>
      <c r="D934" s="48"/>
      <c r="E934" s="49"/>
      <c r="F934" s="49"/>
      <c r="G934" s="49"/>
      <c r="H934" s="49"/>
      <c r="I934" s="49"/>
      <c r="J934" s="49"/>
      <c r="K934" s="24"/>
      <c r="L934" s="24"/>
      <c r="M934" s="103"/>
    </row>
    <row r="935" spans="1:13" ht="22.5" customHeight="1">
      <c r="A935" s="50"/>
      <c r="B935" s="17"/>
      <c r="C935" s="102"/>
      <c r="D935" s="48"/>
      <c r="E935" s="49"/>
      <c r="F935" s="49"/>
      <c r="G935" s="49"/>
      <c r="H935" s="49"/>
      <c r="I935" s="49"/>
      <c r="J935" s="49"/>
      <c r="K935" s="24"/>
      <c r="L935" s="24"/>
      <c r="M935" s="103"/>
    </row>
    <row r="936" spans="1:13" ht="22.5" customHeight="1">
      <c r="A936" s="50"/>
      <c r="B936" s="17"/>
      <c r="C936" s="102"/>
      <c r="D936" s="48"/>
      <c r="E936" s="49"/>
      <c r="F936" s="49"/>
      <c r="G936" s="49"/>
      <c r="H936" s="49"/>
      <c r="I936" s="49"/>
      <c r="J936" s="49"/>
      <c r="K936" s="24"/>
      <c r="L936" s="24"/>
      <c r="M936" s="103"/>
    </row>
    <row r="937" spans="1:13" ht="22.5" customHeight="1">
      <c r="A937" s="50"/>
      <c r="B937" s="17"/>
      <c r="C937" s="102"/>
      <c r="D937" s="48"/>
      <c r="E937" s="49"/>
      <c r="F937" s="49"/>
      <c r="G937" s="49"/>
      <c r="H937" s="49"/>
      <c r="I937" s="49"/>
      <c r="J937" s="49"/>
      <c r="K937" s="24"/>
      <c r="L937" s="24"/>
      <c r="M937" s="103"/>
    </row>
    <row r="938" spans="1:13" ht="22.5" customHeight="1">
      <c r="A938" s="50"/>
      <c r="B938" s="17"/>
      <c r="C938" s="102"/>
      <c r="D938" s="48"/>
      <c r="E938" s="49"/>
      <c r="F938" s="49"/>
      <c r="G938" s="49"/>
      <c r="H938" s="49"/>
      <c r="I938" s="49"/>
      <c r="J938" s="49"/>
      <c r="K938" s="24"/>
      <c r="L938" s="24"/>
      <c r="M938" s="103"/>
    </row>
    <row r="939" spans="1:13" ht="22.5" customHeight="1">
      <c r="A939" s="50"/>
      <c r="B939" s="17"/>
      <c r="C939" s="102"/>
      <c r="D939" s="48"/>
      <c r="E939" s="49"/>
      <c r="F939" s="49"/>
      <c r="G939" s="49"/>
      <c r="H939" s="49"/>
      <c r="I939" s="49"/>
      <c r="J939" s="49"/>
      <c r="K939" s="24"/>
      <c r="L939" s="24"/>
      <c r="M939" s="103"/>
    </row>
    <row r="940" spans="1:13" ht="22.5" customHeight="1">
      <c r="A940" s="50"/>
      <c r="B940" s="17"/>
      <c r="C940" s="102"/>
      <c r="D940" s="48"/>
      <c r="E940" s="49"/>
      <c r="F940" s="49"/>
      <c r="G940" s="49"/>
      <c r="H940" s="49"/>
      <c r="I940" s="49"/>
      <c r="J940" s="49"/>
      <c r="K940" s="24"/>
      <c r="L940" s="24"/>
      <c r="M940" s="103"/>
    </row>
    <row r="941" spans="1:13" ht="22.5" customHeight="1">
      <c r="A941" s="50"/>
      <c r="B941" s="17"/>
      <c r="C941" s="102"/>
      <c r="D941" s="48"/>
      <c r="E941" s="49"/>
      <c r="F941" s="49"/>
      <c r="G941" s="49"/>
      <c r="H941" s="49"/>
      <c r="I941" s="49"/>
      <c r="J941" s="49"/>
      <c r="K941" s="24"/>
      <c r="L941" s="24"/>
      <c r="M941" s="103"/>
    </row>
    <row r="942" spans="1:13" ht="22.5" customHeight="1">
      <c r="A942" s="50"/>
      <c r="B942" s="17"/>
      <c r="C942" s="102"/>
      <c r="D942" s="48"/>
      <c r="E942" s="49"/>
      <c r="F942" s="49"/>
      <c r="G942" s="49"/>
      <c r="H942" s="49"/>
      <c r="I942" s="49"/>
      <c r="J942" s="49"/>
      <c r="K942" s="24"/>
      <c r="L942" s="24"/>
      <c r="M942" s="103"/>
    </row>
    <row r="943" spans="1:13" ht="22.5" customHeight="1">
      <c r="A943" s="50"/>
      <c r="B943" s="17"/>
      <c r="C943" s="102"/>
      <c r="D943" s="48"/>
      <c r="E943" s="49"/>
      <c r="F943" s="49"/>
      <c r="G943" s="49"/>
      <c r="H943" s="49"/>
      <c r="I943" s="49"/>
      <c r="J943" s="49"/>
      <c r="K943" s="24"/>
      <c r="L943" s="24"/>
      <c r="M943" s="103"/>
    </row>
    <row r="944" spans="1:13" ht="22.5" customHeight="1">
      <c r="A944" s="50"/>
      <c r="B944" s="17"/>
      <c r="C944" s="102"/>
      <c r="D944" s="48"/>
      <c r="E944" s="49"/>
      <c r="F944" s="49"/>
      <c r="G944" s="49"/>
      <c r="H944" s="49"/>
      <c r="I944" s="49"/>
      <c r="J944" s="49"/>
      <c r="K944" s="24"/>
      <c r="L944" s="24"/>
      <c r="M944" s="103"/>
    </row>
    <row r="945" spans="1:13" ht="22.5" customHeight="1">
      <c r="A945" s="50"/>
      <c r="B945" s="17"/>
      <c r="C945" s="102"/>
      <c r="D945" s="48"/>
      <c r="E945" s="49"/>
      <c r="F945" s="49"/>
      <c r="G945" s="49"/>
      <c r="H945" s="49"/>
      <c r="I945" s="49"/>
      <c r="J945" s="49"/>
      <c r="K945" s="24"/>
      <c r="L945" s="24"/>
      <c r="M945" s="103"/>
    </row>
    <row r="946" spans="1:13" ht="22.5" customHeight="1">
      <c r="A946" s="50"/>
      <c r="B946" s="17"/>
      <c r="C946" s="102"/>
      <c r="D946" s="48"/>
      <c r="E946" s="49"/>
      <c r="F946" s="49"/>
      <c r="G946" s="49"/>
      <c r="H946" s="49"/>
      <c r="I946" s="49"/>
      <c r="J946" s="49"/>
      <c r="K946" s="24"/>
      <c r="L946" s="24"/>
      <c r="M946" s="103"/>
    </row>
    <row r="947" spans="1:13" ht="22.5" customHeight="1">
      <c r="A947" s="50"/>
      <c r="B947" s="17"/>
      <c r="C947" s="102"/>
      <c r="D947" s="48"/>
      <c r="E947" s="49"/>
      <c r="F947" s="49"/>
      <c r="G947" s="49"/>
      <c r="H947" s="49"/>
      <c r="I947" s="49"/>
      <c r="J947" s="49"/>
      <c r="K947" s="24"/>
      <c r="L947" s="24"/>
      <c r="M947" s="103"/>
    </row>
    <row r="948" spans="1:13" ht="22.5" customHeight="1">
      <c r="A948" s="50"/>
      <c r="B948" s="17"/>
      <c r="C948" s="102"/>
      <c r="D948" s="48"/>
      <c r="E948" s="49"/>
      <c r="F948" s="49"/>
      <c r="G948" s="49"/>
      <c r="H948" s="49"/>
      <c r="I948" s="49"/>
      <c r="J948" s="49"/>
      <c r="K948" s="24"/>
      <c r="L948" s="24"/>
      <c r="M948" s="103"/>
    </row>
    <row r="949" spans="1:13" ht="22.5" customHeight="1">
      <c r="A949" s="50"/>
      <c r="B949" s="17"/>
      <c r="C949" s="102"/>
      <c r="D949" s="48"/>
      <c r="E949" s="49"/>
      <c r="F949" s="49"/>
      <c r="G949" s="49"/>
      <c r="H949" s="49"/>
      <c r="I949" s="49"/>
      <c r="J949" s="49"/>
      <c r="K949" s="24"/>
      <c r="L949" s="24"/>
      <c r="M949" s="103"/>
    </row>
    <row r="950" spans="1:13" ht="22.5" customHeight="1">
      <c r="A950" s="50"/>
      <c r="B950" s="17"/>
      <c r="C950" s="102"/>
      <c r="D950" s="48"/>
      <c r="E950" s="49"/>
      <c r="F950" s="49"/>
      <c r="G950" s="49"/>
      <c r="H950" s="49"/>
      <c r="I950" s="49"/>
      <c r="J950" s="49"/>
      <c r="K950" s="24"/>
      <c r="L950" s="24"/>
      <c r="M950" s="103"/>
    </row>
    <row r="951" spans="1:13" ht="22.5" customHeight="1">
      <c r="A951" s="50"/>
      <c r="B951" s="17"/>
      <c r="C951" s="102"/>
      <c r="D951" s="48"/>
      <c r="E951" s="49"/>
      <c r="F951" s="49"/>
      <c r="G951" s="49"/>
      <c r="H951" s="49"/>
      <c r="I951" s="49"/>
      <c r="J951" s="49"/>
      <c r="K951" s="24"/>
      <c r="L951" s="24"/>
      <c r="M951" s="103"/>
    </row>
    <row r="952" spans="1:13" ht="22.5" customHeight="1">
      <c r="A952" s="50"/>
      <c r="B952" s="17"/>
      <c r="C952" s="102"/>
      <c r="D952" s="48"/>
      <c r="E952" s="49"/>
      <c r="F952" s="49"/>
      <c r="G952" s="49"/>
      <c r="H952" s="49"/>
      <c r="I952" s="49"/>
      <c r="J952" s="49"/>
      <c r="K952" s="24"/>
      <c r="L952" s="24"/>
      <c r="M952" s="103"/>
    </row>
    <row r="953" spans="1:13" ht="22.5" customHeight="1">
      <c r="A953" s="50"/>
      <c r="B953" s="17"/>
      <c r="C953" s="102"/>
      <c r="D953" s="48"/>
      <c r="E953" s="49"/>
      <c r="F953" s="49"/>
      <c r="G953" s="49"/>
      <c r="H953" s="49"/>
      <c r="I953" s="49"/>
      <c r="J953" s="49"/>
      <c r="K953" s="24"/>
      <c r="L953" s="24"/>
      <c r="M953" s="103"/>
    </row>
    <row r="954" spans="1:13" ht="22.5" customHeight="1">
      <c r="A954" s="50"/>
      <c r="B954" s="17"/>
      <c r="C954" s="102"/>
      <c r="D954" s="48"/>
      <c r="E954" s="49"/>
      <c r="F954" s="49"/>
      <c r="G954" s="49"/>
      <c r="H954" s="49"/>
      <c r="I954" s="49"/>
      <c r="J954" s="49"/>
      <c r="K954" s="24"/>
      <c r="L954" s="24"/>
      <c r="M954" s="103"/>
    </row>
    <row r="955" spans="1:13" ht="22.5" customHeight="1">
      <c r="A955" s="50"/>
      <c r="B955" s="17"/>
      <c r="C955" s="102"/>
      <c r="D955" s="48"/>
      <c r="E955" s="49"/>
      <c r="F955" s="49"/>
      <c r="G955" s="49"/>
      <c r="H955" s="49"/>
      <c r="I955" s="49"/>
      <c r="J955" s="49"/>
      <c r="K955" s="24"/>
      <c r="L955" s="24"/>
      <c r="M955" s="103"/>
    </row>
    <row r="956" spans="1:13" ht="22.5" customHeight="1">
      <c r="A956" s="50"/>
      <c r="B956" s="17"/>
      <c r="C956" s="102"/>
      <c r="D956" s="48"/>
      <c r="E956" s="49"/>
      <c r="F956" s="49"/>
      <c r="G956" s="49"/>
      <c r="H956" s="49"/>
      <c r="I956" s="49"/>
      <c r="J956" s="49"/>
      <c r="K956" s="24"/>
      <c r="L956" s="24"/>
      <c r="M956" s="103"/>
    </row>
    <row r="957" spans="1:13" ht="22.5" customHeight="1">
      <c r="A957" s="50"/>
      <c r="B957" s="17"/>
      <c r="C957" s="102"/>
      <c r="D957" s="48"/>
      <c r="E957" s="49"/>
      <c r="F957" s="49"/>
      <c r="G957" s="49"/>
      <c r="H957" s="49"/>
      <c r="I957" s="49"/>
      <c r="J957" s="49"/>
      <c r="K957" s="24"/>
      <c r="L957" s="24"/>
      <c r="M957" s="103"/>
    </row>
    <row r="958" spans="1:13" ht="22.5" customHeight="1">
      <c r="A958" s="50"/>
      <c r="B958" s="17"/>
      <c r="C958" s="102"/>
      <c r="D958" s="48"/>
      <c r="E958" s="49"/>
      <c r="F958" s="49"/>
      <c r="G958" s="49"/>
      <c r="H958" s="49"/>
      <c r="I958" s="49"/>
      <c r="J958" s="49"/>
      <c r="K958" s="24"/>
      <c r="L958" s="24"/>
      <c r="M958" s="103"/>
    </row>
    <row r="959" spans="1:13" ht="22.5" customHeight="1">
      <c r="A959" s="50"/>
      <c r="B959" s="17"/>
      <c r="C959" s="102"/>
      <c r="D959" s="48"/>
      <c r="E959" s="49"/>
      <c r="F959" s="49"/>
      <c r="G959" s="49"/>
      <c r="H959" s="49"/>
      <c r="I959" s="49"/>
      <c r="J959" s="49"/>
      <c r="K959" s="24"/>
      <c r="L959" s="24"/>
      <c r="M959" s="103"/>
    </row>
    <row r="960" spans="1:13" ht="22.5" customHeight="1">
      <c r="A960" s="50"/>
      <c r="B960" s="17"/>
      <c r="C960" s="102"/>
      <c r="D960" s="48"/>
      <c r="E960" s="49"/>
      <c r="F960" s="49"/>
      <c r="G960" s="49"/>
      <c r="H960" s="49"/>
      <c r="I960" s="49"/>
      <c r="J960" s="49"/>
      <c r="K960" s="24"/>
      <c r="L960" s="24"/>
      <c r="M960" s="103"/>
    </row>
    <row r="961" spans="1:13" ht="22.5" customHeight="1">
      <c r="A961" s="50"/>
      <c r="B961" s="17"/>
      <c r="C961" s="102"/>
      <c r="D961" s="48"/>
      <c r="E961" s="49"/>
      <c r="F961" s="49"/>
      <c r="G961" s="49"/>
      <c r="H961" s="49"/>
      <c r="I961" s="49"/>
      <c r="J961" s="49"/>
      <c r="K961" s="24"/>
      <c r="L961" s="24"/>
      <c r="M961" s="103"/>
    </row>
    <row r="962" spans="1:13" ht="22.5" customHeight="1">
      <c r="A962" s="50"/>
      <c r="B962" s="17"/>
      <c r="C962" s="102"/>
      <c r="D962" s="48"/>
      <c r="E962" s="49"/>
      <c r="F962" s="49"/>
      <c r="G962" s="49"/>
      <c r="H962" s="49"/>
      <c r="I962" s="49"/>
      <c r="J962" s="49"/>
      <c r="K962" s="24"/>
      <c r="L962" s="24"/>
      <c r="M962" s="103"/>
    </row>
    <row r="963" spans="1:13" ht="22.5" customHeight="1">
      <c r="A963" s="50"/>
      <c r="B963" s="17"/>
      <c r="C963" s="102"/>
      <c r="D963" s="48"/>
      <c r="E963" s="49"/>
      <c r="F963" s="49"/>
      <c r="G963" s="49"/>
      <c r="H963" s="49"/>
      <c r="I963" s="49"/>
      <c r="J963" s="49"/>
      <c r="K963" s="24"/>
      <c r="L963" s="24"/>
      <c r="M963" s="103"/>
    </row>
    <row r="964" spans="1:13" ht="22.5" customHeight="1">
      <c r="A964" s="50"/>
      <c r="B964" s="17"/>
      <c r="C964" s="102"/>
      <c r="D964" s="48"/>
      <c r="E964" s="49"/>
      <c r="F964" s="49"/>
      <c r="G964" s="49"/>
      <c r="H964" s="49"/>
      <c r="I964" s="49"/>
      <c r="J964" s="49"/>
      <c r="K964" s="24"/>
      <c r="L964" s="24"/>
      <c r="M964" s="103"/>
    </row>
    <row r="965" spans="1:13" ht="22.5" customHeight="1">
      <c r="A965" s="50"/>
      <c r="B965" s="17"/>
      <c r="C965" s="102"/>
      <c r="D965" s="48"/>
      <c r="E965" s="49"/>
      <c r="F965" s="49"/>
      <c r="G965" s="49"/>
      <c r="H965" s="49"/>
      <c r="I965" s="49"/>
      <c r="J965" s="49"/>
      <c r="K965" s="24"/>
      <c r="L965" s="24"/>
      <c r="M965" s="103"/>
    </row>
    <row r="966" spans="1:13" ht="22.5" customHeight="1">
      <c r="A966" s="50"/>
      <c r="B966" s="17"/>
      <c r="C966" s="102"/>
      <c r="D966" s="48"/>
      <c r="E966" s="49"/>
      <c r="F966" s="49"/>
      <c r="G966" s="49"/>
      <c r="H966" s="49"/>
      <c r="I966" s="49"/>
      <c r="J966" s="49"/>
      <c r="K966" s="24"/>
      <c r="L966" s="24"/>
      <c r="M966" s="103"/>
    </row>
    <row r="967" spans="1:13" ht="22.5" customHeight="1">
      <c r="A967" s="50"/>
      <c r="B967" s="17"/>
      <c r="C967" s="102"/>
      <c r="D967" s="48"/>
      <c r="E967" s="49"/>
      <c r="F967" s="49"/>
      <c r="G967" s="49"/>
      <c r="H967" s="49"/>
      <c r="I967" s="49"/>
      <c r="J967" s="49"/>
      <c r="K967" s="24"/>
      <c r="L967" s="24"/>
      <c r="M967" s="103"/>
    </row>
    <row r="968" spans="1:13" ht="22.5" customHeight="1">
      <c r="A968" s="50"/>
      <c r="B968" s="17"/>
      <c r="C968" s="102"/>
      <c r="D968" s="48"/>
      <c r="E968" s="49"/>
      <c r="F968" s="49"/>
      <c r="G968" s="49"/>
      <c r="H968" s="49"/>
      <c r="I968" s="49"/>
      <c r="J968" s="49"/>
      <c r="K968" s="24"/>
      <c r="L968" s="24"/>
      <c r="M968" s="103"/>
    </row>
    <row r="969" spans="1:13" ht="22.5" customHeight="1">
      <c r="A969" s="50"/>
      <c r="B969" s="17"/>
      <c r="C969" s="102"/>
      <c r="D969" s="48"/>
      <c r="E969" s="49"/>
      <c r="F969" s="49"/>
      <c r="G969" s="49"/>
      <c r="H969" s="49"/>
      <c r="I969" s="49"/>
      <c r="J969" s="49"/>
      <c r="K969" s="24"/>
      <c r="L969" s="24"/>
      <c r="M969" s="103"/>
    </row>
    <row r="970" spans="1:13" ht="22.5" customHeight="1">
      <c r="A970" s="50"/>
      <c r="B970" s="17"/>
      <c r="C970" s="102"/>
      <c r="D970" s="48"/>
      <c r="E970" s="49"/>
      <c r="F970" s="49"/>
      <c r="G970" s="49"/>
      <c r="H970" s="49"/>
      <c r="I970" s="49"/>
      <c r="J970" s="49"/>
      <c r="K970" s="24"/>
      <c r="L970" s="24"/>
      <c r="M970" s="103"/>
    </row>
    <row r="971" spans="1:13" ht="22.5" customHeight="1">
      <c r="A971" s="50"/>
      <c r="B971" s="17"/>
      <c r="C971" s="102"/>
      <c r="D971" s="48"/>
      <c r="E971" s="49"/>
      <c r="F971" s="49"/>
      <c r="G971" s="49"/>
      <c r="H971" s="49"/>
      <c r="I971" s="49"/>
      <c r="J971" s="49"/>
      <c r="K971" s="24"/>
      <c r="L971" s="24"/>
      <c r="M971" s="103"/>
    </row>
    <row r="972" spans="1:13" ht="22.5" customHeight="1">
      <c r="A972" s="50"/>
      <c r="B972" s="17"/>
      <c r="C972" s="102"/>
      <c r="D972" s="48"/>
      <c r="E972" s="49"/>
      <c r="F972" s="49"/>
      <c r="G972" s="49"/>
      <c r="H972" s="49"/>
      <c r="I972" s="49"/>
      <c r="J972" s="49"/>
      <c r="K972" s="24"/>
      <c r="L972" s="24"/>
      <c r="M972" s="103"/>
    </row>
    <row r="973" spans="1:13" ht="22.5" customHeight="1">
      <c r="A973" s="50"/>
      <c r="B973" s="17"/>
      <c r="C973" s="102"/>
      <c r="D973" s="48"/>
      <c r="E973" s="49"/>
      <c r="F973" s="49"/>
      <c r="G973" s="49"/>
      <c r="H973" s="49"/>
      <c r="I973" s="49"/>
      <c r="J973" s="49"/>
      <c r="K973" s="24"/>
      <c r="L973" s="24"/>
      <c r="M973" s="103"/>
    </row>
    <row r="974" spans="1:13" ht="22.5" customHeight="1">
      <c r="A974" s="50"/>
      <c r="B974" s="17"/>
      <c r="C974" s="102"/>
      <c r="D974" s="48"/>
      <c r="E974" s="49"/>
      <c r="F974" s="49"/>
      <c r="G974" s="49"/>
      <c r="H974" s="49"/>
      <c r="I974" s="49"/>
      <c r="J974" s="49"/>
      <c r="K974" s="24"/>
      <c r="L974" s="24"/>
      <c r="M974" s="103"/>
    </row>
    <row r="975" spans="1:13" ht="22.5" customHeight="1">
      <c r="A975" s="50"/>
      <c r="B975" s="17"/>
      <c r="C975" s="102"/>
      <c r="D975" s="48"/>
      <c r="E975" s="49"/>
      <c r="F975" s="49"/>
      <c r="G975" s="49"/>
      <c r="H975" s="49"/>
      <c r="I975" s="49"/>
      <c r="J975" s="49"/>
      <c r="K975" s="24"/>
      <c r="L975" s="24"/>
      <c r="M975" s="103"/>
    </row>
    <row r="976" spans="1:13" ht="22.5" customHeight="1">
      <c r="A976" s="50"/>
      <c r="B976" s="17"/>
      <c r="C976" s="102"/>
      <c r="D976" s="48"/>
      <c r="E976" s="49"/>
      <c r="F976" s="49"/>
      <c r="G976" s="49"/>
      <c r="H976" s="49"/>
      <c r="I976" s="49"/>
      <c r="J976" s="49"/>
      <c r="K976" s="24"/>
      <c r="L976" s="24"/>
      <c r="M976" s="103"/>
    </row>
    <row r="977" spans="1:13" ht="22.5" customHeight="1">
      <c r="A977" s="50"/>
      <c r="B977" s="17"/>
      <c r="C977" s="102"/>
      <c r="D977" s="48"/>
      <c r="E977" s="49"/>
      <c r="F977" s="49"/>
      <c r="G977" s="49"/>
      <c r="H977" s="49"/>
      <c r="I977" s="49"/>
      <c r="J977" s="49"/>
      <c r="K977" s="24"/>
      <c r="L977" s="24"/>
      <c r="M977" s="103"/>
    </row>
    <row r="978" spans="1:13" ht="22.5" customHeight="1">
      <c r="A978" s="50"/>
      <c r="B978" s="17"/>
      <c r="C978" s="102"/>
      <c r="D978" s="48"/>
      <c r="E978" s="49"/>
      <c r="F978" s="49"/>
      <c r="G978" s="49"/>
      <c r="H978" s="49"/>
      <c r="I978" s="49"/>
      <c r="J978" s="49"/>
      <c r="K978" s="24"/>
      <c r="L978" s="24"/>
      <c r="M978" s="103"/>
    </row>
    <row r="979" spans="1:13" ht="22.5" customHeight="1">
      <c r="A979" s="50"/>
      <c r="B979" s="17"/>
      <c r="C979" s="102"/>
      <c r="D979" s="48"/>
      <c r="E979" s="49"/>
      <c r="F979" s="49"/>
      <c r="G979" s="49"/>
      <c r="H979" s="49"/>
      <c r="I979" s="49"/>
      <c r="J979" s="49"/>
      <c r="K979" s="24"/>
      <c r="L979" s="24"/>
      <c r="M979" s="103"/>
    </row>
    <row r="980" spans="1:13" ht="22.5" customHeight="1">
      <c r="A980" s="50"/>
      <c r="B980" s="17"/>
      <c r="C980" s="102"/>
      <c r="D980" s="48"/>
      <c r="E980" s="49"/>
      <c r="F980" s="49"/>
      <c r="G980" s="49"/>
      <c r="H980" s="49"/>
      <c r="I980" s="49"/>
      <c r="J980" s="49"/>
      <c r="K980" s="24"/>
      <c r="L980" s="24"/>
      <c r="M980" s="103"/>
    </row>
    <row r="981" spans="1:13" ht="22.5" customHeight="1">
      <c r="A981" s="50"/>
      <c r="B981" s="17"/>
      <c r="C981" s="102"/>
      <c r="D981" s="48"/>
      <c r="E981" s="49"/>
      <c r="F981" s="49"/>
      <c r="G981" s="49"/>
      <c r="H981" s="49"/>
      <c r="I981" s="49"/>
      <c r="J981" s="49"/>
      <c r="K981" s="24"/>
      <c r="L981" s="24"/>
      <c r="M981" s="103"/>
    </row>
    <row r="982" spans="1:13" ht="22.5" customHeight="1">
      <c r="A982" s="50"/>
      <c r="B982" s="17"/>
      <c r="C982" s="102"/>
      <c r="D982" s="48"/>
      <c r="E982" s="49"/>
      <c r="F982" s="49"/>
      <c r="G982" s="49"/>
      <c r="H982" s="49"/>
      <c r="I982" s="49"/>
      <c r="J982" s="49"/>
      <c r="K982" s="24"/>
      <c r="L982" s="24"/>
      <c r="M982" s="103"/>
    </row>
    <row r="983" spans="1:13" ht="22.5" customHeight="1">
      <c r="A983" s="50"/>
      <c r="B983" s="17"/>
      <c r="C983" s="102"/>
      <c r="D983" s="48"/>
      <c r="E983" s="49"/>
      <c r="F983" s="49"/>
      <c r="G983" s="49"/>
      <c r="H983" s="49"/>
      <c r="I983" s="49"/>
      <c r="J983" s="49"/>
      <c r="K983" s="24"/>
      <c r="L983" s="24"/>
      <c r="M983" s="103"/>
    </row>
    <row r="984" spans="1:13" ht="22.5" customHeight="1">
      <c r="A984" s="50"/>
      <c r="B984" s="17"/>
      <c r="C984" s="102"/>
      <c r="D984" s="48"/>
      <c r="E984" s="49"/>
      <c r="F984" s="49"/>
      <c r="G984" s="49"/>
      <c r="H984" s="49"/>
      <c r="I984" s="49"/>
      <c r="J984" s="49"/>
      <c r="K984" s="24"/>
      <c r="L984" s="24"/>
      <c r="M984" s="103"/>
    </row>
    <row r="985" spans="1:13" ht="22.5" customHeight="1">
      <c r="A985" s="50"/>
      <c r="B985" s="17"/>
      <c r="C985" s="102"/>
      <c r="D985" s="48"/>
      <c r="E985" s="49"/>
      <c r="F985" s="49"/>
      <c r="G985" s="49"/>
      <c r="H985" s="49"/>
      <c r="I985" s="49"/>
      <c r="J985" s="49"/>
      <c r="K985" s="24"/>
      <c r="L985" s="24"/>
      <c r="M985" s="103"/>
    </row>
    <row r="986" spans="1:13" ht="22.5" customHeight="1">
      <c r="A986" s="50"/>
      <c r="B986" s="17"/>
      <c r="C986" s="102"/>
      <c r="D986" s="48"/>
      <c r="E986" s="49"/>
      <c r="F986" s="49"/>
      <c r="G986" s="49"/>
      <c r="H986" s="49"/>
      <c r="I986" s="49"/>
      <c r="J986" s="49"/>
      <c r="K986" s="24"/>
      <c r="L986" s="24"/>
      <c r="M986" s="103"/>
    </row>
    <row r="987" spans="1:13" ht="22.5" customHeight="1">
      <c r="A987" s="50"/>
      <c r="B987" s="17"/>
      <c r="C987" s="102"/>
      <c r="D987" s="48"/>
      <c r="E987" s="49"/>
      <c r="F987" s="49"/>
      <c r="G987" s="49"/>
      <c r="H987" s="49"/>
      <c r="I987" s="49"/>
      <c r="J987" s="49"/>
      <c r="K987" s="24"/>
      <c r="L987" s="24"/>
      <c r="M987" s="103"/>
    </row>
    <row r="988" spans="1:13" ht="22.5" customHeight="1">
      <c r="A988" s="50"/>
      <c r="B988" s="17"/>
      <c r="C988" s="102"/>
      <c r="D988" s="48"/>
      <c r="E988" s="49"/>
      <c r="F988" s="49"/>
      <c r="G988" s="49"/>
      <c r="H988" s="49"/>
      <c r="I988" s="49"/>
      <c r="J988" s="49"/>
      <c r="K988" s="24"/>
      <c r="L988" s="24"/>
      <c r="M988" s="103"/>
    </row>
    <row r="989" spans="1:13" ht="22.5" customHeight="1">
      <c r="A989" s="50"/>
      <c r="B989" s="17"/>
      <c r="C989" s="102"/>
      <c r="D989" s="48"/>
      <c r="E989" s="49"/>
      <c r="F989" s="49"/>
      <c r="G989" s="49"/>
      <c r="H989" s="49"/>
      <c r="I989" s="49"/>
      <c r="J989" s="49"/>
      <c r="K989" s="24"/>
      <c r="L989" s="24"/>
      <c r="M989" s="103"/>
    </row>
    <row r="990" spans="1:13" ht="22.5" customHeight="1">
      <c r="A990" s="50"/>
      <c r="B990" s="17"/>
      <c r="C990" s="102"/>
      <c r="D990" s="48"/>
      <c r="E990" s="49"/>
      <c r="F990" s="49"/>
      <c r="G990" s="49"/>
      <c r="H990" s="49"/>
      <c r="I990" s="49"/>
      <c r="J990" s="49"/>
      <c r="K990" s="24"/>
      <c r="L990" s="24"/>
      <c r="M990" s="103"/>
    </row>
    <row r="991" spans="1:13" ht="22.5" customHeight="1">
      <c r="A991" s="50"/>
      <c r="B991" s="17"/>
      <c r="C991" s="102"/>
      <c r="D991" s="48"/>
      <c r="E991" s="49"/>
      <c r="F991" s="49"/>
      <c r="G991" s="49"/>
      <c r="H991" s="49"/>
      <c r="I991" s="49"/>
      <c r="J991" s="49"/>
      <c r="K991" s="24"/>
      <c r="L991" s="24"/>
      <c r="M991" s="103"/>
    </row>
    <row r="992" spans="1:13" ht="22.5" customHeight="1">
      <c r="A992" s="50"/>
      <c r="B992" s="17"/>
      <c r="C992" s="102"/>
      <c r="D992" s="48"/>
      <c r="E992" s="49"/>
      <c r="F992" s="49"/>
      <c r="G992" s="49"/>
      <c r="H992" s="49"/>
      <c r="I992" s="49"/>
      <c r="J992" s="49"/>
      <c r="K992" s="24"/>
      <c r="L992" s="24"/>
      <c r="M992" s="103"/>
    </row>
    <row r="993" spans="1:13" ht="22.5" customHeight="1">
      <c r="A993" s="50"/>
      <c r="B993" s="17"/>
      <c r="C993" s="102"/>
      <c r="D993" s="48"/>
      <c r="E993" s="49"/>
      <c r="F993" s="49"/>
      <c r="G993" s="49"/>
      <c r="H993" s="49"/>
      <c r="I993" s="49"/>
      <c r="J993" s="49"/>
      <c r="K993" s="24"/>
      <c r="L993" s="24"/>
      <c r="M993" s="103"/>
    </row>
    <row r="994" spans="1:13" ht="22.5" customHeight="1">
      <c r="A994" s="50"/>
      <c r="B994" s="17"/>
      <c r="C994" s="102"/>
      <c r="D994" s="48"/>
      <c r="E994" s="49"/>
      <c r="F994" s="49"/>
      <c r="G994" s="49"/>
      <c r="H994" s="49"/>
      <c r="I994" s="49"/>
      <c r="J994" s="49"/>
      <c r="K994" s="24"/>
      <c r="L994" s="24"/>
      <c r="M994" s="103"/>
    </row>
  </sheetData>
  <dataValidations count="2">
    <dataValidation type="custom" allowBlank="1" showDropDown="1" sqref="F2:J301 L2:L301" xr:uid="{00000000-0002-0000-0600-000000000000}">
      <formula1>AND(ISNUMBER(F2),(NOT(OR(NOT(ISERROR(DATEVALUE(F2))), AND(ISNUMBER(F2), LEFT(CELL("format", F2))="D")))))</formula1>
    </dataValidation>
    <dataValidation allowBlank="1" showDropDown="1" sqref="M2:M301 A2:E301" xr:uid="{00000000-0002-0000-0600-000001000000}"/>
  </dataValidations>
  <hyperlinks>
    <hyperlink ref="M3" r:id="rId1" xr:uid="{00000000-0004-0000-0600-000000000000}"/>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121</vt:i4>
      </vt:variant>
    </vt:vector>
  </HeadingPairs>
  <TitlesOfParts>
    <vt:vector size="128" baseType="lpstr">
      <vt:lpstr>READ ME</vt:lpstr>
      <vt:lpstr>VARIABLES</vt:lpstr>
      <vt:lpstr>ESTIMATE</vt:lpstr>
      <vt:lpstr>FILAMENT</vt:lpstr>
      <vt:lpstr>NOZZLES</vt:lpstr>
      <vt:lpstr>PLATES</vt:lpstr>
      <vt:lpstr>PRINTERS</vt:lpstr>
      <vt:lpstr>clientName</vt:lpstr>
      <vt:lpstr>elecCost</vt:lpstr>
      <vt:lpstr>failCont</vt:lpstr>
      <vt:lpstr>jobName</vt:lpstr>
      <vt:lpstr>laborCost</vt:lpstr>
      <vt:lpstr>laborHrs</vt:lpstr>
      <vt:lpstr>laborMins</vt:lpstr>
      <vt:lpstr>maintCont</vt:lpstr>
      <vt:lpstr>noCharge</vt:lpstr>
      <vt:lpstr>nozzle1</vt:lpstr>
      <vt:lpstr>nozzle2</vt:lpstr>
      <vt:lpstr>nozzle3</vt:lpstr>
      <vt:lpstr>nozzle4</vt:lpstr>
      <vt:lpstr>nozzle5</vt:lpstr>
      <vt:lpstr>nozzle6</vt:lpstr>
      <vt:lpstr>nozzle7</vt:lpstr>
      <vt:lpstr>nozzle8</vt:lpstr>
      <vt:lpstr>nozzleCost1</vt:lpstr>
      <vt:lpstr>nozzleCost2</vt:lpstr>
      <vt:lpstr>nozzleCost3</vt:lpstr>
      <vt:lpstr>nozzleCost4</vt:lpstr>
      <vt:lpstr>nozzleCost5</vt:lpstr>
      <vt:lpstr>nozzleCost6</vt:lpstr>
      <vt:lpstr>nozzleCost7</vt:lpstr>
      <vt:lpstr>nozzleCost8</vt:lpstr>
      <vt:lpstr>nozzleDepr1</vt:lpstr>
      <vt:lpstr>nozzleDepr2</vt:lpstr>
      <vt:lpstr>nozzleDepr3</vt:lpstr>
      <vt:lpstr>nozzleDepr4</vt:lpstr>
      <vt:lpstr>nozzleDepr5</vt:lpstr>
      <vt:lpstr>nozzleDepr6</vt:lpstr>
      <vt:lpstr>nozzleDepr7</vt:lpstr>
      <vt:lpstr>nozzleDepr8</vt:lpstr>
      <vt:lpstr>nozzleLife1</vt:lpstr>
      <vt:lpstr>nozzleLife2</vt:lpstr>
      <vt:lpstr>nozzleLife3</vt:lpstr>
      <vt:lpstr>nozzleLife4</vt:lpstr>
      <vt:lpstr>nozzleLife5</vt:lpstr>
      <vt:lpstr>nozzleLife6</vt:lpstr>
      <vt:lpstr>nozzleLife7</vt:lpstr>
      <vt:lpstr>nozzleLife8</vt:lpstr>
      <vt:lpstr>nozzlePrintPct1</vt:lpstr>
      <vt:lpstr>nozzlePrintPct2</vt:lpstr>
      <vt:lpstr>nozzlePrintPct3</vt:lpstr>
      <vt:lpstr>nozzlePrintPct4</vt:lpstr>
      <vt:lpstr>nozzlePrintPct5</vt:lpstr>
      <vt:lpstr>nozzlePrintPct6</vt:lpstr>
      <vt:lpstr>nozzlePrintPct7</vt:lpstr>
      <vt:lpstr>nozzlePrintPct8</vt:lpstr>
      <vt:lpstr>numPrints</vt:lpstr>
      <vt:lpstr>plate</vt:lpstr>
      <vt:lpstr>plateCost</vt:lpstr>
      <vt:lpstr>plateDepr</vt:lpstr>
      <vt:lpstr>plateLife</vt:lpstr>
      <vt:lpstr>ESTIMATE!Print_Area</vt:lpstr>
      <vt:lpstr>printDate</vt:lpstr>
      <vt:lpstr>printer</vt:lpstr>
      <vt:lpstr>printerCost</vt:lpstr>
      <vt:lpstr>printerDepr</vt:lpstr>
      <vt:lpstr>printerLife</vt:lpstr>
      <vt:lpstr>printerPower</vt:lpstr>
      <vt:lpstr>printSize1</vt:lpstr>
      <vt:lpstr>printSize2</vt:lpstr>
      <vt:lpstr>printSize3</vt:lpstr>
      <vt:lpstr>printSize4</vt:lpstr>
      <vt:lpstr>printSize5</vt:lpstr>
      <vt:lpstr>printSize6</vt:lpstr>
      <vt:lpstr>printSize7</vt:lpstr>
      <vt:lpstr>printSize8</vt:lpstr>
      <vt:lpstr>printTimeHrs</vt:lpstr>
      <vt:lpstr>printTimeMins</vt:lpstr>
      <vt:lpstr>profit</vt:lpstr>
      <vt:lpstr>profitMargin</vt:lpstr>
      <vt:lpstr>profitPct</vt:lpstr>
      <vt:lpstr>roll1</vt:lpstr>
      <vt:lpstr>roll2</vt:lpstr>
      <vt:lpstr>roll3</vt:lpstr>
      <vt:lpstr>roll4</vt:lpstr>
      <vt:lpstr>roll5</vt:lpstr>
      <vt:lpstr>roll6</vt:lpstr>
      <vt:lpstr>roll7</vt:lpstr>
      <vt:lpstr>roll8</vt:lpstr>
      <vt:lpstr>rollCost1</vt:lpstr>
      <vt:lpstr>rollCost2</vt:lpstr>
      <vt:lpstr>rollCost3</vt:lpstr>
      <vt:lpstr>rollCost4</vt:lpstr>
      <vt:lpstr>rollCost5</vt:lpstr>
      <vt:lpstr>rollCost6</vt:lpstr>
      <vt:lpstr>rollCost7</vt:lpstr>
      <vt:lpstr>rollCost8</vt:lpstr>
      <vt:lpstr>rollPct1</vt:lpstr>
      <vt:lpstr>rollPct2</vt:lpstr>
      <vt:lpstr>rollPct3</vt:lpstr>
      <vt:lpstr>rollPct4</vt:lpstr>
      <vt:lpstr>rollPct5</vt:lpstr>
      <vt:lpstr>rollPct6</vt:lpstr>
      <vt:lpstr>rollPct7</vt:lpstr>
      <vt:lpstr>rollPct8</vt:lpstr>
      <vt:lpstr>rollSize1</vt:lpstr>
      <vt:lpstr>rollSize2</vt:lpstr>
      <vt:lpstr>rollSize3</vt:lpstr>
      <vt:lpstr>rollSize4</vt:lpstr>
      <vt:lpstr>rollSize5</vt:lpstr>
      <vt:lpstr>rollSize6</vt:lpstr>
      <vt:lpstr>rollSize7</vt:lpstr>
      <vt:lpstr>rollSize8</vt:lpstr>
      <vt:lpstr>salesTax</vt:lpstr>
      <vt:lpstr>salesTaxPct</vt:lpstr>
      <vt:lpstr>shippingCost</vt:lpstr>
      <vt:lpstr>totCont</vt:lpstr>
      <vt:lpstr>totCost</vt:lpstr>
      <vt:lpstr>totDepr</vt:lpstr>
      <vt:lpstr>totElecCost</vt:lpstr>
      <vt:lpstr>totFilamentCost</vt:lpstr>
      <vt:lpstr>totFilamentUsed</vt:lpstr>
      <vt:lpstr>totLaborCost</vt:lpstr>
      <vt:lpstr>totOverheadCost</vt:lpstr>
      <vt:lpstr>totPrintTimeHrs</vt:lpstr>
      <vt:lpstr>totPrintTimeMins</vt:lpstr>
      <vt:lpstr>transactionFee</vt:lpstr>
      <vt:lpstr>transactionFeePct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Josette Thompson</dc:creator>
  <cp:lastModifiedBy>Josette Thompson</cp:lastModifiedBy>
  <cp:lastPrinted>2026-10-20T02:37:29Z</cp:lastPrinted>
  <dcterms:created xsi:type="dcterms:W3CDTF">2026-10-20T02:38:04Z</dcterms:created>
  <dcterms:modified xsi:type="dcterms:W3CDTF">2026-10-20T02:50:26Z</dcterms:modified>
</cp:coreProperties>
</file>